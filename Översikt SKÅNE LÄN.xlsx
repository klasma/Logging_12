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45570</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45570</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45570</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45570</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45570</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45570</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45570</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45570</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45570</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45570</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45570</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45570</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45570</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45570</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45570</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45570</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45570</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45570</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45570</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45570</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45570</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45570</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45570</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45570</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45570</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45570</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45570</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45570</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45570</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45570</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45570</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45570</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45570</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45570</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45570</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45570</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45570</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45570</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45570</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45570</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45570</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45570</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45570</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45570</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45570</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45570</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45570</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45570</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45570</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45570</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45570</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45570</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45570</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45570</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45570</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45570</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45570</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45570</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45570</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45570</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45570</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45570</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45570</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45570</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45570</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45570</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45570</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45570</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45570</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45570</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45570</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45570</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45570</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45570</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45570</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45570</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45570</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45570</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45570</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45570</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45570</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45570</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45570</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45570</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45570</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45570</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45570</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45570</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45570</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30713-2019</t>
        </is>
      </c>
      <c r="B93" s="1" t="n">
        <v>43636</v>
      </c>
      <c r="C93" s="1" t="n">
        <v>45570</v>
      </c>
      <c r="D93" t="inlineStr">
        <is>
          <t>SKÅNE LÄN</t>
        </is>
      </c>
      <c r="E93" t="inlineStr">
        <is>
          <t>SVEDALA</t>
        </is>
      </c>
      <c r="G93" t="n">
        <v>2</v>
      </c>
      <c r="H93" t="n">
        <v>0</v>
      </c>
      <c r="I93" t="n">
        <v>2</v>
      </c>
      <c r="J93" t="n">
        <v>0</v>
      </c>
      <c r="K93" t="n">
        <v>0</v>
      </c>
      <c r="L93" t="n">
        <v>0</v>
      </c>
      <c r="M93" t="n">
        <v>0</v>
      </c>
      <c r="N93" t="n">
        <v>0</v>
      </c>
      <c r="O93" t="n">
        <v>0</v>
      </c>
      <c r="P93" t="n">
        <v>0</v>
      </c>
      <c r="Q93" t="n">
        <v>2</v>
      </c>
      <c r="R93" s="2" t="inlineStr">
        <is>
          <t>Kragjordstjärna
Stor häxört</t>
        </is>
      </c>
      <c r="S93">
        <f>HYPERLINK("https://klasma.github.io/Logging_1263/artfynd/A 30713-2019 artfynd.xlsx", "A 30713-2019")</f>
        <v/>
      </c>
      <c r="T93">
        <f>HYPERLINK("https://klasma.github.io/Logging_1263/kartor/A 30713-2019 karta.png", "A 30713-2019")</f>
        <v/>
      </c>
      <c r="V93">
        <f>HYPERLINK("https://klasma.github.io/Logging_1263/klagomål/A 30713-2019 FSC-klagomål.docx", "A 30713-2019")</f>
        <v/>
      </c>
      <c r="W93">
        <f>HYPERLINK("https://klasma.github.io/Logging_1263/klagomålsmail/A 30713-2019 FSC-klagomål mail.docx", "A 30713-2019")</f>
        <v/>
      </c>
      <c r="X93">
        <f>HYPERLINK("https://klasma.github.io/Logging_1263/tillsyn/A 30713-2019 tillsynsbegäran.docx", "A 30713-2019")</f>
        <v/>
      </c>
      <c r="Y93">
        <f>HYPERLINK("https://klasma.github.io/Logging_1263/tillsynsmail/A 30713-2019 tillsynsbegäran mail.docx", "A 30713-2019")</f>
        <v/>
      </c>
    </row>
    <row r="94" ht="15" customHeight="1">
      <c r="A94" t="inlineStr">
        <is>
          <t>A 38525-2019</t>
        </is>
      </c>
      <c r="B94" s="1" t="n">
        <v>43682</v>
      </c>
      <c r="C94" s="1" t="n">
        <v>45570</v>
      </c>
      <c r="D94" t="inlineStr">
        <is>
          <t>SKÅNE LÄN</t>
        </is>
      </c>
      <c r="E94" t="inlineStr">
        <is>
          <t>HÖRBY</t>
        </is>
      </c>
      <c r="G94" t="n">
        <v>0.3</v>
      </c>
      <c r="H94" t="n">
        <v>1</v>
      </c>
      <c r="I94" t="n">
        <v>0</v>
      </c>
      <c r="J94" t="n">
        <v>0</v>
      </c>
      <c r="K94" t="n">
        <v>0</v>
      </c>
      <c r="L94" t="n">
        <v>1</v>
      </c>
      <c r="M94" t="n">
        <v>0</v>
      </c>
      <c r="N94" t="n">
        <v>0</v>
      </c>
      <c r="O94" t="n">
        <v>1</v>
      </c>
      <c r="P94" t="n">
        <v>1</v>
      </c>
      <c r="Q94" t="n">
        <v>2</v>
      </c>
      <c r="R94" s="2" t="inlineStr">
        <is>
          <t>Ask
Blåsippa</t>
        </is>
      </c>
      <c r="S94">
        <f>HYPERLINK("https://klasma.github.io/Logging_1266/artfynd/A 38525-2019 artfynd.xlsx", "A 38525-2019")</f>
        <v/>
      </c>
      <c r="T94">
        <f>HYPERLINK("https://klasma.github.io/Logging_1266/kartor/A 38525-2019 karta.png", "A 38525-2019")</f>
        <v/>
      </c>
      <c r="V94">
        <f>HYPERLINK("https://klasma.github.io/Logging_1266/klagomål/A 38525-2019 FSC-klagomål.docx", "A 38525-2019")</f>
        <v/>
      </c>
      <c r="W94">
        <f>HYPERLINK("https://klasma.github.io/Logging_1266/klagomålsmail/A 38525-2019 FSC-klagomål mail.docx", "A 38525-2019")</f>
        <v/>
      </c>
      <c r="X94">
        <f>HYPERLINK("https://klasma.github.io/Logging_1266/tillsyn/A 38525-2019 tillsynsbegäran.docx", "A 38525-2019")</f>
        <v/>
      </c>
      <c r="Y94">
        <f>HYPERLINK("https://klasma.github.io/Logging_1266/tillsynsmail/A 38525-2019 tillsynsbegäran mail.docx", "A 38525-2019")</f>
        <v/>
      </c>
    </row>
    <row r="95" ht="15" customHeight="1">
      <c r="A95" t="inlineStr">
        <is>
          <t>A 48597-2019</t>
        </is>
      </c>
      <c r="B95" s="1" t="n">
        <v>43727</v>
      </c>
      <c r="C95" s="1" t="n">
        <v>45570</v>
      </c>
      <c r="D95" t="inlineStr">
        <is>
          <t>SKÅNE LÄN</t>
        </is>
      </c>
      <c r="E95" t="inlineStr">
        <is>
          <t>ÄNGELHOLM</t>
        </is>
      </c>
      <c r="G95" t="n">
        <v>3.8</v>
      </c>
      <c r="H95" t="n">
        <v>0</v>
      </c>
      <c r="I95" t="n">
        <v>0</v>
      </c>
      <c r="J95" t="n">
        <v>1</v>
      </c>
      <c r="K95" t="n">
        <v>1</v>
      </c>
      <c r="L95" t="n">
        <v>0</v>
      </c>
      <c r="M95" t="n">
        <v>0</v>
      </c>
      <c r="N95" t="n">
        <v>0</v>
      </c>
      <c r="O95" t="n">
        <v>2</v>
      </c>
      <c r="P95" t="n">
        <v>1</v>
      </c>
      <c r="Q95" t="n">
        <v>2</v>
      </c>
      <c r="R95" s="2" t="inlineStr">
        <is>
          <t>Bjärebjörnbär
Skånebjörnbär</t>
        </is>
      </c>
      <c r="S95">
        <f>HYPERLINK("https://klasma.github.io/Logging_1292/artfynd/A 48597-2019 artfynd.xlsx", "A 48597-2019")</f>
        <v/>
      </c>
      <c r="T95">
        <f>HYPERLINK("https://klasma.github.io/Logging_1292/kartor/A 48597-2019 karta.png", "A 48597-2019")</f>
        <v/>
      </c>
      <c r="V95">
        <f>HYPERLINK("https://klasma.github.io/Logging_1292/klagomål/A 48597-2019 FSC-klagomål.docx", "A 48597-2019")</f>
        <v/>
      </c>
      <c r="W95">
        <f>HYPERLINK("https://klasma.github.io/Logging_1292/klagomålsmail/A 48597-2019 FSC-klagomål mail.docx", "A 48597-2019")</f>
        <v/>
      </c>
      <c r="X95">
        <f>HYPERLINK("https://klasma.github.io/Logging_1292/tillsyn/A 48597-2019 tillsynsbegäran.docx", "A 48597-2019")</f>
        <v/>
      </c>
      <c r="Y95">
        <f>HYPERLINK("https://klasma.github.io/Logging_1292/tillsynsmail/A 48597-2019 tillsynsbegäran mail.docx", "A 48597-2019")</f>
        <v/>
      </c>
    </row>
    <row r="96" ht="15" customHeight="1">
      <c r="A96" t="inlineStr">
        <is>
          <t>A 48841-2019</t>
        </is>
      </c>
      <c r="B96" s="1" t="n">
        <v>43728</v>
      </c>
      <c r="C96" s="1" t="n">
        <v>45570</v>
      </c>
      <c r="D96" t="inlineStr">
        <is>
          <t>SKÅNE LÄN</t>
        </is>
      </c>
      <c r="E96" t="inlineStr">
        <is>
          <t>KLIPPAN</t>
        </is>
      </c>
      <c r="G96" t="n">
        <v>3.4</v>
      </c>
      <c r="H96" t="n">
        <v>2</v>
      </c>
      <c r="I96" t="n">
        <v>0</v>
      </c>
      <c r="J96" t="n">
        <v>0</v>
      </c>
      <c r="K96" t="n">
        <v>0</v>
      </c>
      <c r="L96" t="n">
        <v>0</v>
      </c>
      <c r="M96" t="n">
        <v>0</v>
      </c>
      <c r="N96" t="n">
        <v>0</v>
      </c>
      <c r="O96" t="n">
        <v>0</v>
      </c>
      <c r="P96" t="n">
        <v>0</v>
      </c>
      <c r="Q96" t="n">
        <v>2</v>
      </c>
      <c r="R96" s="2" t="inlineStr">
        <is>
          <t>Större vattensalamander
Huggorm</t>
        </is>
      </c>
      <c r="S96">
        <f>HYPERLINK("https://klasma.github.io/Logging_1276/artfynd/A 48841-2019 artfynd.xlsx", "A 48841-2019")</f>
        <v/>
      </c>
      <c r="T96">
        <f>HYPERLINK("https://klasma.github.io/Logging_1276/kartor/A 48841-2019 karta.png", "A 48841-2019")</f>
        <v/>
      </c>
      <c r="V96">
        <f>HYPERLINK("https://klasma.github.io/Logging_1276/klagomål/A 48841-2019 FSC-klagomål.docx", "A 48841-2019")</f>
        <v/>
      </c>
      <c r="W96">
        <f>HYPERLINK("https://klasma.github.io/Logging_1276/klagomålsmail/A 48841-2019 FSC-klagomål mail.docx", "A 48841-2019")</f>
        <v/>
      </c>
      <c r="X96">
        <f>HYPERLINK("https://klasma.github.io/Logging_1276/tillsyn/A 48841-2019 tillsynsbegäran.docx", "A 48841-2019")</f>
        <v/>
      </c>
      <c r="Y96">
        <f>HYPERLINK("https://klasma.github.io/Logging_1276/tillsynsmail/A 48841-2019 tillsynsbegäran mail.docx", "A 48841-2019")</f>
        <v/>
      </c>
    </row>
    <row r="97" ht="15" customHeight="1">
      <c r="A97" t="inlineStr">
        <is>
          <t>A 6547-2020</t>
        </is>
      </c>
      <c r="B97" s="1" t="n">
        <v>43866</v>
      </c>
      <c r="C97" s="1" t="n">
        <v>45570</v>
      </c>
      <c r="D97" t="inlineStr">
        <is>
          <t>SKÅNE LÄN</t>
        </is>
      </c>
      <c r="E97" t="inlineStr">
        <is>
          <t>HÖRBY</t>
        </is>
      </c>
      <c r="G97" t="n">
        <v>3.5</v>
      </c>
      <c r="H97" t="n">
        <v>0</v>
      </c>
      <c r="I97" t="n">
        <v>0</v>
      </c>
      <c r="J97" t="n">
        <v>1</v>
      </c>
      <c r="K97" t="n">
        <v>0</v>
      </c>
      <c r="L97" t="n">
        <v>1</v>
      </c>
      <c r="M97" t="n">
        <v>0</v>
      </c>
      <c r="N97" t="n">
        <v>0</v>
      </c>
      <c r="O97" t="n">
        <v>2</v>
      </c>
      <c r="P97" t="n">
        <v>1</v>
      </c>
      <c r="Q97" t="n">
        <v>2</v>
      </c>
      <c r="R97" s="2" t="inlineStr">
        <is>
          <t>Ask
Stor sotdyna</t>
        </is>
      </c>
      <c r="S97">
        <f>HYPERLINK("https://klasma.github.io/Logging_1266/artfynd/A 6547-2020 artfynd.xlsx", "A 6547-2020")</f>
        <v/>
      </c>
      <c r="T97">
        <f>HYPERLINK("https://klasma.github.io/Logging_1266/kartor/A 6547-2020 karta.png", "A 6547-2020")</f>
        <v/>
      </c>
      <c r="V97">
        <f>HYPERLINK("https://klasma.github.io/Logging_1266/klagomål/A 6547-2020 FSC-klagomål.docx", "A 6547-2020")</f>
        <v/>
      </c>
      <c r="W97">
        <f>HYPERLINK("https://klasma.github.io/Logging_1266/klagomålsmail/A 6547-2020 FSC-klagomål mail.docx", "A 6547-2020")</f>
        <v/>
      </c>
      <c r="X97">
        <f>HYPERLINK("https://klasma.github.io/Logging_1266/tillsyn/A 6547-2020 tillsynsbegäran.docx", "A 6547-2020")</f>
        <v/>
      </c>
      <c r="Y97">
        <f>HYPERLINK("https://klasma.github.io/Logging_1266/tillsynsmail/A 6547-2020 tillsynsbegäran mail.docx", "A 6547-2020")</f>
        <v/>
      </c>
    </row>
    <row r="98" ht="15" customHeight="1">
      <c r="A98" t="inlineStr">
        <is>
          <t>A 8861-2020</t>
        </is>
      </c>
      <c r="B98" s="1" t="n">
        <v>43878</v>
      </c>
      <c r="C98" s="1" t="n">
        <v>45570</v>
      </c>
      <c r="D98" t="inlineStr">
        <is>
          <t>SKÅNE LÄN</t>
        </is>
      </c>
      <c r="E98" t="inlineStr">
        <is>
          <t>HÄSSLEHOLM</t>
        </is>
      </c>
      <c r="G98" t="n">
        <v>10.5</v>
      </c>
      <c r="H98" t="n">
        <v>0</v>
      </c>
      <c r="I98" t="n">
        <v>2</v>
      </c>
      <c r="J98" t="n">
        <v>0</v>
      </c>
      <c r="K98" t="n">
        <v>0</v>
      </c>
      <c r="L98" t="n">
        <v>0</v>
      </c>
      <c r="M98" t="n">
        <v>0</v>
      </c>
      <c r="N98" t="n">
        <v>0</v>
      </c>
      <c r="O98" t="n">
        <v>0</v>
      </c>
      <c r="P98" t="n">
        <v>0</v>
      </c>
      <c r="Q98" t="n">
        <v>2</v>
      </c>
      <c r="R98" s="2" t="inlineStr">
        <is>
          <t>Bågpraktmossa
Västlig hakmossa</t>
        </is>
      </c>
      <c r="S98">
        <f>HYPERLINK("https://klasma.github.io/Logging_1293/artfynd/A 8861-2020 artfynd.xlsx", "A 8861-2020")</f>
        <v/>
      </c>
      <c r="T98">
        <f>HYPERLINK("https://klasma.github.io/Logging_1293/kartor/A 8861-2020 karta.png", "A 8861-2020")</f>
        <v/>
      </c>
      <c r="V98">
        <f>HYPERLINK("https://klasma.github.io/Logging_1293/klagomål/A 8861-2020 FSC-klagomål.docx", "A 8861-2020")</f>
        <v/>
      </c>
      <c r="W98">
        <f>HYPERLINK("https://klasma.github.io/Logging_1293/klagomålsmail/A 8861-2020 FSC-klagomål mail.docx", "A 8861-2020")</f>
        <v/>
      </c>
      <c r="X98">
        <f>HYPERLINK("https://klasma.github.io/Logging_1293/tillsyn/A 8861-2020 tillsynsbegäran.docx", "A 8861-2020")</f>
        <v/>
      </c>
      <c r="Y98">
        <f>HYPERLINK("https://klasma.github.io/Logging_1293/tillsynsmail/A 8861-2020 tillsynsbegäran mail.docx", "A 8861-2020")</f>
        <v/>
      </c>
    </row>
    <row r="99" ht="15" customHeight="1">
      <c r="A99" t="inlineStr">
        <is>
          <t>A 18228-2020</t>
        </is>
      </c>
      <c r="B99" s="1" t="n">
        <v>43928</v>
      </c>
      <c r="C99" s="1" t="n">
        <v>45570</v>
      </c>
      <c r="D99" t="inlineStr">
        <is>
          <t>SKÅNE LÄN</t>
        </is>
      </c>
      <c r="E99" t="inlineStr">
        <is>
          <t>SVEDALA</t>
        </is>
      </c>
      <c r="G99" t="n">
        <v>1.1</v>
      </c>
      <c r="H99" t="n">
        <v>0</v>
      </c>
      <c r="I99" t="n">
        <v>0</v>
      </c>
      <c r="J99" t="n">
        <v>1</v>
      </c>
      <c r="K99" t="n">
        <v>0</v>
      </c>
      <c r="L99" t="n">
        <v>1</v>
      </c>
      <c r="M99" t="n">
        <v>0</v>
      </c>
      <c r="N99" t="n">
        <v>0</v>
      </c>
      <c r="O99" t="n">
        <v>2</v>
      </c>
      <c r="P99" t="n">
        <v>1</v>
      </c>
      <c r="Q99" t="n">
        <v>2</v>
      </c>
      <c r="R99" s="2" t="inlineStr">
        <is>
          <t>Ädellav
Bokkantlav</t>
        </is>
      </c>
      <c r="S99">
        <f>HYPERLINK("https://klasma.github.io/Logging_1263/artfynd/A 18228-2020 artfynd.xlsx", "A 18228-2020")</f>
        <v/>
      </c>
      <c r="T99">
        <f>HYPERLINK("https://klasma.github.io/Logging_1263/kartor/A 18228-2020 karta.png", "A 18228-2020")</f>
        <v/>
      </c>
      <c r="V99">
        <f>HYPERLINK("https://klasma.github.io/Logging_1263/klagomål/A 18228-2020 FSC-klagomål.docx", "A 18228-2020")</f>
        <v/>
      </c>
      <c r="W99">
        <f>HYPERLINK("https://klasma.github.io/Logging_1263/klagomålsmail/A 18228-2020 FSC-klagomål mail.docx", "A 18228-2020")</f>
        <v/>
      </c>
      <c r="X99">
        <f>HYPERLINK("https://klasma.github.io/Logging_1263/tillsyn/A 18228-2020 tillsynsbegäran.docx", "A 18228-2020")</f>
        <v/>
      </c>
      <c r="Y99">
        <f>HYPERLINK("https://klasma.github.io/Logging_1263/tillsynsmail/A 18228-2020 tillsynsbegäran mail.docx", "A 18228-2020")</f>
        <v/>
      </c>
    </row>
    <row r="100" ht="15" customHeight="1">
      <c r="A100" t="inlineStr">
        <is>
          <t>A 58790-2020</t>
        </is>
      </c>
      <c r="B100" s="1" t="n">
        <v>44146</v>
      </c>
      <c r="C100" s="1" t="n">
        <v>45570</v>
      </c>
      <c r="D100" t="inlineStr">
        <is>
          <t>SKÅNE LÄN</t>
        </is>
      </c>
      <c r="E100" t="inlineStr">
        <is>
          <t>ÄNGELHOLM</t>
        </is>
      </c>
      <c r="G100" t="n">
        <v>2.9</v>
      </c>
      <c r="H100" t="n">
        <v>1</v>
      </c>
      <c r="I100" t="n">
        <v>1</v>
      </c>
      <c r="J100" t="n">
        <v>1</v>
      </c>
      <c r="K100" t="n">
        <v>0</v>
      </c>
      <c r="L100" t="n">
        <v>0</v>
      </c>
      <c r="M100" t="n">
        <v>0</v>
      </c>
      <c r="N100" t="n">
        <v>0</v>
      </c>
      <c r="O100" t="n">
        <v>1</v>
      </c>
      <c r="P100" t="n">
        <v>0</v>
      </c>
      <c r="Q100" t="n">
        <v>2</v>
      </c>
      <c r="R100" s="2" t="inlineStr">
        <is>
          <t>Entita
Skogsbräsma</t>
        </is>
      </c>
      <c r="S100">
        <f>HYPERLINK("https://klasma.github.io/Logging_1292/artfynd/A 58790-2020 artfynd.xlsx", "A 58790-2020")</f>
        <v/>
      </c>
      <c r="T100">
        <f>HYPERLINK("https://klasma.github.io/Logging_1292/kartor/A 58790-2020 karta.png", "A 58790-2020")</f>
        <v/>
      </c>
      <c r="V100">
        <f>HYPERLINK("https://klasma.github.io/Logging_1292/klagomål/A 58790-2020 FSC-klagomål.docx", "A 58790-2020")</f>
        <v/>
      </c>
      <c r="W100">
        <f>HYPERLINK("https://klasma.github.io/Logging_1292/klagomålsmail/A 58790-2020 FSC-klagomål mail.docx", "A 58790-2020")</f>
        <v/>
      </c>
      <c r="X100">
        <f>HYPERLINK("https://klasma.github.io/Logging_1292/tillsyn/A 58790-2020 tillsynsbegäran.docx", "A 58790-2020")</f>
        <v/>
      </c>
      <c r="Y100">
        <f>HYPERLINK("https://klasma.github.io/Logging_1292/tillsynsmail/A 58790-2020 tillsynsbegäran mail.docx", "A 58790-2020")</f>
        <v/>
      </c>
      <c r="Z100">
        <f>HYPERLINK("https://klasma.github.io/Logging_1292/fåglar/A 58790-2020 prioriterade fågelarter.docx", "A 58790-2020")</f>
        <v/>
      </c>
    </row>
    <row r="101" ht="15" customHeight="1">
      <c r="A101" t="inlineStr">
        <is>
          <t>A 60100-2020</t>
        </is>
      </c>
      <c r="B101" s="1" t="n">
        <v>44151</v>
      </c>
      <c r="C101" s="1" t="n">
        <v>45570</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3853-2021</t>
        </is>
      </c>
      <c r="B102" s="1" t="n">
        <v>44222</v>
      </c>
      <c r="C102" s="1" t="n">
        <v>45570</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5244-2021</t>
        </is>
      </c>
      <c r="B103" s="1" t="n">
        <v>44229</v>
      </c>
      <c r="C103" s="1" t="n">
        <v>45570</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21117-2021</t>
        </is>
      </c>
      <c r="B104" s="1" t="n">
        <v>44319</v>
      </c>
      <c r="C104" s="1" t="n">
        <v>45570</v>
      </c>
      <c r="D104" t="inlineStr">
        <is>
          <t>SKÅNE LÄN</t>
        </is>
      </c>
      <c r="E104" t="inlineStr">
        <is>
          <t>KRISTIANSTAD</t>
        </is>
      </c>
      <c r="G104" t="n">
        <v>22</v>
      </c>
      <c r="H104" t="n">
        <v>1</v>
      </c>
      <c r="I104" t="n">
        <v>0</v>
      </c>
      <c r="J104" t="n">
        <v>0</v>
      </c>
      <c r="K104" t="n">
        <v>0</v>
      </c>
      <c r="L104" t="n">
        <v>1</v>
      </c>
      <c r="M104" t="n">
        <v>0</v>
      </c>
      <c r="N104" t="n">
        <v>0</v>
      </c>
      <c r="O104" t="n">
        <v>1</v>
      </c>
      <c r="P104" t="n">
        <v>1</v>
      </c>
      <c r="Q104" t="n">
        <v>2</v>
      </c>
      <c r="R104" s="2" t="inlineStr">
        <is>
          <t>Ryl
Revlummer</t>
        </is>
      </c>
      <c r="S104">
        <f>HYPERLINK("https://klasma.github.io/Logging_1290/artfynd/A 21117-2021 artfynd.xlsx", "A 21117-2021")</f>
        <v/>
      </c>
      <c r="T104">
        <f>HYPERLINK("https://klasma.github.io/Logging_1290/kartor/A 21117-2021 karta.png", "A 21117-2021")</f>
        <v/>
      </c>
      <c r="V104">
        <f>HYPERLINK("https://klasma.github.io/Logging_1290/klagomål/A 21117-2021 FSC-klagomål.docx", "A 21117-2021")</f>
        <v/>
      </c>
      <c r="W104">
        <f>HYPERLINK("https://klasma.github.io/Logging_1290/klagomålsmail/A 21117-2021 FSC-klagomål mail.docx", "A 21117-2021")</f>
        <v/>
      </c>
      <c r="X104">
        <f>HYPERLINK("https://klasma.github.io/Logging_1290/tillsyn/A 21117-2021 tillsynsbegäran.docx", "A 21117-2021")</f>
        <v/>
      </c>
      <c r="Y104">
        <f>HYPERLINK("https://klasma.github.io/Logging_1290/tillsynsmail/A 21117-2021 tillsynsbegäran mail.docx", "A 21117-2021")</f>
        <v/>
      </c>
    </row>
    <row r="105" ht="15" customHeight="1">
      <c r="A105" t="inlineStr">
        <is>
          <t>A 28124-2021</t>
        </is>
      </c>
      <c r="B105" s="1" t="n">
        <v>44355</v>
      </c>
      <c r="C105" s="1" t="n">
        <v>45570</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45570</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40999-2021</t>
        </is>
      </c>
      <c r="B107" s="1" t="n">
        <v>44421</v>
      </c>
      <c r="C107" s="1" t="n">
        <v>45570</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44167-2021</t>
        </is>
      </c>
      <c r="B108" s="1" t="n">
        <v>44434</v>
      </c>
      <c r="C108" s="1" t="n">
        <v>45570</v>
      </c>
      <c r="D108" t="inlineStr">
        <is>
          <t>SKÅNE LÄN</t>
        </is>
      </c>
      <c r="E108" t="inlineStr">
        <is>
          <t>HÄSSLEHOLM</t>
        </is>
      </c>
      <c r="G108" t="n">
        <v>0.7</v>
      </c>
      <c r="H108" t="n">
        <v>0</v>
      </c>
      <c r="I108" t="n">
        <v>1</v>
      </c>
      <c r="J108" t="n">
        <v>0</v>
      </c>
      <c r="K108" t="n">
        <v>0</v>
      </c>
      <c r="L108" t="n">
        <v>0</v>
      </c>
      <c r="M108" t="n">
        <v>1</v>
      </c>
      <c r="N108" t="n">
        <v>0</v>
      </c>
      <c r="O108" t="n">
        <v>1</v>
      </c>
      <c r="P108" t="n">
        <v>1</v>
      </c>
      <c r="Q108" t="n">
        <v>2</v>
      </c>
      <c r="R108" s="2" t="inlineStr">
        <is>
          <t>Naverlönn
Platt fjädermossa</t>
        </is>
      </c>
      <c r="S108">
        <f>HYPERLINK("https://klasma.github.io/Logging_1293/artfynd/A 44167-2021 artfynd.xlsx", "A 44167-2021")</f>
        <v/>
      </c>
      <c r="T108">
        <f>HYPERLINK("https://klasma.github.io/Logging_1293/kartor/A 44167-2021 karta.png", "A 44167-2021")</f>
        <v/>
      </c>
      <c r="V108">
        <f>HYPERLINK("https://klasma.github.io/Logging_1293/klagomål/A 44167-2021 FSC-klagomål.docx", "A 44167-2021")</f>
        <v/>
      </c>
      <c r="W108">
        <f>HYPERLINK("https://klasma.github.io/Logging_1293/klagomålsmail/A 44167-2021 FSC-klagomål mail.docx", "A 44167-2021")</f>
        <v/>
      </c>
      <c r="X108">
        <f>HYPERLINK("https://klasma.github.io/Logging_1293/tillsyn/A 44167-2021 tillsynsbegäran.docx", "A 44167-2021")</f>
        <v/>
      </c>
      <c r="Y108">
        <f>HYPERLINK("https://klasma.github.io/Logging_1293/tillsynsmail/A 44167-2021 tillsynsbegäran mail.docx", "A 44167-2021")</f>
        <v/>
      </c>
    </row>
    <row r="109" ht="15" customHeight="1">
      <c r="A109" t="inlineStr">
        <is>
          <t>A 52010-2021</t>
        </is>
      </c>
      <c r="B109" s="1" t="n">
        <v>44463</v>
      </c>
      <c r="C109" s="1" t="n">
        <v>45570</v>
      </c>
      <c r="D109" t="inlineStr">
        <is>
          <t>SKÅNE LÄN</t>
        </is>
      </c>
      <c r="E109" t="inlineStr">
        <is>
          <t>KRISTIANSTAD</t>
        </is>
      </c>
      <c r="G109" t="n">
        <v>2.9</v>
      </c>
      <c r="H109" t="n">
        <v>2</v>
      </c>
      <c r="I109" t="n">
        <v>0</v>
      </c>
      <c r="J109" t="n">
        <v>1</v>
      </c>
      <c r="K109" t="n">
        <v>0</v>
      </c>
      <c r="L109" t="n">
        <v>0</v>
      </c>
      <c r="M109" t="n">
        <v>0</v>
      </c>
      <c r="N109" t="n">
        <v>0</v>
      </c>
      <c r="O109" t="n">
        <v>1</v>
      </c>
      <c r="P109" t="n">
        <v>0</v>
      </c>
      <c r="Q109" t="n">
        <v>2</v>
      </c>
      <c r="R109" s="2" t="inlineStr">
        <is>
          <t>Grönsångare
Gullviva</t>
        </is>
      </c>
      <c r="S109">
        <f>HYPERLINK("https://klasma.github.io/Logging_1290/artfynd/A 52010-2021 artfynd.xlsx", "A 52010-2021")</f>
        <v/>
      </c>
      <c r="T109">
        <f>HYPERLINK("https://klasma.github.io/Logging_1290/kartor/A 52010-2021 karta.png", "A 52010-2021")</f>
        <v/>
      </c>
      <c r="V109">
        <f>HYPERLINK("https://klasma.github.io/Logging_1290/klagomål/A 52010-2021 FSC-klagomål.docx", "A 52010-2021")</f>
        <v/>
      </c>
      <c r="W109">
        <f>HYPERLINK("https://klasma.github.io/Logging_1290/klagomålsmail/A 52010-2021 FSC-klagomål mail.docx", "A 52010-2021")</f>
        <v/>
      </c>
      <c r="X109">
        <f>HYPERLINK("https://klasma.github.io/Logging_1290/tillsyn/A 52010-2021 tillsynsbegäran.docx", "A 52010-2021")</f>
        <v/>
      </c>
      <c r="Y109">
        <f>HYPERLINK("https://klasma.github.io/Logging_1290/tillsynsmail/A 52010-2021 tillsynsbegäran mail.docx", "A 52010-2021")</f>
        <v/>
      </c>
      <c r="Z109">
        <f>HYPERLINK("https://klasma.github.io/Logging_1290/fåglar/A 52010-2021 prioriterade fågelarter.docx", "A 52010-2021")</f>
        <v/>
      </c>
    </row>
    <row r="110" ht="15" customHeight="1">
      <c r="A110" t="inlineStr">
        <is>
          <t>A 54306-2021</t>
        </is>
      </c>
      <c r="B110" s="1" t="n">
        <v>44472</v>
      </c>
      <c r="C110" s="1" t="n">
        <v>45570</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59690-2021</t>
        </is>
      </c>
      <c r="B111" s="1" t="n">
        <v>44494</v>
      </c>
      <c r="C111" s="1" t="n">
        <v>45570</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4345-2022</t>
        </is>
      </c>
      <c r="B112" s="1" t="n">
        <v>44589</v>
      </c>
      <c r="C112" s="1" t="n">
        <v>45570</v>
      </c>
      <c r="D112" t="inlineStr">
        <is>
          <t>SKÅNE LÄN</t>
        </is>
      </c>
      <c r="E112" t="inlineStr">
        <is>
          <t>OSBY</t>
        </is>
      </c>
      <c r="G112" t="n">
        <v>2.1</v>
      </c>
      <c r="H112" t="n">
        <v>2</v>
      </c>
      <c r="I112" t="n">
        <v>0</v>
      </c>
      <c r="J112" t="n">
        <v>1</v>
      </c>
      <c r="K112" t="n">
        <v>0</v>
      </c>
      <c r="L112" t="n">
        <v>0</v>
      </c>
      <c r="M112" t="n">
        <v>0</v>
      </c>
      <c r="N112" t="n">
        <v>0</v>
      </c>
      <c r="O112" t="n">
        <v>1</v>
      </c>
      <c r="P112" t="n">
        <v>0</v>
      </c>
      <c r="Q112" t="n">
        <v>2</v>
      </c>
      <c r="R112" s="2" t="inlineStr">
        <is>
          <t>Mindre hackspett
Kungsfågel</t>
        </is>
      </c>
      <c r="S112">
        <f>HYPERLINK("https://klasma.github.io/Logging_1273/artfynd/A 4345-2022 artfynd.xlsx", "A 4345-2022")</f>
        <v/>
      </c>
      <c r="T112">
        <f>HYPERLINK("https://klasma.github.io/Logging_1273/kartor/A 4345-2022 karta.png", "A 4345-2022")</f>
        <v/>
      </c>
      <c r="V112">
        <f>HYPERLINK("https://klasma.github.io/Logging_1273/klagomål/A 4345-2022 FSC-klagomål.docx", "A 4345-2022")</f>
        <v/>
      </c>
      <c r="W112">
        <f>HYPERLINK("https://klasma.github.io/Logging_1273/klagomålsmail/A 4345-2022 FSC-klagomål mail.docx", "A 4345-2022")</f>
        <v/>
      </c>
      <c r="X112">
        <f>HYPERLINK("https://klasma.github.io/Logging_1273/tillsyn/A 4345-2022 tillsynsbegäran.docx", "A 4345-2022")</f>
        <v/>
      </c>
      <c r="Y112">
        <f>HYPERLINK("https://klasma.github.io/Logging_1273/tillsynsmail/A 4345-2022 tillsynsbegäran mail.docx", "A 4345-2022")</f>
        <v/>
      </c>
      <c r="Z112">
        <f>HYPERLINK("https://klasma.github.io/Logging_1273/fåglar/A 4345-2022 prioriterade fågelarter.docx", "A 4345-2022")</f>
        <v/>
      </c>
    </row>
    <row r="113" ht="15" customHeight="1">
      <c r="A113" t="inlineStr">
        <is>
          <t>A 11673-2022</t>
        </is>
      </c>
      <c r="B113" s="1" t="n">
        <v>44633</v>
      </c>
      <c r="C113" s="1" t="n">
        <v>45570</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26855-2022</t>
        </is>
      </c>
      <c r="B114" s="1" t="n">
        <v>44740</v>
      </c>
      <c r="C114" s="1" t="n">
        <v>45570</v>
      </c>
      <c r="D114" t="inlineStr">
        <is>
          <t>SKÅNE LÄN</t>
        </is>
      </c>
      <c r="E114" t="inlineStr">
        <is>
          <t>SVALÖV</t>
        </is>
      </c>
      <c r="G114" t="n">
        <v>5.2</v>
      </c>
      <c r="H114" t="n">
        <v>1</v>
      </c>
      <c r="I114" t="n">
        <v>1</v>
      </c>
      <c r="J114" t="n">
        <v>0</v>
      </c>
      <c r="K114" t="n">
        <v>0</v>
      </c>
      <c r="L114" t="n">
        <v>0</v>
      </c>
      <c r="M114" t="n">
        <v>0</v>
      </c>
      <c r="N114" t="n">
        <v>0</v>
      </c>
      <c r="O114" t="n">
        <v>0</v>
      </c>
      <c r="P114" t="n">
        <v>0</v>
      </c>
      <c r="Q114" t="n">
        <v>2</v>
      </c>
      <c r="R114" s="2" t="inlineStr">
        <is>
          <t>Skogsbräsma
Mattlummer</t>
        </is>
      </c>
      <c r="S114">
        <f>HYPERLINK("https://klasma.github.io/Logging_1214/artfynd/A 26855-2022 artfynd.xlsx", "A 26855-2022")</f>
        <v/>
      </c>
      <c r="T114">
        <f>HYPERLINK("https://klasma.github.io/Logging_1214/kartor/A 26855-2022 karta.png", "A 26855-2022")</f>
        <v/>
      </c>
      <c r="V114">
        <f>HYPERLINK("https://klasma.github.io/Logging_1214/klagomål/A 26855-2022 FSC-klagomål.docx", "A 26855-2022")</f>
        <v/>
      </c>
      <c r="W114">
        <f>HYPERLINK("https://klasma.github.io/Logging_1214/klagomålsmail/A 26855-2022 FSC-klagomål mail.docx", "A 26855-2022")</f>
        <v/>
      </c>
      <c r="X114">
        <f>HYPERLINK("https://klasma.github.io/Logging_1214/tillsyn/A 26855-2022 tillsynsbegäran.docx", "A 26855-2022")</f>
        <v/>
      </c>
      <c r="Y114">
        <f>HYPERLINK("https://klasma.github.io/Logging_1214/tillsynsmail/A 26855-2022 tillsynsbegäran mail.docx", "A 26855-2022")</f>
        <v/>
      </c>
    </row>
    <row r="115" ht="15" customHeight="1">
      <c r="A115" t="inlineStr">
        <is>
          <t>A 26984-2022</t>
        </is>
      </c>
      <c r="B115" s="1" t="n">
        <v>44740</v>
      </c>
      <c r="C115" s="1" t="n">
        <v>45570</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28929-2022</t>
        </is>
      </c>
      <c r="B116" s="1" t="n">
        <v>44749</v>
      </c>
      <c r="C116" s="1" t="n">
        <v>45570</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30842-2022</t>
        </is>
      </c>
      <c r="B117" s="1" t="n">
        <v>44767</v>
      </c>
      <c r="C117" s="1" t="n">
        <v>45570</v>
      </c>
      <c r="D117" t="inlineStr">
        <is>
          <t>SKÅNE LÄN</t>
        </is>
      </c>
      <c r="E117" t="inlineStr">
        <is>
          <t>KRISTIANSTAD</t>
        </is>
      </c>
      <c r="G117" t="n">
        <v>2.6</v>
      </c>
      <c r="H117" t="n">
        <v>1</v>
      </c>
      <c r="I117" t="n">
        <v>0</v>
      </c>
      <c r="J117" t="n">
        <v>0</v>
      </c>
      <c r="K117" t="n">
        <v>1</v>
      </c>
      <c r="L117" t="n">
        <v>0</v>
      </c>
      <c r="M117" t="n">
        <v>0</v>
      </c>
      <c r="N117" t="n">
        <v>0</v>
      </c>
      <c r="O117" t="n">
        <v>1</v>
      </c>
      <c r="P117" t="n">
        <v>1</v>
      </c>
      <c r="Q117" t="n">
        <v>2</v>
      </c>
      <c r="R117" s="2" t="inlineStr">
        <is>
          <t>Småvänderot
Större vattensalamander</t>
        </is>
      </c>
      <c r="S117">
        <f>HYPERLINK("https://klasma.github.io/Logging_1290/artfynd/A 30842-2022 artfynd.xlsx", "A 30842-2022")</f>
        <v/>
      </c>
      <c r="T117">
        <f>HYPERLINK("https://klasma.github.io/Logging_1290/kartor/A 30842-2022 karta.png", "A 30842-2022")</f>
        <v/>
      </c>
      <c r="V117">
        <f>HYPERLINK("https://klasma.github.io/Logging_1290/klagomål/A 30842-2022 FSC-klagomål.docx", "A 30842-2022")</f>
        <v/>
      </c>
      <c r="W117">
        <f>HYPERLINK("https://klasma.github.io/Logging_1290/klagomålsmail/A 30842-2022 FSC-klagomål mail.docx", "A 30842-2022")</f>
        <v/>
      </c>
      <c r="X117">
        <f>HYPERLINK("https://klasma.github.io/Logging_1290/tillsyn/A 30842-2022 tillsynsbegäran.docx", "A 30842-2022")</f>
        <v/>
      </c>
      <c r="Y117">
        <f>HYPERLINK("https://klasma.github.io/Logging_1290/tillsynsmail/A 30842-2022 tillsynsbegäran mail.docx", "A 30842-2022")</f>
        <v/>
      </c>
    </row>
    <row r="118" ht="15" customHeight="1">
      <c r="A118" t="inlineStr">
        <is>
          <t>A 44586-2022</t>
        </is>
      </c>
      <c r="B118" s="1" t="n">
        <v>44840</v>
      </c>
      <c r="C118" s="1" t="n">
        <v>45570</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53878-2022</t>
        </is>
      </c>
      <c r="B119" s="1" t="n">
        <v>44880</v>
      </c>
      <c r="C119" s="1" t="n">
        <v>45570</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55072-2022</t>
        </is>
      </c>
      <c r="B120" s="1" t="n">
        <v>44886</v>
      </c>
      <c r="C120" s="1" t="n">
        <v>45570</v>
      </c>
      <c r="D120" t="inlineStr">
        <is>
          <t>SKÅNE LÄN</t>
        </is>
      </c>
      <c r="E120" t="inlineStr">
        <is>
          <t>SIMRISHAMN</t>
        </is>
      </c>
      <c r="F120" t="inlineStr">
        <is>
          <t>Sveaskog</t>
        </is>
      </c>
      <c r="G120" t="n">
        <v>7.3</v>
      </c>
      <c r="H120" t="n">
        <v>1</v>
      </c>
      <c r="I120" t="n">
        <v>1</v>
      </c>
      <c r="J120" t="n">
        <v>0</v>
      </c>
      <c r="K120" t="n">
        <v>0</v>
      </c>
      <c r="L120" t="n">
        <v>0</v>
      </c>
      <c r="M120" t="n">
        <v>0</v>
      </c>
      <c r="N120" t="n">
        <v>0</v>
      </c>
      <c r="O120" t="n">
        <v>0</v>
      </c>
      <c r="P120" t="n">
        <v>0</v>
      </c>
      <c r="Q120" t="n">
        <v>2</v>
      </c>
      <c r="R120" s="2" t="inlineStr">
        <is>
          <t>Murgröna
Gullviva</t>
        </is>
      </c>
      <c r="S120">
        <f>HYPERLINK("https://klasma.github.io/Logging_1291/artfynd/A 55072-2022 artfynd.xlsx", "A 55072-2022")</f>
        <v/>
      </c>
      <c r="T120">
        <f>HYPERLINK("https://klasma.github.io/Logging_1291/kartor/A 55072-2022 karta.png", "A 55072-2022")</f>
        <v/>
      </c>
      <c r="V120">
        <f>HYPERLINK("https://klasma.github.io/Logging_1291/klagomål/A 55072-2022 FSC-klagomål.docx", "A 55072-2022")</f>
        <v/>
      </c>
      <c r="W120">
        <f>HYPERLINK("https://klasma.github.io/Logging_1291/klagomålsmail/A 55072-2022 FSC-klagomål mail.docx", "A 55072-2022")</f>
        <v/>
      </c>
      <c r="X120">
        <f>HYPERLINK("https://klasma.github.io/Logging_1291/tillsyn/A 55072-2022 tillsynsbegäran.docx", "A 55072-2022")</f>
        <v/>
      </c>
      <c r="Y120">
        <f>HYPERLINK("https://klasma.github.io/Logging_1291/tillsynsmail/A 55072-2022 tillsynsbegäran mail.docx", "A 55072-2022")</f>
        <v/>
      </c>
    </row>
    <row r="121" ht="15" customHeight="1">
      <c r="A121" t="inlineStr">
        <is>
          <t>A 60295-2022</t>
        </is>
      </c>
      <c r="B121" s="1" t="n">
        <v>44903</v>
      </c>
      <c r="C121" s="1" t="n">
        <v>45570</v>
      </c>
      <c r="D121" t="inlineStr">
        <is>
          <t>SKÅNE LÄN</t>
        </is>
      </c>
      <c r="E121" t="inlineStr">
        <is>
          <t>YSTAD</t>
        </is>
      </c>
      <c r="G121" t="n">
        <v>1.1</v>
      </c>
      <c r="H121" t="n">
        <v>2</v>
      </c>
      <c r="I121" t="n">
        <v>0</v>
      </c>
      <c r="J121" t="n">
        <v>0</v>
      </c>
      <c r="K121" t="n">
        <v>0</v>
      </c>
      <c r="L121" t="n">
        <v>0</v>
      </c>
      <c r="M121" t="n">
        <v>0</v>
      </c>
      <c r="N121" t="n">
        <v>0</v>
      </c>
      <c r="O121" t="n">
        <v>0</v>
      </c>
      <c r="P121" t="n">
        <v>0</v>
      </c>
      <c r="Q121" t="n">
        <v>2</v>
      </c>
      <c r="R121" s="2" t="inlineStr">
        <is>
          <t>Klockgroda
Ätlig groda</t>
        </is>
      </c>
      <c r="S121">
        <f>HYPERLINK("https://klasma.github.io/Logging_1286/artfynd/A 60295-2022 artfynd.xlsx", "A 60295-2022")</f>
        <v/>
      </c>
      <c r="T121">
        <f>HYPERLINK("https://klasma.github.io/Logging_1286/kartor/A 60295-2022 karta.png", "A 60295-2022")</f>
        <v/>
      </c>
      <c r="V121">
        <f>HYPERLINK("https://klasma.github.io/Logging_1286/klagomål/A 60295-2022 FSC-klagomål.docx", "A 60295-2022")</f>
        <v/>
      </c>
      <c r="W121">
        <f>HYPERLINK("https://klasma.github.io/Logging_1286/klagomålsmail/A 60295-2022 FSC-klagomål mail.docx", "A 60295-2022")</f>
        <v/>
      </c>
      <c r="X121">
        <f>HYPERLINK("https://klasma.github.io/Logging_1286/tillsyn/A 60295-2022 tillsynsbegäran.docx", "A 60295-2022")</f>
        <v/>
      </c>
      <c r="Y121">
        <f>HYPERLINK("https://klasma.github.io/Logging_1286/tillsynsmail/A 60295-2022 tillsynsbegäran mail.docx", "A 60295-2022")</f>
        <v/>
      </c>
    </row>
    <row r="122" ht="15" customHeight="1">
      <c r="A122" t="inlineStr">
        <is>
          <t>A 15229-2023</t>
        </is>
      </c>
      <c r="B122" s="1" t="n">
        <v>45016</v>
      </c>
      <c r="C122" s="1" t="n">
        <v>45570</v>
      </c>
      <c r="D122" t="inlineStr">
        <is>
          <t>SKÅNE LÄN</t>
        </is>
      </c>
      <c r="E122" t="inlineStr">
        <is>
          <t>KRISTIANSTAD</t>
        </is>
      </c>
      <c r="G122" t="n">
        <v>1.2</v>
      </c>
      <c r="H122" t="n">
        <v>2</v>
      </c>
      <c r="I122" t="n">
        <v>0</v>
      </c>
      <c r="J122" t="n">
        <v>2</v>
      </c>
      <c r="K122" t="n">
        <v>0</v>
      </c>
      <c r="L122" t="n">
        <v>0</v>
      </c>
      <c r="M122" t="n">
        <v>0</v>
      </c>
      <c r="N122" t="n">
        <v>0</v>
      </c>
      <c r="O122" t="n">
        <v>2</v>
      </c>
      <c r="P122" t="n">
        <v>0</v>
      </c>
      <c r="Q122" t="n">
        <v>2</v>
      </c>
      <c r="R122" s="2" t="inlineStr">
        <is>
          <t>Buskskvätta
Drillsnäppa</t>
        </is>
      </c>
      <c r="S122">
        <f>HYPERLINK("https://klasma.github.io/Logging_1290/artfynd/A 15229-2023 artfynd.xlsx", "A 15229-2023")</f>
        <v/>
      </c>
      <c r="T122">
        <f>HYPERLINK("https://klasma.github.io/Logging_1290/kartor/A 15229-2023 karta.png", "A 15229-2023")</f>
        <v/>
      </c>
      <c r="V122">
        <f>HYPERLINK("https://klasma.github.io/Logging_1290/klagomål/A 15229-2023 FSC-klagomål.docx", "A 15229-2023")</f>
        <v/>
      </c>
      <c r="W122">
        <f>HYPERLINK("https://klasma.github.io/Logging_1290/klagomålsmail/A 15229-2023 FSC-klagomål mail.docx", "A 15229-2023")</f>
        <v/>
      </c>
      <c r="X122">
        <f>HYPERLINK("https://klasma.github.io/Logging_1290/tillsyn/A 15229-2023 tillsynsbegäran.docx", "A 15229-2023")</f>
        <v/>
      </c>
      <c r="Y122">
        <f>HYPERLINK("https://klasma.github.io/Logging_1290/tillsynsmail/A 15229-2023 tillsynsbegäran mail.docx", "A 15229-2023")</f>
        <v/>
      </c>
      <c r="Z122">
        <f>HYPERLINK("https://klasma.github.io/Logging_1290/fåglar/A 15229-2023 prioriterade fågelarter.docx", "A 15229-2023")</f>
        <v/>
      </c>
    </row>
    <row r="123" ht="15" customHeight="1">
      <c r="A123" t="inlineStr">
        <is>
          <t>A 20702-2023</t>
        </is>
      </c>
      <c r="B123" s="1" t="n">
        <v>45058</v>
      </c>
      <c r="C123" s="1" t="n">
        <v>45570</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24278-2023</t>
        </is>
      </c>
      <c r="B124" s="1" t="n">
        <v>45079</v>
      </c>
      <c r="C124" s="1" t="n">
        <v>45570</v>
      </c>
      <c r="D124" t="inlineStr">
        <is>
          <t>SKÅNE LÄN</t>
        </is>
      </c>
      <c r="E124" t="inlineStr">
        <is>
          <t>HÖÖR</t>
        </is>
      </c>
      <c r="G124" t="n">
        <v>0.8</v>
      </c>
      <c r="H124" t="n">
        <v>2</v>
      </c>
      <c r="I124" t="n">
        <v>0</v>
      </c>
      <c r="J124" t="n">
        <v>1</v>
      </c>
      <c r="K124" t="n">
        <v>0</v>
      </c>
      <c r="L124" t="n">
        <v>0</v>
      </c>
      <c r="M124" t="n">
        <v>0</v>
      </c>
      <c r="N124" t="n">
        <v>0</v>
      </c>
      <c r="O124" t="n">
        <v>1</v>
      </c>
      <c r="P124" t="n">
        <v>0</v>
      </c>
      <c r="Q124" t="n">
        <v>2</v>
      </c>
      <c r="R124" s="2" t="inlineStr">
        <is>
          <t>Spillkråka
Trana</t>
        </is>
      </c>
      <c r="S124">
        <f>HYPERLINK("https://klasma.github.io/Logging_1267/artfynd/A 24278-2023 artfynd.xlsx", "A 24278-2023")</f>
        <v/>
      </c>
      <c r="T124">
        <f>HYPERLINK("https://klasma.github.io/Logging_1267/kartor/A 24278-2023 karta.png", "A 24278-2023")</f>
        <v/>
      </c>
      <c r="V124">
        <f>HYPERLINK("https://klasma.github.io/Logging_1267/klagomål/A 24278-2023 FSC-klagomål.docx", "A 24278-2023")</f>
        <v/>
      </c>
      <c r="W124">
        <f>HYPERLINK("https://klasma.github.io/Logging_1267/klagomålsmail/A 24278-2023 FSC-klagomål mail.docx", "A 24278-2023")</f>
        <v/>
      </c>
      <c r="X124">
        <f>HYPERLINK("https://klasma.github.io/Logging_1267/tillsyn/A 24278-2023 tillsynsbegäran.docx", "A 24278-2023")</f>
        <v/>
      </c>
      <c r="Y124">
        <f>HYPERLINK("https://klasma.github.io/Logging_1267/tillsynsmail/A 24278-2023 tillsynsbegäran mail.docx", "A 24278-2023")</f>
        <v/>
      </c>
      <c r="Z124">
        <f>HYPERLINK("https://klasma.github.io/Logging_1267/fåglar/A 24278-2023 prioriterade fågelarter.docx", "A 24278-2023")</f>
        <v/>
      </c>
    </row>
    <row r="125" ht="15" customHeight="1">
      <c r="A125" t="inlineStr">
        <is>
          <t>A 26736-2023</t>
        </is>
      </c>
      <c r="B125" s="1" t="n">
        <v>45090</v>
      </c>
      <c r="C125" s="1" t="n">
        <v>45570</v>
      </c>
      <c r="D125" t="inlineStr">
        <is>
          <t>SKÅNE LÄN</t>
        </is>
      </c>
      <c r="E125" t="inlineStr">
        <is>
          <t>SJÖBO</t>
        </is>
      </c>
      <c r="G125" t="n">
        <v>9.4</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27284-2023</t>
        </is>
      </c>
      <c r="B126" s="1" t="n">
        <v>45096</v>
      </c>
      <c r="C126" s="1" t="n">
        <v>45570</v>
      </c>
      <c r="D126" t="inlineStr">
        <is>
          <t>SKÅNE LÄN</t>
        </is>
      </c>
      <c r="E126" t="inlineStr">
        <is>
          <t>ÖSTRA GÖINGE</t>
        </is>
      </c>
      <c r="F126" t="inlineStr">
        <is>
          <t>Sveaskog</t>
        </is>
      </c>
      <c r="G126" t="n">
        <v>6.6</v>
      </c>
      <c r="H126" t="n">
        <v>2</v>
      </c>
      <c r="I126" t="n">
        <v>0</v>
      </c>
      <c r="J126" t="n">
        <v>0</v>
      </c>
      <c r="K126" t="n">
        <v>0</v>
      </c>
      <c r="L126" t="n">
        <v>0</v>
      </c>
      <c r="M126" t="n">
        <v>0</v>
      </c>
      <c r="N126" t="n">
        <v>0</v>
      </c>
      <c r="O126" t="n">
        <v>0</v>
      </c>
      <c r="P126" t="n">
        <v>0</v>
      </c>
      <c r="Q126" t="n">
        <v>2</v>
      </c>
      <c r="R126" s="2" t="inlineStr">
        <is>
          <t>Bred paljettdykare
Bredkantad dykare</t>
        </is>
      </c>
      <c r="S126">
        <f>HYPERLINK("https://klasma.github.io/Logging_1256/artfynd/A 27284-2023 artfynd.xlsx", "A 27284-2023")</f>
        <v/>
      </c>
      <c r="T126">
        <f>HYPERLINK("https://klasma.github.io/Logging_1256/kartor/A 27284-2023 karta.png", "A 27284-2023")</f>
        <v/>
      </c>
      <c r="V126">
        <f>HYPERLINK("https://klasma.github.io/Logging_1256/klagomål/A 27284-2023 FSC-klagomål.docx", "A 27284-2023")</f>
        <v/>
      </c>
      <c r="W126">
        <f>HYPERLINK("https://klasma.github.io/Logging_1256/klagomålsmail/A 27284-2023 FSC-klagomål mail.docx", "A 27284-2023")</f>
        <v/>
      </c>
      <c r="X126">
        <f>HYPERLINK("https://klasma.github.io/Logging_1256/tillsyn/A 27284-2023 tillsynsbegäran.docx", "A 27284-2023")</f>
        <v/>
      </c>
      <c r="Y126">
        <f>HYPERLINK("https://klasma.github.io/Logging_1256/tillsynsmail/A 27284-2023 tillsynsbegäran mail.docx", "A 27284-2023")</f>
        <v/>
      </c>
    </row>
    <row r="127" ht="15" customHeight="1">
      <c r="A127" t="inlineStr">
        <is>
          <t>A 29029-2023</t>
        </is>
      </c>
      <c r="B127" s="1" t="n">
        <v>45104</v>
      </c>
      <c r="C127" s="1" t="n">
        <v>45570</v>
      </c>
      <c r="D127" t="inlineStr">
        <is>
          <t>SKÅNE LÄN</t>
        </is>
      </c>
      <c r="E127" t="inlineStr">
        <is>
          <t>SVEDALA</t>
        </is>
      </c>
      <c r="G127" t="n">
        <v>22.3</v>
      </c>
      <c r="H127" t="n">
        <v>2</v>
      </c>
      <c r="I127" t="n">
        <v>0</v>
      </c>
      <c r="J127" t="n">
        <v>0</v>
      </c>
      <c r="K127" t="n">
        <v>0</v>
      </c>
      <c r="L127" t="n">
        <v>0</v>
      </c>
      <c r="M127" t="n">
        <v>0</v>
      </c>
      <c r="N127" t="n">
        <v>0</v>
      </c>
      <c r="O127" t="n">
        <v>0</v>
      </c>
      <c r="P127" t="n">
        <v>0</v>
      </c>
      <c r="Q127" t="n">
        <v>2</v>
      </c>
      <c r="R127" s="2" t="inlineStr">
        <is>
          <t>Citronfläckad kärrtrollslända
Ätlig groda</t>
        </is>
      </c>
      <c r="S127">
        <f>HYPERLINK("https://klasma.github.io/Logging_1263/artfynd/A 29029-2023 artfynd.xlsx", "A 29029-2023")</f>
        <v/>
      </c>
      <c r="T127">
        <f>HYPERLINK("https://klasma.github.io/Logging_1263/kartor/A 29029-2023 karta.png", "A 29029-2023")</f>
        <v/>
      </c>
      <c r="V127">
        <f>HYPERLINK("https://klasma.github.io/Logging_1263/klagomål/A 29029-2023 FSC-klagomål.docx", "A 29029-2023")</f>
        <v/>
      </c>
      <c r="W127">
        <f>HYPERLINK("https://klasma.github.io/Logging_1263/klagomålsmail/A 29029-2023 FSC-klagomål mail.docx", "A 29029-2023")</f>
        <v/>
      </c>
      <c r="X127">
        <f>HYPERLINK("https://klasma.github.io/Logging_1263/tillsyn/A 29029-2023 tillsynsbegäran.docx", "A 29029-2023")</f>
        <v/>
      </c>
      <c r="Y127">
        <f>HYPERLINK("https://klasma.github.io/Logging_1263/tillsynsmail/A 29029-2023 tillsynsbegäran mail.docx", "A 29029-2023")</f>
        <v/>
      </c>
    </row>
    <row r="128" ht="15" customHeight="1">
      <c r="A128" t="inlineStr">
        <is>
          <t>A 29032-2023</t>
        </is>
      </c>
      <c r="B128" s="1" t="n">
        <v>45104</v>
      </c>
      <c r="C128" s="1" t="n">
        <v>45570</v>
      </c>
      <c r="D128" t="inlineStr">
        <is>
          <t>SKÅNE LÄN</t>
        </is>
      </c>
      <c r="E128" t="inlineStr">
        <is>
          <t>SVEDALA</t>
        </is>
      </c>
      <c r="G128" t="n">
        <v>2</v>
      </c>
      <c r="H128" t="n">
        <v>2</v>
      </c>
      <c r="I128" t="n">
        <v>0</v>
      </c>
      <c r="J128" t="n">
        <v>0</v>
      </c>
      <c r="K128" t="n">
        <v>0</v>
      </c>
      <c r="L128" t="n">
        <v>0</v>
      </c>
      <c r="M128" t="n">
        <v>0</v>
      </c>
      <c r="N128" t="n">
        <v>0</v>
      </c>
      <c r="O128" t="n">
        <v>0</v>
      </c>
      <c r="P128" t="n">
        <v>0</v>
      </c>
      <c r="Q128" t="n">
        <v>2</v>
      </c>
      <c r="R128" s="2" t="inlineStr">
        <is>
          <t>Åkergroda
Vanlig groda</t>
        </is>
      </c>
      <c r="S128">
        <f>HYPERLINK("https://klasma.github.io/Logging_1263/artfynd/A 29032-2023 artfynd.xlsx", "A 29032-2023")</f>
        <v/>
      </c>
      <c r="T128">
        <f>HYPERLINK("https://klasma.github.io/Logging_1263/kartor/A 29032-2023 karta.png", "A 29032-2023")</f>
        <v/>
      </c>
      <c r="V128">
        <f>HYPERLINK("https://klasma.github.io/Logging_1263/klagomål/A 29032-2023 FSC-klagomål.docx", "A 29032-2023")</f>
        <v/>
      </c>
      <c r="W128">
        <f>HYPERLINK("https://klasma.github.io/Logging_1263/klagomålsmail/A 29032-2023 FSC-klagomål mail.docx", "A 29032-2023")</f>
        <v/>
      </c>
      <c r="X128">
        <f>HYPERLINK("https://klasma.github.io/Logging_1263/tillsyn/A 29032-2023 tillsynsbegäran.docx", "A 29032-2023")</f>
        <v/>
      </c>
      <c r="Y128">
        <f>HYPERLINK("https://klasma.github.io/Logging_1263/tillsynsmail/A 29032-2023 tillsynsbegäran mail.docx", "A 29032-2023")</f>
        <v/>
      </c>
    </row>
    <row r="129" ht="15" customHeight="1">
      <c r="A129" t="inlineStr">
        <is>
          <t>A 29038-2023</t>
        </is>
      </c>
      <c r="B129" s="1" t="n">
        <v>45104</v>
      </c>
      <c r="C129" s="1" t="n">
        <v>45570</v>
      </c>
      <c r="D129" t="inlineStr">
        <is>
          <t>SKÅNE LÄN</t>
        </is>
      </c>
      <c r="E129" t="inlineStr">
        <is>
          <t>LUND</t>
        </is>
      </c>
      <c r="G129" t="n">
        <v>10.1</v>
      </c>
      <c r="H129" t="n">
        <v>0</v>
      </c>
      <c r="I129" t="n">
        <v>1</v>
      </c>
      <c r="J129" t="n">
        <v>0</v>
      </c>
      <c r="K129" t="n">
        <v>1</v>
      </c>
      <c r="L129" t="n">
        <v>0</v>
      </c>
      <c r="M129" t="n">
        <v>0</v>
      </c>
      <c r="N129" t="n">
        <v>0</v>
      </c>
      <c r="O129" t="n">
        <v>1</v>
      </c>
      <c r="P129" t="n">
        <v>1</v>
      </c>
      <c r="Q129" t="n">
        <v>2</v>
      </c>
      <c r="R129" s="2" t="inlineStr">
        <is>
          <t>Revig blodrot
Skogsbräsma</t>
        </is>
      </c>
      <c r="S129">
        <f>HYPERLINK("https://klasma.github.io/Logging_1281/artfynd/A 29038-2023 artfynd.xlsx", "A 29038-2023")</f>
        <v/>
      </c>
      <c r="T129">
        <f>HYPERLINK("https://klasma.github.io/Logging_1281/kartor/A 29038-2023 karta.png", "A 29038-2023")</f>
        <v/>
      </c>
      <c r="V129">
        <f>HYPERLINK("https://klasma.github.io/Logging_1281/klagomål/A 29038-2023 FSC-klagomål.docx", "A 29038-2023")</f>
        <v/>
      </c>
      <c r="W129">
        <f>HYPERLINK("https://klasma.github.io/Logging_1281/klagomålsmail/A 29038-2023 FSC-klagomål mail.docx", "A 29038-2023")</f>
        <v/>
      </c>
      <c r="X129">
        <f>HYPERLINK("https://klasma.github.io/Logging_1281/tillsyn/A 29038-2023 tillsynsbegäran.docx", "A 29038-2023")</f>
        <v/>
      </c>
      <c r="Y129">
        <f>HYPERLINK("https://klasma.github.io/Logging_1281/tillsynsmail/A 29038-2023 tillsynsbegäran mail.docx", "A 29038-2023")</f>
        <v/>
      </c>
    </row>
    <row r="130" ht="15" customHeight="1">
      <c r="A130" t="inlineStr">
        <is>
          <t>A 29157-2023</t>
        </is>
      </c>
      <c r="B130" s="1" t="n">
        <v>45105</v>
      </c>
      <c r="C130" s="1" t="n">
        <v>45570</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31697-2023</t>
        </is>
      </c>
      <c r="B131" s="1" t="n">
        <v>45117</v>
      </c>
      <c r="C131" s="1" t="n">
        <v>45570</v>
      </c>
      <c r="D131" t="inlineStr">
        <is>
          <t>SKÅNE LÄN</t>
        </is>
      </c>
      <c r="E131" t="inlineStr">
        <is>
          <t>SVEDALA</t>
        </is>
      </c>
      <c r="G131" t="n">
        <v>2.2</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HYPERLINK("https://klasma.github.io/Logging_1263/artfynd/A 31697-2023 artfynd.xlsx", "A 31697-2023")</f>
        <v/>
      </c>
      <c r="T131">
        <f>HYPERLINK("https://klasma.github.io/Logging_1263/kartor/A 31697-2023 karta.png", "A 31697-2023")</f>
        <v/>
      </c>
      <c r="V131">
        <f>HYPERLINK("https://klasma.github.io/Logging_1263/klagomål/A 31697-2023 FSC-klagomål.docx", "A 31697-2023")</f>
        <v/>
      </c>
      <c r="W131">
        <f>HYPERLINK("https://klasma.github.io/Logging_1263/klagomålsmail/A 31697-2023 FSC-klagomål mail.docx", "A 31697-2023")</f>
        <v/>
      </c>
      <c r="X131">
        <f>HYPERLINK("https://klasma.github.io/Logging_1263/tillsyn/A 31697-2023 tillsynsbegäran.docx", "A 31697-2023")</f>
        <v/>
      </c>
      <c r="Y131">
        <f>HYPERLINK("https://klasma.github.io/Logging_1263/tillsynsmail/A 31697-2023 tillsynsbegäran mail.docx", "A 31697-2023")</f>
        <v/>
      </c>
    </row>
    <row r="132" ht="15" customHeight="1">
      <c r="A132" t="inlineStr">
        <is>
          <t>A 33364-2023</t>
        </is>
      </c>
      <c r="B132" s="1" t="n">
        <v>45128</v>
      </c>
      <c r="C132" s="1" t="n">
        <v>45570</v>
      </c>
      <c r="D132" t="inlineStr">
        <is>
          <t>SKÅNE LÄN</t>
        </is>
      </c>
      <c r="E132" t="inlineStr">
        <is>
          <t>KRISTIANSTAD</t>
        </is>
      </c>
      <c r="G132" t="n">
        <v>4.9</v>
      </c>
      <c r="H132" t="n">
        <v>1</v>
      </c>
      <c r="I132" t="n">
        <v>1</v>
      </c>
      <c r="J132" t="n">
        <v>0</v>
      </c>
      <c r="K132" t="n">
        <v>0</v>
      </c>
      <c r="L132" t="n">
        <v>0</v>
      </c>
      <c r="M132" t="n">
        <v>0</v>
      </c>
      <c r="N132" t="n">
        <v>0</v>
      </c>
      <c r="O132" t="n">
        <v>0</v>
      </c>
      <c r="P132" t="n">
        <v>0</v>
      </c>
      <c r="Q132" t="n">
        <v>2</v>
      </c>
      <c r="R132" s="2" t="inlineStr">
        <is>
          <t>Västlig hakmossa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row>
    <row r="133" ht="15" customHeight="1">
      <c r="A133" t="inlineStr">
        <is>
          <t>A 44585-2023</t>
        </is>
      </c>
      <c r="B133" s="1" t="n">
        <v>45189</v>
      </c>
      <c r="C133" s="1" t="n">
        <v>45570</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53486-2023</t>
        </is>
      </c>
      <c r="B134" s="1" t="n">
        <v>45230</v>
      </c>
      <c r="C134" s="1" t="n">
        <v>45570</v>
      </c>
      <c r="D134" t="inlineStr">
        <is>
          <t>SKÅNE LÄN</t>
        </is>
      </c>
      <c r="E134" t="inlineStr">
        <is>
          <t>KÄVLINGE</t>
        </is>
      </c>
      <c r="G134" t="n">
        <v>1.2</v>
      </c>
      <c r="H134" t="n">
        <v>1</v>
      </c>
      <c r="I134" t="n">
        <v>0</v>
      </c>
      <c r="J134" t="n">
        <v>1</v>
      </c>
      <c r="K134" t="n">
        <v>1</v>
      </c>
      <c r="L134" t="n">
        <v>0</v>
      </c>
      <c r="M134" t="n">
        <v>0</v>
      </c>
      <c r="N134" t="n">
        <v>0</v>
      </c>
      <c r="O134" t="n">
        <v>2</v>
      </c>
      <c r="P134" t="n">
        <v>1</v>
      </c>
      <c r="Q134" t="n">
        <v>2</v>
      </c>
      <c r="R134" s="2" t="inlineStr">
        <is>
          <t>Hedblomster
Backtimjan</t>
        </is>
      </c>
      <c r="S134">
        <f>HYPERLINK("https://klasma.github.io/Logging_1261/artfynd/A 53486-2023 artfynd.xlsx", "A 53486-2023")</f>
        <v/>
      </c>
      <c r="T134">
        <f>HYPERLINK("https://klasma.github.io/Logging_1261/kartor/A 53486-2023 karta.png", "A 53486-2023")</f>
        <v/>
      </c>
      <c r="V134">
        <f>HYPERLINK("https://klasma.github.io/Logging_1261/klagomål/A 53486-2023 FSC-klagomål.docx", "A 53486-2023")</f>
        <v/>
      </c>
      <c r="W134">
        <f>HYPERLINK("https://klasma.github.io/Logging_1261/klagomålsmail/A 53486-2023 FSC-klagomål mail.docx", "A 53486-2023")</f>
        <v/>
      </c>
      <c r="X134">
        <f>HYPERLINK("https://klasma.github.io/Logging_1261/tillsyn/A 53486-2023 tillsynsbegäran.docx", "A 53486-2023")</f>
        <v/>
      </c>
      <c r="Y134">
        <f>HYPERLINK("https://klasma.github.io/Logging_1261/tillsynsmail/A 53486-2023 tillsynsbegäran mail.docx", "A 53486-2023")</f>
        <v/>
      </c>
    </row>
    <row r="135" ht="15" customHeight="1">
      <c r="A135" t="inlineStr">
        <is>
          <t>A 58481-2023</t>
        </is>
      </c>
      <c r="B135" s="1" t="n">
        <v>45251</v>
      </c>
      <c r="C135" s="1" t="n">
        <v>45570</v>
      </c>
      <c r="D135" t="inlineStr">
        <is>
          <t>SKÅNE LÄN</t>
        </is>
      </c>
      <c r="E135" t="inlineStr">
        <is>
          <t>SVALÖV</t>
        </is>
      </c>
      <c r="G135" t="n">
        <v>8.1</v>
      </c>
      <c r="H135" t="n">
        <v>0</v>
      </c>
      <c r="I135" t="n">
        <v>2</v>
      </c>
      <c r="J135" t="n">
        <v>0</v>
      </c>
      <c r="K135" t="n">
        <v>0</v>
      </c>
      <c r="L135" t="n">
        <v>0</v>
      </c>
      <c r="M135" t="n">
        <v>0</v>
      </c>
      <c r="N135" t="n">
        <v>0</v>
      </c>
      <c r="O135" t="n">
        <v>0</v>
      </c>
      <c r="P135" t="n">
        <v>0</v>
      </c>
      <c r="Q135" t="n">
        <v>2</v>
      </c>
      <c r="R135" s="2" t="inlineStr">
        <is>
          <t>Springkorn
Stor häxört</t>
        </is>
      </c>
      <c r="S135">
        <f>HYPERLINK("https://klasma.github.io/Logging_1214/artfynd/A 58481-2023 artfynd.xlsx", "A 58481-2023")</f>
        <v/>
      </c>
      <c r="T135">
        <f>HYPERLINK("https://klasma.github.io/Logging_1214/kartor/A 58481-2023 karta.png", "A 58481-2023")</f>
        <v/>
      </c>
      <c r="V135">
        <f>HYPERLINK("https://klasma.github.io/Logging_1214/klagomål/A 58481-2023 FSC-klagomål.docx", "A 58481-2023")</f>
        <v/>
      </c>
      <c r="W135">
        <f>HYPERLINK("https://klasma.github.io/Logging_1214/klagomålsmail/A 58481-2023 FSC-klagomål mail.docx", "A 58481-2023")</f>
        <v/>
      </c>
      <c r="X135">
        <f>HYPERLINK("https://klasma.github.io/Logging_1214/tillsyn/A 58481-2023 tillsynsbegäran.docx", "A 58481-2023")</f>
        <v/>
      </c>
      <c r="Y135">
        <f>HYPERLINK("https://klasma.github.io/Logging_1214/tillsynsmail/A 58481-2023 tillsynsbegäran mail.docx", "A 58481-2023")</f>
        <v/>
      </c>
    </row>
    <row r="136" ht="15" customHeight="1">
      <c r="A136" t="inlineStr">
        <is>
          <t>A 63560-2023</t>
        </is>
      </c>
      <c r="B136" s="1" t="n">
        <v>45274</v>
      </c>
      <c r="C136" s="1" t="n">
        <v>45570</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1415-2024</t>
        </is>
      </c>
      <c r="B137" s="1" t="n">
        <v>45303</v>
      </c>
      <c r="C137" s="1" t="n">
        <v>45570</v>
      </c>
      <c r="D137" t="inlineStr">
        <is>
          <t>SKÅNE LÄN</t>
        </is>
      </c>
      <c r="E137" t="inlineStr">
        <is>
          <t>KRISTIANSTAD</t>
        </is>
      </c>
      <c r="F137" t="inlineStr">
        <is>
          <t>Övriga Aktiebolag</t>
        </is>
      </c>
      <c r="G137" t="n">
        <v>3.1</v>
      </c>
      <c r="H137" t="n">
        <v>0</v>
      </c>
      <c r="I137" t="n">
        <v>2</v>
      </c>
      <c r="J137" t="n">
        <v>0</v>
      </c>
      <c r="K137" t="n">
        <v>0</v>
      </c>
      <c r="L137" t="n">
        <v>0</v>
      </c>
      <c r="M137" t="n">
        <v>0</v>
      </c>
      <c r="N137" t="n">
        <v>0</v>
      </c>
      <c r="O137" t="n">
        <v>0</v>
      </c>
      <c r="P137" t="n">
        <v>0</v>
      </c>
      <c r="Q137" t="n">
        <v>2</v>
      </c>
      <c r="R137" s="2" t="inlineStr">
        <is>
          <t>Liten stinksvamp
Rutbläcksvamp</t>
        </is>
      </c>
      <c r="S137">
        <f>HYPERLINK("https://klasma.github.io/Logging_1290/artfynd/A 1415-2024 artfynd.xlsx", "A 1415-2024")</f>
        <v/>
      </c>
      <c r="T137">
        <f>HYPERLINK("https://klasma.github.io/Logging_1290/kartor/A 1415-2024 karta.png", "A 1415-2024")</f>
        <v/>
      </c>
      <c r="V137">
        <f>HYPERLINK("https://klasma.github.io/Logging_1290/klagomål/A 1415-2024 FSC-klagomål.docx", "A 1415-2024")</f>
        <v/>
      </c>
      <c r="W137">
        <f>HYPERLINK("https://klasma.github.io/Logging_1290/klagomålsmail/A 1415-2024 FSC-klagomål mail.docx", "A 1415-2024")</f>
        <v/>
      </c>
      <c r="X137">
        <f>HYPERLINK("https://klasma.github.io/Logging_1290/tillsyn/A 1415-2024 tillsynsbegäran.docx", "A 1415-2024")</f>
        <v/>
      </c>
      <c r="Y137">
        <f>HYPERLINK("https://klasma.github.io/Logging_1290/tillsynsmail/A 1415-2024 tillsynsbegäran mail.docx", "A 1415-2024")</f>
        <v/>
      </c>
    </row>
    <row r="138" ht="15" customHeight="1">
      <c r="A138" t="inlineStr">
        <is>
          <t>A 2762-2024</t>
        </is>
      </c>
      <c r="B138" s="1" t="n">
        <v>45314</v>
      </c>
      <c r="C138" s="1" t="n">
        <v>45570</v>
      </c>
      <c r="D138" t="inlineStr">
        <is>
          <t>SKÅNE LÄN</t>
        </is>
      </c>
      <c r="E138" t="inlineStr">
        <is>
          <t>KLIPPAN</t>
        </is>
      </c>
      <c r="G138" t="n">
        <v>19.6</v>
      </c>
      <c r="H138" t="n">
        <v>2</v>
      </c>
      <c r="I138" t="n">
        <v>0</v>
      </c>
      <c r="J138" t="n">
        <v>2</v>
      </c>
      <c r="K138" t="n">
        <v>0</v>
      </c>
      <c r="L138" t="n">
        <v>0</v>
      </c>
      <c r="M138" t="n">
        <v>0</v>
      </c>
      <c r="N138" t="n">
        <v>0</v>
      </c>
      <c r="O138" t="n">
        <v>2</v>
      </c>
      <c r="P138" t="n">
        <v>0</v>
      </c>
      <c r="Q138" t="n">
        <v>2</v>
      </c>
      <c r="R138" s="2" t="inlineStr">
        <is>
          <t>Entita
Spillkråka</t>
        </is>
      </c>
      <c r="S138">
        <f>HYPERLINK("https://klasma.github.io/Logging_1276/artfynd/A 2762-2024 artfynd.xlsx", "A 2762-2024")</f>
        <v/>
      </c>
      <c r="T138">
        <f>HYPERLINK("https://klasma.github.io/Logging_1276/kartor/A 2762-2024 karta.png", "A 2762-2024")</f>
        <v/>
      </c>
      <c r="V138">
        <f>HYPERLINK("https://klasma.github.io/Logging_1276/klagomål/A 2762-2024 FSC-klagomål.docx", "A 2762-2024")</f>
        <v/>
      </c>
      <c r="W138">
        <f>HYPERLINK("https://klasma.github.io/Logging_1276/klagomålsmail/A 2762-2024 FSC-klagomål mail.docx", "A 2762-2024")</f>
        <v/>
      </c>
      <c r="X138">
        <f>HYPERLINK("https://klasma.github.io/Logging_1276/tillsyn/A 2762-2024 tillsynsbegäran.docx", "A 2762-2024")</f>
        <v/>
      </c>
      <c r="Y138">
        <f>HYPERLINK("https://klasma.github.io/Logging_1276/tillsynsmail/A 2762-2024 tillsynsbegäran mail.docx", "A 2762-2024")</f>
        <v/>
      </c>
      <c r="Z138">
        <f>HYPERLINK("https://klasma.github.io/Logging_1276/fåglar/A 2762-2024 prioriterade fågelarter.docx", "A 2762-2024")</f>
        <v/>
      </c>
    </row>
    <row r="139" ht="15" customHeight="1">
      <c r="A139" t="inlineStr">
        <is>
          <t>A 8188-2024</t>
        </is>
      </c>
      <c r="B139" s="1" t="n">
        <v>45338</v>
      </c>
      <c r="C139" s="1" t="n">
        <v>45570</v>
      </c>
      <c r="D139" t="inlineStr">
        <is>
          <t>SKÅNE LÄN</t>
        </is>
      </c>
      <c r="E139" t="inlineStr">
        <is>
          <t>TOMELILLA</t>
        </is>
      </c>
      <c r="F139" t="inlineStr">
        <is>
          <t>Kyrkan</t>
        </is>
      </c>
      <c r="G139" t="n">
        <v>4.7</v>
      </c>
      <c r="H139" t="n">
        <v>0</v>
      </c>
      <c r="I139" t="n">
        <v>1</v>
      </c>
      <c r="J139" t="n">
        <v>1</v>
      </c>
      <c r="K139" t="n">
        <v>0</v>
      </c>
      <c r="L139" t="n">
        <v>0</v>
      </c>
      <c r="M139" t="n">
        <v>0</v>
      </c>
      <c r="N139" t="n">
        <v>0</v>
      </c>
      <c r="O139" t="n">
        <v>1</v>
      </c>
      <c r="P139" t="n">
        <v>0</v>
      </c>
      <c r="Q139" t="n">
        <v>2</v>
      </c>
      <c r="R139" s="2" t="inlineStr">
        <is>
          <t>Krusfrö
Kransrams</t>
        </is>
      </c>
      <c r="S139">
        <f>HYPERLINK("https://klasma.github.io/Logging_1270/artfynd/A 8188-2024 artfynd.xlsx", "A 8188-2024")</f>
        <v/>
      </c>
      <c r="T139">
        <f>HYPERLINK("https://klasma.github.io/Logging_1270/kartor/A 8188-2024 karta.png", "A 8188-2024")</f>
        <v/>
      </c>
      <c r="V139">
        <f>HYPERLINK("https://klasma.github.io/Logging_1270/klagomål/A 8188-2024 FSC-klagomål.docx", "A 8188-2024")</f>
        <v/>
      </c>
      <c r="W139">
        <f>HYPERLINK("https://klasma.github.io/Logging_1270/klagomålsmail/A 8188-2024 FSC-klagomål mail.docx", "A 8188-2024")</f>
        <v/>
      </c>
      <c r="X139">
        <f>HYPERLINK("https://klasma.github.io/Logging_1270/tillsyn/A 8188-2024 tillsynsbegäran.docx", "A 8188-2024")</f>
        <v/>
      </c>
      <c r="Y139">
        <f>HYPERLINK("https://klasma.github.io/Logging_1270/tillsynsmail/A 8188-2024 tillsynsbegäran mail.docx", "A 8188-2024")</f>
        <v/>
      </c>
    </row>
    <row r="140" ht="15" customHeight="1">
      <c r="A140" t="inlineStr">
        <is>
          <t>A 7616-2024</t>
        </is>
      </c>
      <c r="B140" s="1" t="n">
        <v>45348</v>
      </c>
      <c r="C140" s="1" t="n">
        <v>45570</v>
      </c>
      <c r="D140" t="inlineStr">
        <is>
          <t>SKÅNE LÄN</t>
        </is>
      </c>
      <c r="E140" t="inlineStr">
        <is>
          <t>HÖÖR</t>
        </is>
      </c>
      <c r="G140" t="n">
        <v>4.2</v>
      </c>
      <c r="H140" t="n">
        <v>0</v>
      </c>
      <c r="I140" t="n">
        <v>0</v>
      </c>
      <c r="J140" t="n">
        <v>1</v>
      </c>
      <c r="K140" t="n">
        <v>1</v>
      </c>
      <c r="L140" t="n">
        <v>0</v>
      </c>
      <c r="M140" t="n">
        <v>0</v>
      </c>
      <c r="N140" t="n">
        <v>0</v>
      </c>
      <c r="O140" t="n">
        <v>2</v>
      </c>
      <c r="P140" t="n">
        <v>1</v>
      </c>
      <c r="Q140" t="n">
        <v>2</v>
      </c>
      <c r="R140" s="2" t="inlineStr">
        <is>
          <t>Flenörtskapuschongfly
Åkerkulla</t>
        </is>
      </c>
      <c r="S140">
        <f>HYPERLINK("https://klasma.github.io/Logging_1267/artfynd/A 7616-2024 artfynd.xlsx", "A 7616-2024")</f>
        <v/>
      </c>
      <c r="T140">
        <f>HYPERLINK("https://klasma.github.io/Logging_1267/kartor/A 7616-2024 karta.png", "A 7616-2024")</f>
        <v/>
      </c>
      <c r="V140">
        <f>HYPERLINK("https://klasma.github.io/Logging_1267/klagomål/A 7616-2024 FSC-klagomål.docx", "A 7616-2024")</f>
        <v/>
      </c>
      <c r="W140">
        <f>HYPERLINK("https://klasma.github.io/Logging_1267/klagomålsmail/A 7616-2024 FSC-klagomål mail.docx", "A 7616-2024")</f>
        <v/>
      </c>
      <c r="X140">
        <f>HYPERLINK("https://klasma.github.io/Logging_1267/tillsyn/A 7616-2024 tillsynsbegäran.docx", "A 7616-2024")</f>
        <v/>
      </c>
      <c r="Y140">
        <f>HYPERLINK("https://klasma.github.io/Logging_1267/tillsynsmail/A 7616-2024 tillsynsbegäran mail.docx", "A 7616-2024")</f>
        <v/>
      </c>
    </row>
    <row r="141" ht="15" customHeight="1">
      <c r="A141" t="inlineStr">
        <is>
          <t>A 10017-2024</t>
        </is>
      </c>
      <c r="B141" s="1" t="n">
        <v>45363</v>
      </c>
      <c r="C141" s="1" t="n">
        <v>45570</v>
      </c>
      <c r="D141" t="inlineStr">
        <is>
          <t>SKÅNE LÄN</t>
        </is>
      </c>
      <c r="E141" t="inlineStr">
        <is>
          <t>KRISTIANSTAD</t>
        </is>
      </c>
      <c r="G141" t="n">
        <v>4.5</v>
      </c>
      <c r="H141" t="n">
        <v>0</v>
      </c>
      <c r="I141" t="n">
        <v>1</v>
      </c>
      <c r="J141" t="n">
        <v>0</v>
      </c>
      <c r="K141" t="n">
        <v>0</v>
      </c>
      <c r="L141" t="n">
        <v>1</v>
      </c>
      <c r="M141" t="n">
        <v>0</v>
      </c>
      <c r="N141" t="n">
        <v>0</v>
      </c>
      <c r="O141" t="n">
        <v>1</v>
      </c>
      <c r="P141" t="n">
        <v>1</v>
      </c>
      <c r="Q141" t="n">
        <v>2</v>
      </c>
      <c r="R141" s="2" t="inlineStr">
        <is>
          <t>Ryl
Ögonpyrola</t>
        </is>
      </c>
      <c r="S141">
        <f>HYPERLINK("https://klasma.github.io/Logging_1290/artfynd/A 10017-2024 artfynd.xlsx", "A 10017-2024")</f>
        <v/>
      </c>
      <c r="T141">
        <f>HYPERLINK("https://klasma.github.io/Logging_1290/kartor/A 10017-2024 karta.png", "A 10017-2024")</f>
        <v/>
      </c>
      <c r="V141">
        <f>HYPERLINK("https://klasma.github.io/Logging_1290/klagomål/A 10017-2024 FSC-klagomål.docx", "A 10017-2024")</f>
        <v/>
      </c>
      <c r="W141">
        <f>HYPERLINK("https://klasma.github.io/Logging_1290/klagomålsmail/A 10017-2024 FSC-klagomål mail.docx", "A 10017-2024")</f>
        <v/>
      </c>
      <c r="X141">
        <f>HYPERLINK("https://klasma.github.io/Logging_1290/tillsyn/A 10017-2024 tillsynsbegäran.docx", "A 10017-2024")</f>
        <v/>
      </c>
      <c r="Y141">
        <f>HYPERLINK("https://klasma.github.io/Logging_1290/tillsynsmail/A 10017-2024 tillsynsbegäran mail.docx", "A 10017-2024")</f>
        <v/>
      </c>
    </row>
    <row r="142" ht="15" customHeight="1">
      <c r="A142" t="inlineStr">
        <is>
          <t>A 11648-2024</t>
        </is>
      </c>
      <c r="B142" s="1" t="n">
        <v>45373</v>
      </c>
      <c r="C142" s="1" t="n">
        <v>45570</v>
      </c>
      <c r="D142" t="inlineStr">
        <is>
          <t>SKÅNE LÄN</t>
        </is>
      </c>
      <c r="E142" t="inlineStr">
        <is>
          <t>KÄVLINGE</t>
        </is>
      </c>
      <c r="F142" t="inlineStr">
        <is>
          <t>Övriga Aktiebolag</t>
        </is>
      </c>
      <c r="G142" t="n">
        <v>10.5</v>
      </c>
      <c r="H142" t="n">
        <v>0</v>
      </c>
      <c r="I142" t="n">
        <v>1</v>
      </c>
      <c r="J142" t="n">
        <v>0</v>
      </c>
      <c r="K142" t="n">
        <v>0</v>
      </c>
      <c r="L142" t="n">
        <v>1</v>
      </c>
      <c r="M142" t="n">
        <v>0</v>
      </c>
      <c r="N142" t="n">
        <v>0</v>
      </c>
      <c r="O142" t="n">
        <v>1</v>
      </c>
      <c r="P142" t="n">
        <v>1</v>
      </c>
      <c r="Q142" t="n">
        <v>2</v>
      </c>
      <c r="R142" s="2" t="inlineStr">
        <is>
          <t>Ask
Bokoxe</t>
        </is>
      </c>
      <c r="S142">
        <f>HYPERLINK("https://klasma.github.io/Logging_1261/artfynd/A 11648-2024 artfynd.xlsx", "A 11648-2024")</f>
        <v/>
      </c>
      <c r="T142">
        <f>HYPERLINK("https://klasma.github.io/Logging_1261/kartor/A 11648-2024 karta.png", "A 11648-2024")</f>
        <v/>
      </c>
      <c r="V142">
        <f>HYPERLINK("https://klasma.github.io/Logging_1261/klagomål/A 11648-2024 FSC-klagomål.docx", "A 11648-2024")</f>
        <v/>
      </c>
      <c r="W142">
        <f>HYPERLINK("https://klasma.github.io/Logging_1261/klagomålsmail/A 11648-2024 FSC-klagomål mail.docx", "A 11648-2024")</f>
        <v/>
      </c>
      <c r="X142">
        <f>HYPERLINK("https://klasma.github.io/Logging_1261/tillsyn/A 11648-2024 tillsynsbegäran.docx", "A 11648-2024")</f>
        <v/>
      </c>
      <c r="Y142">
        <f>HYPERLINK("https://klasma.github.io/Logging_1261/tillsynsmail/A 11648-2024 tillsynsbegäran mail.docx", "A 11648-2024")</f>
        <v/>
      </c>
    </row>
    <row r="143" ht="15" customHeight="1">
      <c r="A143" t="inlineStr">
        <is>
          <t>A 15571-2024</t>
        </is>
      </c>
      <c r="B143" s="1" t="n">
        <v>45401</v>
      </c>
      <c r="C143" s="1" t="n">
        <v>45570</v>
      </c>
      <c r="D143" t="inlineStr">
        <is>
          <t>SKÅNE LÄN</t>
        </is>
      </c>
      <c r="E143" t="inlineStr">
        <is>
          <t>SVEDALA</t>
        </is>
      </c>
      <c r="G143" t="n">
        <v>11.1</v>
      </c>
      <c r="H143" t="n">
        <v>0</v>
      </c>
      <c r="I143" t="n">
        <v>1</v>
      </c>
      <c r="J143" t="n">
        <v>1</v>
      </c>
      <c r="K143" t="n">
        <v>0</v>
      </c>
      <c r="L143" t="n">
        <v>0</v>
      </c>
      <c r="M143" t="n">
        <v>0</v>
      </c>
      <c r="N143" t="n">
        <v>0</v>
      </c>
      <c r="O143" t="n">
        <v>1</v>
      </c>
      <c r="P143" t="n">
        <v>0</v>
      </c>
      <c r="Q143" t="n">
        <v>2</v>
      </c>
      <c r="R143" s="2" t="inlineStr">
        <is>
          <t>Oxtungssvamp
Guldlockmossa</t>
        </is>
      </c>
      <c r="S143">
        <f>HYPERLINK("https://klasma.github.io/Logging_1263/artfynd/A 15571-2024 artfynd.xlsx", "A 15571-2024")</f>
        <v/>
      </c>
      <c r="T143">
        <f>HYPERLINK("https://klasma.github.io/Logging_1263/kartor/A 15571-2024 karta.png", "A 15571-2024")</f>
        <v/>
      </c>
      <c r="V143">
        <f>HYPERLINK("https://klasma.github.io/Logging_1263/klagomål/A 15571-2024 FSC-klagomål.docx", "A 15571-2024")</f>
        <v/>
      </c>
      <c r="W143">
        <f>HYPERLINK("https://klasma.github.io/Logging_1263/klagomålsmail/A 15571-2024 FSC-klagomål mail.docx", "A 15571-2024")</f>
        <v/>
      </c>
      <c r="X143">
        <f>HYPERLINK("https://klasma.github.io/Logging_1263/tillsyn/A 15571-2024 tillsynsbegäran.docx", "A 15571-2024")</f>
        <v/>
      </c>
      <c r="Y143">
        <f>HYPERLINK("https://klasma.github.io/Logging_1263/tillsynsmail/A 15571-2024 tillsynsbegäran mail.docx", "A 15571-2024")</f>
        <v/>
      </c>
    </row>
    <row r="144" ht="15" customHeight="1">
      <c r="A144" t="inlineStr">
        <is>
          <t>A 16122-2024</t>
        </is>
      </c>
      <c r="B144" s="1" t="n">
        <v>45406</v>
      </c>
      <c r="C144" s="1" t="n">
        <v>45570</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22776-2024</t>
        </is>
      </c>
      <c r="B145" s="1" t="n">
        <v>45448</v>
      </c>
      <c r="C145" s="1" t="n">
        <v>45570</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25058-2024</t>
        </is>
      </c>
      <c r="B146" s="1" t="n">
        <v>45462</v>
      </c>
      <c r="C146" s="1" t="n">
        <v>45570</v>
      </c>
      <c r="D146" t="inlineStr">
        <is>
          <t>SKÅNE LÄN</t>
        </is>
      </c>
      <c r="E146" t="inlineStr">
        <is>
          <t>KRISTIANSTAD</t>
        </is>
      </c>
      <c r="G146" t="n">
        <v>5.2</v>
      </c>
      <c r="H146" t="n">
        <v>1</v>
      </c>
      <c r="I146" t="n">
        <v>1</v>
      </c>
      <c r="J146" t="n">
        <v>0</v>
      </c>
      <c r="K146" t="n">
        <v>0</v>
      </c>
      <c r="L146" t="n">
        <v>0</v>
      </c>
      <c r="M146" t="n">
        <v>0</v>
      </c>
      <c r="N146" t="n">
        <v>0</v>
      </c>
      <c r="O146" t="n">
        <v>0</v>
      </c>
      <c r="P146" t="n">
        <v>0</v>
      </c>
      <c r="Q146" t="n">
        <v>2</v>
      </c>
      <c r="R146" s="2" t="inlineStr">
        <is>
          <t>Lundvårlök
Grönvit nattviol</t>
        </is>
      </c>
      <c r="S146">
        <f>HYPERLINK("https://klasma.github.io/Logging_1290/artfynd/A 25058-2024 artfynd.xlsx", "A 25058-2024")</f>
        <v/>
      </c>
      <c r="T146">
        <f>HYPERLINK("https://klasma.github.io/Logging_1290/kartor/A 25058-2024 karta.png", "A 25058-2024")</f>
        <v/>
      </c>
      <c r="V146">
        <f>HYPERLINK("https://klasma.github.io/Logging_1290/klagomål/A 25058-2024 FSC-klagomål.docx", "A 25058-2024")</f>
        <v/>
      </c>
      <c r="W146">
        <f>HYPERLINK("https://klasma.github.io/Logging_1290/klagomålsmail/A 25058-2024 FSC-klagomål mail.docx", "A 25058-2024")</f>
        <v/>
      </c>
      <c r="X146">
        <f>HYPERLINK("https://klasma.github.io/Logging_1290/tillsyn/A 25058-2024 tillsynsbegäran.docx", "A 25058-2024")</f>
        <v/>
      </c>
      <c r="Y146">
        <f>HYPERLINK("https://klasma.github.io/Logging_1290/tillsynsmail/A 25058-2024 tillsynsbegäran mail.docx", "A 25058-2024")</f>
        <v/>
      </c>
    </row>
    <row r="147" ht="15" customHeight="1">
      <c r="A147" t="inlineStr">
        <is>
          <t>A 26488-2024</t>
        </is>
      </c>
      <c r="B147" s="1" t="n">
        <v>45469</v>
      </c>
      <c r="C147" s="1" t="n">
        <v>45570</v>
      </c>
      <c r="D147" t="inlineStr">
        <is>
          <t>SKÅNE LÄN</t>
        </is>
      </c>
      <c r="E147" t="inlineStr">
        <is>
          <t>SJÖBO</t>
        </is>
      </c>
      <c r="G147" t="n">
        <v>8.1</v>
      </c>
      <c r="H147" t="n">
        <v>1</v>
      </c>
      <c r="I147" t="n">
        <v>0</v>
      </c>
      <c r="J147" t="n">
        <v>1</v>
      </c>
      <c r="K147" t="n">
        <v>0</v>
      </c>
      <c r="L147" t="n">
        <v>0</v>
      </c>
      <c r="M147" t="n">
        <v>0</v>
      </c>
      <c r="N147" t="n">
        <v>0</v>
      </c>
      <c r="O147" t="n">
        <v>1</v>
      </c>
      <c r="P147" t="n">
        <v>0</v>
      </c>
      <c r="Q147" t="n">
        <v>2</v>
      </c>
      <c r="R147" s="2" t="inlineStr">
        <is>
          <t>Triplax rufipes
Vanlig groda</t>
        </is>
      </c>
      <c r="S147">
        <f>HYPERLINK("https://klasma.github.io/Logging_1265/artfynd/A 26488-2024 artfynd.xlsx", "A 26488-2024")</f>
        <v/>
      </c>
      <c r="T147">
        <f>HYPERLINK("https://klasma.github.io/Logging_1265/kartor/A 26488-2024 karta.png", "A 26488-2024")</f>
        <v/>
      </c>
      <c r="V147">
        <f>HYPERLINK("https://klasma.github.io/Logging_1265/klagomål/A 26488-2024 FSC-klagomål.docx", "A 26488-2024")</f>
        <v/>
      </c>
      <c r="W147">
        <f>HYPERLINK("https://klasma.github.io/Logging_1265/klagomålsmail/A 26488-2024 FSC-klagomål mail.docx", "A 26488-2024")</f>
        <v/>
      </c>
      <c r="X147">
        <f>HYPERLINK("https://klasma.github.io/Logging_1265/tillsyn/A 26488-2024 tillsynsbegäran.docx", "A 26488-2024")</f>
        <v/>
      </c>
      <c r="Y147">
        <f>HYPERLINK("https://klasma.github.io/Logging_1265/tillsynsmail/A 26488-2024 tillsynsbegäran mail.docx", "A 26488-2024")</f>
        <v/>
      </c>
    </row>
    <row r="148" ht="15" customHeight="1">
      <c r="A148" t="inlineStr">
        <is>
          <t>A 30246-2024</t>
        </is>
      </c>
      <c r="B148" s="1" t="n">
        <v>45490</v>
      </c>
      <c r="C148" s="1" t="n">
        <v>45570</v>
      </c>
      <c r="D148" t="inlineStr">
        <is>
          <t>SKÅNE LÄN</t>
        </is>
      </c>
      <c r="E148" t="inlineStr">
        <is>
          <t>KRISTIANSTAD</t>
        </is>
      </c>
      <c r="G148" t="n">
        <v>8.699999999999999</v>
      </c>
      <c r="H148" t="n">
        <v>1</v>
      </c>
      <c r="I148" t="n">
        <v>0</v>
      </c>
      <c r="J148" t="n">
        <v>2</v>
      </c>
      <c r="K148" t="n">
        <v>0</v>
      </c>
      <c r="L148" t="n">
        <v>0</v>
      </c>
      <c r="M148" t="n">
        <v>0</v>
      </c>
      <c r="N148" t="n">
        <v>0</v>
      </c>
      <c r="O148" t="n">
        <v>2</v>
      </c>
      <c r="P148" t="n">
        <v>0</v>
      </c>
      <c r="Q148" t="n">
        <v>2</v>
      </c>
      <c r="R148" s="2" t="inlineStr">
        <is>
          <t>Desmeknopp
Spillkråka</t>
        </is>
      </c>
      <c r="S148">
        <f>HYPERLINK("https://klasma.github.io/Logging_1290/artfynd/A 30246-2024 artfynd.xlsx", "A 30246-2024")</f>
        <v/>
      </c>
      <c r="T148">
        <f>HYPERLINK("https://klasma.github.io/Logging_1290/kartor/A 30246-2024 karta.png", "A 30246-2024")</f>
        <v/>
      </c>
      <c r="V148">
        <f>HYPERLINK("https://klasma.github.io/Logging_1290/klagomål/A 30246-2024 FSC-klagomål.docx", "A 30246-2024")</f>
        <v/>
      </c>
      <c r="W148">
        <f>HYPERLINK("https://klasma.github.io/Logging_1290/klagomålsmail/A 30246-2024 FSC-klagomål mail.docx", "A 30246-2024")</f>
        <v/>
      </c>
      <c r="X148">
        <f>HYPERLINK("https://klasma.github.io/Logging_1290/tillsyn/A 30246-2024 tillsynsbegäran.docx", "A 30246-2024")</f>
        <v/>
      </c>
      <c r="Y148">
        <f>HYPERLINK("https://klasma.github.io/Logging_1290/tillsynsmail/A 30246-2024 tillsynsbegäran mail.docx", "A 30246-2024")</f>
        <v/>
      </c>
      <c r="Z148">
        <f>HYPERLINK("https://klasma.github.io/Logging_1290/fåglar/A 30246-2024 prioriterade fågelarter.docx", "A 30246-2024")</f>
        <v/>
      </c>
    </row>
    <row r="149" ht="15" customHeight="1">
      <c r="A149" t="inlineStr">
        <is>
          <t>A 31923-2024</t>
        </is>
      </c>
      <c r="B149" s="1" t="n">
        <v>45510</v>
      </c>
      <c r="C149" s="1" t="n">
        <v>45570</v>
      </c>
      <c r="D149" t="inlineStr">
        <is>
          <t>SKÅNE LÄN</t>
        </is>
      </c>
      <c r="E149" t="inlineStr">
        <is>
          <t>ÖRKELLJUNGA</t>
        </is>
      </c>
      <c r="G149" t="n">
        <v>3.3</v>
      </c>
      <c r="H149" t="n">
        <v>0</v>
      </c>
      <c r="I149" t="n">
        <v>2</v>
      </c>
      <c r="J149" t="n">
        <v>0</v>
      </c>
      <c r="K149" t="n">
        <v>0</v>
      </c>
      <c r="L149" t="n">
        <v>0</v>
      </c>
      <c r="M149" t="n">
        <v>0</v>
      </c>
      <c r="N149" t="n">
        <v>0</v>
      </c>
      <c r="O149" t="n">
        <v>0</v>
      </c>
      <c r="P149" t="n">
        <v>0</v>
      </c>
      <c r="Q149" t="n">
        <v>2</v>
      </c>
      <c r="R149" s="2" t="inlineStr">
        <is>
          <t>Havstulpanlav
Västlig hakmossa</t>
        </is>
      </c>
      <c r="S149">
        <f>HYPERLINK("https://klasma.github.io/Logging_1257/artfynd/A 31923-2024 artfynd.xlsx", "A 31923-2024")</f>
        <v/>
      </c>
      <c r="T149">
        <f>HYPERLINK("https://klasma.github.io/Logging_1257/kartor/A 31923-2024 karta.png", "A 31923-2024")</f>
        <v/>
      </c>
      <c r="V149">
        <f>HYPERLINK("https://klasma.github.io/Logging_1257/klagomål/A 31923-2024 FSC-klagomål.docx", "A 31923-2024")</f>
        <v/>
      </c>
      <c r="W149">
        <f>HYPERLINK("https://klasma.github.io/Logging_1257/klagomålsmail/A 31923-2024 FSC-klagomål mail.docx", "A 31923-2024")</f>
        <v/>
      </c>
      <c r="X149">
        <f>HYPERLINK("https://klasma.github.io/Logging_1257/tillsyn/A 31923-2024 tillsynsbegäran.docx", "A 31923-2024")</f>
        <v/>
      </c>
      <c r="Y149">
        <f>HYPERLINK("https://klasma.github.io/Logging_1257/tillsynsmail/A 31923-2024 tillsynsbegäran mail.docx", "A 31923-2024")</f>
        <v/>
      </c>
    </row>
    <row r="150" ht="15" customHeight="1">
      <c r="A150" t="inlineStr">
        <is>
          <t>A 37585-2024</t>
        </is>
      </c>
      <c r="B150" s="1" t="n">
        <v>45541</v>
      </c>
      <c r="C150" s="1" t="n">
        <v>45570</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39165-2024</t>
        </is>
      </c>
      <c r="B151" s="1" t="n">
        <v>45548</v>
      </c>
      <c r="C151" s="1" t="n">
        <v>45570</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20427-2019</t>
        </is>
      </c>
      <c r="B152" s="1" t="n">
        <v>43571</v>
      </c>
      <c r="C152" s="1" t="n">
        <v>45570</v>
      </c>
      <c r="D152" t="inlineStr">
        <is>
          <t>SKÅNE LÄN</t>
        </is>
      </c>
      <c r="E152" t="inlineStr">
        <is>
          <t>SJÖBO</t>
        </is>
      </c>
      <c r="G152" t="n">
        <v>4.5</v>
      </c>
      <c r="H152" t="n">
        <v>0</v>
      </c>
      <c r="I152" t="n">
        <v>0</v>
      </c>
      <c r="J152" t="n">
        <v>0</v>
      </c>
      <c r="K152" t="n">
        <v>0</v>
      </c>
      <c r="L152" t="n">
        <v>1</v>
      </c>
      <c r="M152" t="n">
        <v>0</v>
      </c>
      <c r="N152" t="n">
        <v>0</v>
      </c>
      <c r="O152" t="n">
        <v>1</v>
      </c>
      <c r="P152" t="n">
        <v>1</v>
      </c>
      <c r="Q152" t="n">
        <v>1</v>
      </c>
      <c r="R152" s="2" t="inlineStr">
        <is>
          <t>Ask</t>
        </is>
      </c>
      <c r="S152">
        <f>HYPERLINK("https://klasma.github.io/Logging_1265/artfynd/A 20427-2019 artfynd.xlsx", "A 20427-2019")</f>
        <v/>
      </c>
      <c r="T152">
        <f>HYPERLINK("https://klasma.github.io/Logging_1265/kartor/A 20427-2019 karta.png", "A 20427-2019")</f>
        <v/>
      </c>
      <c r="V152">
        <f>HYPERLINK("https://klasma.github.io/Logging_1265/klagomål/A 20427-2019 FSC-klagomål.docx", "A 20427-2019")</f>
        <v/>
      </c>
      <c r="W152">
        <f>HYPERLINK("https://klasma.github.io/Logging_1265/klagomålsmail/A 20427-2019 FSC-klagomål mail.docx", "A 20427-2019")</f>
        <v/>
      </c>
      <c r="X152">
        <f>HYPERLINK("https://klasma.github.io/Logging_1265/tillsyn/A 20427-2019 tillsynsbegäran.docx", "A 20427-2019")</f>
        <v/>
      </c>
      <c r="Y152">
        <f>HYPERLINK("https://klasma.github.io/Logging_1265/tillsynsmail/A 20427-2019 tillsynsbegäran mail.docx", "A 20427-2019")</f>
        <v/>
      </c>
    </row>
    <row r="153" ht="15" customHeight="1">
      <c r="A153" t="inlineStr">
        <is>
          <t>A 24820-2019</t>
        </is>
      </c>
      <c r="B153" s="1" t="n">
        <v>43602</v>
      </c>
      <c r="C153" s="1" t="n">
        <v>45570</v>
      </c>
      <c r="D153" t="inlineStr">
        <is>
          <t>SKÅNE LÄN</t>
        </is>
      </c>
      <c r="E153" t="inlineStr">
        <is>
          <t>SJÖBO</t>
        </is>
      </c>
      <c r="G153" t="n">
        <v>5.7</v>
      </c>
      <c r="H153" t="n">
        <v>1</v>
      </c>
      <c r="I153" t="n">
        <v>0</v>
      </c>
      <c r="J153" t="n">
        <v>0</v>
      </c>
      <c r="K153" t="n">
        <v>0</v>
      </c>
      <c r="L153" t="n">
        <v>1</v>
      </c>
      <c r="M153" t="n">
        <v>0</v>
      </c>
      <c r="N153" t="n">
        <v>0</v>
      </c>
      <c r="O153" t="n">
        <v>1</v>
      </c>
      <c r="P153" t="n">
        <v>1</v>
      </c>
      <c r="Q153" t="n">
        <v>1</v>
      </c>
      <c r="R153" s="2" t="inlineStr">
        <is>
          <t>Dvärgjohannesört</t>
        </is>
      </c>
      <c r="S153">
        <f>HYPERLINK("https://klasma.github.io/Logging_1265/artfynd/A 24820-2019 artfynd.xlsx", "A 24820-2019")</f>
        <v/>
      </c>
      <c r="T153">
        <f>HYPERLINK("https://klasma.github.io/Logging_1265/kartor/A 24820-2019 karta.png", "A 24820-2019")</f>
        <v/>
      </c>
      <c r="V153">
        <f>HYPERLINK("https://klasma.github.io/Logging_1265/klagomål/A 24820-2019 FSC-klagomål.docx", "A 24820-2019")</f>
        <v/>
      </c>
      <c r="W153">
        <f>HYPERLINK("https://klasma.github.io/Logging_1265/klagomålsmail/A 24820-2019 FSC-klagomål mail.docx", "A 24820-2019")</f>
        <v/>
      </c>
      <c r="X153">
        <f>HYPERLINK("https://klasma.github.io/Logging_1265/tillsyn/A 24820-2019 tillsynsbegäran.docx", "A 24820-2019")</f>
        <v/>
      </c>
      <c r="Y153">
        <f>HYPERLINK("https://klasma.github.io/Logging_1265/tillsynsmail/A 24820-2019 tillsynsbegäran mail.docx", "A 24820-2019")</f>
        <v/>
      </c>
    </row>
    <row r="154" ht="15" customHeight="1">
      <c r="A154" t="inlineStr">
        <is>
          <t>A 28988-2019</t>
        </is>
      </c>
      <c r="B154" s="1" t="n">
        <v>43620</v>
      </c>
      <c r="C154" s="1" t="n">
        <v>45570</v>
      </c>
      <c r="D154" t="inlineStr">
        <is>
          <t>SKÅNE LÄN</t>
        </is>
      </c>
      <c r="E154" t="inlineStr">
        <is>
          <t>HÄSSLEHOLM</t>
        </is>
      </c>
      <c r="G154" t="n">
        <v>1</v>
      </c>
      <c r="H154" t="n">
        <v>0</v>
      </c>
      <c r="I154" t="n">
        <v>0</v>
      </c>
      <c r="J154" t="n">
        <v>0</v>
      </c>
      <c r="K154" t="n">
        <v>1</v>
      </c>
      <c r="L154" t="n">
        <v>0</v>
      </c>
      <c r="M154" t="n">
        <v>0</v>
      </c>
      <c r="N154" t="n">
        <v>0</v>
      </c>
      <c r="O154" t="n">
        <v>1</v>
      </c>
      <c r="P154" t="n">
        <v>1</v>
      </c>
      <c r="Q154" t="n">
        <v>1</v>
      </c>
      <c r="R154" s="2" t="inlineStr">
        <is>
          <t>Slåttergubbe</t>
        </is>
      </c>
      <c r="S154">
        <f>HYPERLINK("https://klasma.github.io/Logging_1293/artfynd/A 28988-2019 artfynd.xlsx", "A 28988-2019")</f>
        <v/>
      </c>
      <c r="T154">
        <f>HYPERLINK("https://klasma.github.io/Logging_1293/kartor/A 28988-2019 karta.png", "A 28988-2019")</f>
        <v/>
      </c>
      <c r="V154">
        <f>HYPERLINK("https://klasma.github.io/Logging_1293/klagomål/A 28988-2019 FSC-klagomål.docx", "A 28988-2019")</f>
        <v/>
      </c>
      <c r="W154">
        <f>HYPERLINK("https://klasma.github.io/Logging_1293/klagomålsmail/A 28988-2019 FSC-klagomål mail.docx", "A 28988-2019")</f>
        <v/>
      </c>
      <c r="X154">
        <f>HYPERLINK("https://klasma.github.io/Logging_1293/tillsyn/A 28988-2019 tillsynsbegäran.docx", "A 28988-2019")</f>
        <v/>
      </c>
      <c r="Y154">
        <f>HYPERLINK("https://klasma.github.io/Logging_1293/tillsynsmail/A 28988-2019 tillsynsbegäran mail.docx", "A 28988-2019")</f>
        <v/>
      </c>
    </row>
    <row r="155" ht="15" customHeight="1">
      <c r="A155" t="inlineStr">
        <is>
          <t>A 29223-2019</t>
        </is>
      </c>
      <c r="B155" s="1" t="n">
        <v>43629</v>
      </c>
      <c r="C155" s="1" t="n">
        <v>45570</v>
      </c>
      <c r="D155" t="inlineStr">
        <is>
          <t>SKÅNE LÄN</t>
        </is>
      </c>
      <c r="E155" t="inlineStr">
        <is>
          <t>HÄSSLEHOLM</t>
        </is>
      </c>
      <c r="G155" t="n">
        <v>1.6</v>
      </c>
      <c r="H155" t="n">
        <v>0</v>
      </c>
      <c r="I155" t="n">
        <v>0</v>
      </c>
      <c r="J155" t="n">
        <v>1</v>
      </c>
      <c r="K155" t="n">
        <v>0</v>
      </c>
      <c r="L155" t="n">
        <v>0</v>
      </c>
      <c r="M155" t="n">
        <v>0</v>
      </c>
      <c r="N155" t="n">
        <v>0</v>
      </c>
      <c r="O155" t="n">
        <v>1</v>
      </c>
      <c r="P155" t="n">
        <v>0</v>
      </c>
      <c r="Q155" t="n">
        <v>1</v>
      </c>
      <c r="R155" s="2" t="inlineStr">
        <is>
          <t>Brandbitterskivling</t>
        </is>
      </c>
      <c r="S155">
        <f>HYPERLINK("https://klasma.github.io/Logging_1293/artfynd/A 29223-2019 artfynd.xlsx", "A 29223-2019")</f>
        <v/>
      </c>
      <c r="T155">
        <f>HYPERLINK("https://klasma.github.io/Logging_1293/kartor/A 29223-2019 karta.png", "A 29223-2019")</f>
        <v/>
      </c>
      <c r="V155">
        <f>HYPERLINK("https://klasma.github.io/Logging_1293/klagomål/A 29223-2019 FSC-klagomål.docx", "A 29223-2019")</f>
        <v/>
      </c>
      <c r="W155">
        <f>HYPERLINK("https://klasma.github.io/Logging_1293/klagomålsmail/A 29223-2019 FSC-klagomål mail.docx", "A 29223-2019")</f>
        <v/>
      </c>
      <c r="X155">
        <f>HYPERLINK("https://klasma.github.io/Logging_1293/tillsyn/A 29223-2019 tillsynsbegäran.docx", "A 29223-2019")</f>
        <v/>
      </c>
      <c r="Y155">
        <f>HYPERLINK("https://klasma.github.io/Logging_1293/tillsynsmail/A 29223-2019 tillsynsbegäran mail.docx", "A 29223-2019")</f>
        <v/>
      </c>
    </row>
    <row r="156" ht="15" customHeight="1">
      <c r="A156" t="inlineStr">
        <is>
          <t>A 29765-2019</t>
        </is>
      </c>
      <c r="B156" s="1" t="n">
        <v>43632</v>
      </c>
      <c r="C156" s="1" t="n">
        <v>45570</v>
      </c>
      <c r="D156" t="inlineStr">
        <is>
          <t>SKÅNE LÄN</t>
        </is>
      </c>
      <c r="E156" t="inlineStr">
        <is>
          <t>HÄSSLEHOLM</t>
        </is>
      </c>
      <c r="G156" t="n">
        <v>13.9</v>
      </c>
      <c r="H156" t="n">
        <v>0</v>
      </c>
      <c r="I156" t="n">
        <v>0</v>
      </c>
      <c r="J156" t="n">
        <v>0</v>
      </c>
      <c r="K156" t="n">
        <v>0</v>
      </c>
      <c r="L156" t="n">
        <v>0</v>
      </c>
      <c r="M156" t="n">
        <v>1</v>
      </c>
      <c r="N156" t="n">
        <v>0</v>
      </c>
      <c r="O156" t="n">
        <v>1</v>
      </c>
      <c r="P156" t="n">
        <v>1</v>
      </c>
      <c r="Q156" t="n">
        <v>1</v>
      </c>
      <c r="R156" s="2" t="inlineStr">
        <is>
          <t>Flodkräfta</t>
        </is>
      </c>
      <c r="S156">
        <f>HYPERLINK("https://klasma.github.io/Logging_1293/artfynd/A 29765-2019 artfynd.xlsx", "A 29765-2019")</f>
        <v/>
      </c>
      <c r="T156">
        <f>HYPERLINK("https://klasma.github.io/Logging_1293/kartor/A 29765-2019 karta.png", "A 29765-2019")</f>
        <v/>
      </c>
      <c r="V156">
        <f>HYPERLINK("https://klasma.github.io/Logging_1293/klagomål/A 29765-2019 FSC-klagomål.docx", "A 29765-2019")</f>
        <v/>
      </c>
      <c r="W156">
        <f>HYPERLINK("https://klasma.github.io/Logging_1293/klagomålsmail/A 29765-2019 FSC-klagomål mail.docx", "A 29765-2019")</f>
        <v/>
      </c>
      <c r="X156">
        <f>HYPERLINK("https://klasma.github.io/Logging_1293/tillsyn/A 29765-2019 tillsynsbegäran.docx", "A 29765-2019")</f>
        <v/>
      </c>
      <c r="Y156">
        <f>HYPERLINK("https://klasma.github.io/Logging_1293/tillsynsmail/A 29765-2019 tillsynsbegäran mail.docx", "A 29765-2019")</f>
        <v/>
      </c>
    </row>
    <row r="157" ht="15" customHeight="1">
      <c r="A157" t="inlineStr">
        <is>
          <t>A 30710-2019</t>
        </is>
      </c>
      <c r="B157" s="1" t="n">
        <v>43636</v>
      </c>
      <c r="C157" s="1" t="n">
        <v>45570</v>
      </c>
      <c r="D157" t="inlineStr">
        <is>
          <t>SKÅNE LÄN</t>
        </is>
      </c>
      <c r="E157" t="inlineStr">
        <is>
          <t>SVEDALA</t>
        </is>
      </c>
      <c r="G157" t="n">
        <v>1.5</v>
      </c>
      <c r="H157" t="n">
        <v>0</v>
      </c>
      <c r="I157" t="n">
        <v>1</v>
      </c>
      <c r="J157" t="n">
        <v>0</v>
      </c>
      <c r="K157" t="n">
        <v>0</v>
      </c>
      <c r="L157" t="n">
        <v>0</v>
      </c>
      <c r="M157" t="n">
        <v>0</v>
      </c>
      <c r="N157" t="n">
        <v>0</v>
      </c>
      <c r="O157" t="n">
        <v>0</v>
      </c>
      <c r="P157" t="n">
        <v>0</v>
      </c>
      <c r="Q157" t="n">
        <v>1</v>
      </c>
      <c r="R157" s="2" t="inlineStr">
        <is>
          <t>Bokoxe</t>
        </is>
      </c>
      <c r="S157">
        <f>HYPERLINK("https://klasma.github.io/Logging_1263/artfynd/A 30710-2019 artfynd.xlsx", "A 30710-2019")</f>
        <v/>
      </c>
      <c r="T157">
        <f>HYPERLINK("https://klasma.github.io/Logging_1263/kartor/A 30710-2019 karta.png", "A 30710-2019")</f>
        <v/>
      </c>
      <c r="V157">
        <f>HYPERLINK("https://klasma.github.io/Logging_1263/klagomål/A 30710-2019 FSC-klagomål.docx", "A 30710-2019")</f>
        <v/>
      </c>
      <c r="W157">
        <f>HYPERLINK("https://klasma.github.io/Logging_1263/klagomålsmail/A 30710-2019 FSC-klagomål mail.docx", "A 30710-2019")</f>
        <v/>
      </c>
      <c r="X157">
        <f>HYPERLINK("https://klasma.github.io/Logging_1263/tillsyn/A 30710-2019 tillsynsbegäran.docx", "A 30710-2019")</f>
        <v/>
      </c>
      <c r="Y157">
        <f>HYPERLINK("https://klasma.github.io/Logging_1263/tillsynsmail/A 30710-2019 tillsynsbegäran mail.docx", "A 30710-2019")</f>
        <v/>
      </c>
    </row>
    <row r="158" ht="15" customHeight="1">
      <c r="A158" t="inlineStr">
        <is>
          <t>A 32997-2019</t>
        </is>
      </c>
      <c r="B158" s="1" t="n">
        <v>43649</v>
      </c>
      <c r="C158" s="1" t="n">
        <v>45570</v>
      </c>
      <c r="D158" t="inlineStr">
        <is>
          <t>SKÅNE LÄN</t>
        </is>
      </c>
      <c r="E158" t="inlineStr">
        <is>
          <t>HÄSSLEHOLM</t>
        </is>
      </c>
      <c r="G158" t="n">
        <v>3.9</v>
      </c>
      <c r="H158" t="n">
        <v>1</v>
      </c>
      <c r="I158" t="n">
        <v>0</v>
      </c>
      <c r="J158" t="n">
        <v>0</v>
      </c>
      <c r="K158" t="n">
        <v>1</v>
      </c>
      <c r="L158" t="n">
        <v>0</v>
      </c>
      <c r="M158" t="n">
        <v>0</v>
      </c>
      <c r="N158" t="n">
        <v>0</v>
      </c>
      <c r="O158" t="n">
        <v>1</v>
      </c>
      <c r="P158" t="n">
        <v>1</v>
      </c>
      <c r="Q158" t="n">
        <v>1</v>
      </c>
      <c r="R158" s="2" t="inlineStr">
        <is>
          <t>Knärot</t>
        </is>
      </c>
      <c r="S158">
        <f>HYPERLINK("https://klasma.github.io/Logging_1293/artfynd/A 32997-2019 artfynd.xlsx", "A 32997-2019")</f>
        <v/>
      </c>
      <c r="T158">
        <f>HYPERLINK("https://klasma.github.io/Logging_1293/kartor/A 32997-2019 karta.png", "A 32997-2019")</f>
        <v/>
      </c>
      <c r="U158">
        <f>HYPERLINK("https://klasma.github.io/Logging_1293/knärot/A 32997-2019 karta knärot.png", "A 32997-2019")</f>
        <v/>
      </c>
      <c r="V158">
        <f>HYPERLINK("https://klasma.github.io/Logging_1293/klagomål/A 32997-2019 FSC-klagomål.docx", "A 32997-2019")</f>
        <v/>
      </c>
      <c r="W158">
        <f>HYPERLINK("https://klasma.github.io/Logging_1293/klagomålsmail/A 32997-2019 FSC-klagomål mail.docx", "A 32997-2019")</f>
        <v/>
      </c>
      <c r="X158">
        <f>HYPERLINK("https://klasma.github.io/Logging_1293/tillsyn/A 32997-2019 tillsynsbegäran.docx", "A 32997-2019")</f>
        <v/>
      </c>
      <c r="Y158">
        <f>HYPERLINK("https://klasma.github.io/Logging_1293/tillsynsmail/A 32997-2019 tillsynsbegäran mail.docx", "A 32997-2019")</f>
        <v/>
      </c>
    </row>
    <row r="159" ht="15" customHeight="1">
      <c r="A159" t="inlineStr">
        <is>
          <t>A 33889-2019</t>
        </is>
      </c>
      <c r="B159" s="1" t="n">
        <v>43653</v>
      </c>
      <c r="C159" s="1" t="n">
        <v>45570</v>
      </c>
      <c r="D159" t="inlineStr">
        <is>
          <t>SKÅNE LÄN</t>
        </is>
      </c>
      <c r="E159" t="inlineStr">
        <is>
          <t>KLIPPAN</t>
        </is>
      </c>
      <c r="G159" t="n">
        <v>3.7</v>
      </c>
      <c r="H159" t="n">
        <v>1</v>
      </c>
      <c r="I159" t="n">
        <v>0</v>
      </c>
      <c r="J159" t="n">
        <v>0</v>
      </c>
      <c r="K159" t="n">
        <v>0</v>
      </c>
      <c r="L159" t="n">
        <v>0</v>
      </c>
      <c r="M159" t="n">
        <v>0</v>
      </c>
      <c r="N159" t="n">
        <v>0</v>
      </c>
      <c r="O159" t="n">
        <v>0</v>
      </c>
      <c r="P159" t="n">
        <v>0</v>
      </c>
      <c r="Q159" t="n">
        <v>1</v>
      </c>
      <c r="R159" s="2" t="inlineStr">
        <is>
          <t>Vanlig padda</t>
        </is>
      </c>
      <c r="S159">
        <f>HYPERLINK("https://klasma.github.io/Logging_1276/artfynd/A 33889-2019 artfynd.xlsx", "A 33889-2019")</f>
        <v/>
      </c>
      <c r="T159">
        <f>HYPERLINK("https://klasma.github.io/Logging_1276/kartor/A 33889-2019 karta.png", "A 33889-2019")</f>
        <v/>
      </c>
      <c r="V159">
        <f>HYPERLINK("https://klasma.github.io/Logging_1276/klagomål/A 33889-2019 FSC-klagomål.docx", "A 33889-2019")</f>
        <v/>
      </c>
      <c r="W159">
        <f>HYPERLINK("https://klasma.github.io/Logging_1276/klagomålsmail/A 33889-2019 FSC-klagomål mail.docx", "A 33889-2019")</f>
        <v/>
      </c>
      <c r="X159">
        <f>HYPERLINK("https://klasma.github.io/Logging_1276/tillsyn/A 33889-2019 tillsynsbegäran.docx", "A 33889-2019")</f>
        <v/>
      </c>
      <c r="Y159">
        <f>HYPERLINK("https://klasma.github.io/Logging_1276/tillsynsmail/A 33889-2019 tillsynsbegäran mail.docx", "A 33889-2019")</f>
        <v/>
      </c>
    </row>
    <row r="160" ht="15" customHeight="1">
      <c r="A160" t="inlineStr">
        <is>
          <t>A 38268-2019</t>
        </is>
      </c>
      <c r="B160" s="1" t="n">
        <v>43684</v>
      </c>
      <c r="C160" s="1" t="n">
        <v>45570</v>
      </c>
      <c r="D160" t="inlineStr">
        <is>
          <t>SKÅNE LÄN</t>
        </is>
      </c>
      <c r="E160" t="inlineStr">
        <is>
          <t>OSBY</t>
        </is>
      </c>
      <c r="G160" t="n">
        <v>0.4</v>
      </c>
      <c r="H160" t="n">
        <v>0</v>
      </c>
      <c r="I160" t="n">
        <v>0</v>
      </c>
      <c r="J160" t="n">
        <v>0</v>
      </c>
      <c r="K160" t="n">
        <v>0</v>
      </c>
      <c r="L160" t="n">
        <v>1</v>
      </c>
      <c r="M160" t="n">
        <v>0</v>
      </c>
      <c r="N160" t="n">
        <v>0</v>
      </c>
      <c r="O160" t="n">
        <v>1</v>
      </c>
      <c r="P160" t="n">
        <v>1</v>
      </c>
      <c r="Q160" t="n">
        <v>1</v>
      </c>
      <c r="R160" s="2" t="inlineStr">
        <is>
          <t>Ask</t>
        </is>
      </c>
      <c r="S160">
        <f>HYPERLINK("https://klasma.github.io/Logging_1273/artfynd/A 38268-2019 artfynd.xlsx", "A 38268-2019")</f>
        <v/>
      </c>
      <c r="T160">
        <f>HYPERLINK("https://klasma.github.io/Logging_1273/kartor/A 38268-2019 karta.png", "A 38268-2019")</f>
        <v/>
      </c>
      <c r="V160">
        <f>HYPERLINK("https://klasma.github.io/Logging_1273/klagomål/A 38268-2019 FSC-klagomål.docx", "A 38268-2019")</f>
        <v/>
      </c>
      <c r="W160">
        <f>HYPERLINK("https://klasma.github.io/Logging_1273/klagomålsmail/A 38268-2019 FSC-klagomål mail.docx", "A 38268-2019")</f>
        <v/>
      </c>
      <c r="X160">
        <f>HYPERLINK("https://klasma.github.io/Logging_1273/tillsyn/A 38268-2019 tillsynsbegäran.docx", "A 38268-2019")</f>
        <v/>
      </c>
      <c r="Y160">
        <f>HYPERLINK("https://klasma.github.io/Logging_1273/tillsynsmail/A 38268-2019 tillsynsbegäran mail.docx", "A 38268-2019")</f>
        <v/>
      </c>
    </row>
    <row r="161" ht="15" customHeight="1">
      <c r="A161" t="inlineStr">
        <is>
          <t>A 38678-2019</t>
        </is>
      </c>
      <c r="B161" s="1" t="n">
        <v>43684</v>
      </c>
      <c r="C161" s="1" t="n">
        <v>45570</v>
      </c>
      <c r="D161" t="inlineStr">
        <is>
          <t>SKÅNE LÄN</t>
        </is>
      </c>
      <c r="E161" t="inlineStr">
        <is>
          <t>KRISTIANSTAD</t>
        </is>
      </c>
      <c r="G161" t="n">
        <v>2.5</v>
      </c>
      <c r="H161" t="n">
        <v>1</v>
      </c>
      <c r="I161" t="n">
        <v>0</v>
      </c>
      <c r="J161" t="n">
        <v>0</v>
      </c>
      <c r="K161" t="n">
        <v>1</v>
      </c>
      <c r="L161" t="n">
        <v>0</v>
      </c>
      <c r="M161" t="n">
        <v>0</v>
      </c>
      <c r="N161" t="n">
        <v>0</v>
      </c>
      <c r="O161" t="n">
        <v>1</v>
      </c>
      <c r="P161" t="n">
        <v>1</v>
      </c>
      <c r="Q161" t="n">
        <v>1</v>
      </c>
      <c r="R161" s="2" t="inlineStr">
        <is>
          <t>Backsippa</t>
        </is>
      </c>
      <c r="S161">
        <f>HYPERLINK("https://klasma.github.io/Logging_1290/artfynd/A 38678-2019 artfynd.xlsx", "A 38678-2019")</f>
        <v/>
      </c>
      <c r="T161">
        <f>HYPERLINK("https://klasma.github.io/Logging_1290/kartor/A 38678-2019 karta.png", "A 38678-2019")</f>
        <v/>
      </c>
      <c r="V161">
        <f>HYPERLINK("https://klasma.github.io/Logging_1290/klagomål/A 38678-2019 FSC-klagomål.docx", "A 38678-2019")</f>
        <v/>
      </c>
      <c r="W161">
        <f>HYPERLINK("https://klasma.github.io/Logging_1290/klagomålsmail/A 38678-2019 FSC-klagomål mail.docx", "A 38678-2019")</f>
        <v/>
      </c>
      <c r="X161">
        <f>HYPERLINK("https://klasma.github.io/Logging_1290/tillsyn/A 38678-2019 tillsynsbegäran.docx", "A 38678-2019")</f>
        <v/>
      </c>
      <c r="Y161">
        <f>HYPERLINK("https://klasma.github.io/Logging_1290/tillsynsmail/A 38678-2019 tillsynsbegäran mail.docx", "A 38678-2019")</f>
        <v/>
      </c>
    </row>
    <row r="162" ht="15" customHeight="1">
      <c r="A162" t="inlineStr">
        <is>
          <t>A 46202-2019</t>
        </is>
      </c>
      <c r="B162" s="1" t="n">
        <v>43713</v>
      </c>
      <c r="C162" s="1" t="n">
        <v>45570</v>
      </c>
      <c r="D162" t="inlineStr">
        <is>
          <t>SKÅNE LÄN</t>
        </is>
      </c>
      <c r="E162" t="inlineStr">
        <is>
          <t>SVEDALA</t>
        </is>
      </c>
      <c r="G162" t="n">
        <v>2.5</v>
      </c>
      <c r="H162" t="n">
        <v>0</v>
      </c>
      <c r="I162" t="n">
        <v>0</v>
      </c>
      <c r="J162" t="n">
        <v>0</v>
      </c>
      <c r="K162" t="n">
        <v>0</v>
      </c>
      <c r="L162" t="n">
        <v>1</v>
      </c>
      <c r="M162" t="n">
        <v>0</v>
      </c>
      <c r="N162" t="n">
        <v>0</v>
      </c>
      <c r="O162" t="n">
        <v>1</v>
      </c>
      <c r="P162" t="n">
        <v>1</v>
      </c>
      <c r="Q162" t="n">
        <v>1</v>
      </c>
      <c r="R162" s="2" t="inlineStr">
        <is>
          <t>Ask</t>
        </is>
      </c>
      <c r="S162">
        <f>HYPERLINK("https://klasma.github.io/Logging_1263/artfynd/A 46202-2019 artfynd.xlsx", "A 46202-2019")</f>
        <v/>
      </c>
      <c r="T162">
        <f>HYPERLINK("https://klasma.github.io/Logging_1263/kartor/A 46202-2019 karta.png", "A 46202-2019")</f>
        <v/>
      </c>
      <c r="V162">
        <f>HYPERLINK("https://klasma.github.io/Logging_1263/klagomål/A 46202-2019 FSC-klagomål.docx", "A 46202-2019")</f>
        <v/>
      </c>
      <c r="W162">
        <f>HYPERLINK("https://klasma.github.io/Logging_1263/klagomålsmail/A 46202-2019 FSC-klagomål mail.docx", "A 46202-2019")</f>
        <v/>
      </c>
      <c r="X162">
        <f>HYPERLINK("https://klasma.github.io/Logging_1263/tillsyn/A 46202-2019 tillsynsbegäran.docx", "A 46202-2019")</f>
        <v/>
      </c>
      <c r="Y162">
        <f>HYPERLINK("https://klasma.github.io/Logging_1263/tillsynsmail/A 46202-2019 tillsynsbegäran mail.docx", "A 46202-2019")</f>
        <v/>
      </c>
    </row>
    <row r="163" ht="15" customHeight="1">
      <c r="A163" t="inlineStr">
        <is>
          <t>A 46680-2019</t>
        </is>
      </c>
      <c r="B163" s="1" t="n">
        <v>43717</v>
      </c>
      <c r="C163" s="1" t="n">
        <v>45570</v>
      </c>
      <c r="D163" t="inlineStr">
        <is>
          <t>SKÅNE LÄN</t>
        </is>
      </c>
      <c r="E163" t="inlineStr">
        <is>
          <t>KRISTIANSTAD</t>
        </is>
      </c>
      <c r="G163" t="n">
        <v>2</v>
      </c>
      <c r="H163" t="n">
        <v>0</v>
      </c>
      <c r="I163" t="n">
        <v>1</v>
      </c>
      <c r="J163" t="n">
        <v>0</v>
      </c>
      <c r="K163" t="n">
        <v>0</v>
      </c>
      <c r="L163" t="n">
        <v>0</v>
      </c>
      <c r="M163" t="n">
        <v>0</v>
      </c>
      <c r="N163" t="n">
        <v>0</v>
      </c>
      <c r="O163" t="n">
        <v>0</v>
      </c>
      <c r="P163" t="n">
        <v>0</v>
      </c>
      <c r="Q163" t="n">
        <v>1</v>
      </c>
      <c r="R163" s="2" t="inlineStr">
        <is>
          <t>Kransrams</t>
        </is>
      </c>
      <c r="S163">
        <f>HYPERLINK("https://klasma.github.io/Logging_1290/artfynd/A 46680-2019 artfynd.xlsx", "A 46680-2019")</f>
        <v/>
      </c>
      <c r="T163">
        <f>HYPERLINK("https://klasma.github.io/Logging_1290/kartor/A 46680-2019 karta.png", "A 46680-2019")</f>
        <v/>
      </c>
      <c r="V163">
        <f>HYPERLINK("https://klasma.github.io/Logging_1290/klagomål/A 46680-2019 FSC-klagomål.docx", "A 46680-2019")</f>
        <v/>
      </c>
      <c r="W163">
        <f>HYPERLINK("https://klasma.github.io/Logging_1290/klagomålsmail/A 46680-2019 FSC-klagomål mail.docx", "A 46680-2019")</f>
        <v/>
      </c>
      <c r="X163">
        <f>HYPERLINK("https://klasma.github.io/Logging_1290/tillsyn/A 46680-2019 tillsynsbegäran.docx", "A 46680-2019")</f>
        <v/>
      </c>
      <c r="Y163">
        <f>HYPERLINK("https://klasma.github.io/Logging_1290/tillsynsmail/A 46680-2019 tillsynsbegäran mail.docx", "A 46680-2019")</f>
        <v/>
      </c>
    </row>
    <row r="164" ht="15" customHeight="1">
      <c r="A164" t="inlineStr">
        <is>
          <t>A 47468-2019</t>
        </is>
      </c>
      <c r="B164" s="1" t="n">
        <v>43724</v>
      </c>
      <c r="C164" s="1" t="n">
        <v>45570</v>
      </c>
      <c r="D164" t="inlineStr">
        <is>
          <t>SKÅNE LÄN</t>
        </is>
      </c>
      <c r="E164" t="inlineStr">
        <is>
          <t>HÄSSLEHOLM</t>
        </is>
      </c>
      <c r="G164" t="n">
        <v>3.3</v>
      </c>
      <c r="H164" t="n">
        <v>1</v>
      </c>
      <c r="I164" t="n">
        <v>0</v>
      </c>
      <c r="J164" t="n">
        <v>0</v>
      </c>
      <c r="K164" t="n">
        <v>0</v>
      </c>
      <c r="L164" t="n">
        <v>0</v>
      </c>
      <c r="M164" t="n">
        <v>0</v>
      </c>
      <c r="N164" t="n">
        <v>0</v>
      </c>
      <c r="O164" t="n">
        <v>0</v>
      </c>
      <c r="P164" t="n">
        <v>0</v>
      </c>
      <c r="Q164" t="n">
        <v>1</v>
      </c>
      <c r="R164" s="2" t="inlineStr">
        <is>
          <t>Gullviva</t>
        </is>
      </c>
      <c r="S164">
        <f>HYPERLINK("https://klasma.github.io/Logging_1293/artfynd/A 47468-2019 artfynd.xlsx", "A 47468-2019")</f>
        <v/>
      </c>
      <c r="T164">
        <f>HYPERLINK("https://klasma.github.io/Logging_1293/kartor/A 47468-2019 karta.png", "A 47468-2019")</f>
        <v/>
      </c>
      <c r="V164">
        <f>HYPERLINK("https://klasma.github.io/Logging_1293/klagomål/A 47468-2019 FSC-klagomål.docx", "A 47468-2019")</f>
        <v/>
      </c>
      <c r="W164">
        <f>HYPERLINK("https://klasma.github.io/Logging_1293/klagomålsmail/A 47468-2019 FSC-klagomål mail.docx", "A 47468-2019")</f>
        <v/>
      </c>
      <c r="X164">
        <f>HYPERLINK("https://klasma.github.io/Logging_1293/tillsyn/A 47468-2019 tillsynsbegäran.docx", "A 47468-2019")</f>
        <v/>
      </c>
      <c r="Y164">
        <f>HYPERLINK("https://klasma.github.io/Logging_1293/tillsynsmail/A 47468-2019 tillsynsbegäran mail.docx", "A 47468-2019")</f>
        <v/>
      </c>
    </row>
    <row r="165" ht="15" customHeight="1">
      <c r="A165" t="inlineStr">
        <is>
          <t>A 47678-2019</t>
        </is>
      </c>
      <c r="B165" s="1" t="n">
        <v>43724</v>
      </c>
      <c r="C165" s="1" t="n">
        <v>45570</v>
      </c>
      <c r="D165" t="inlineStr">
        <is>
          <t>SKÅNE LÄN</t>
        </is>
      </c>
      <c r="E165" t="inlineStr">
        <is>
          <t>HÄSSLEHOLM</t>
        </is>
      </c>
      <c r="G165" t="n">
        <v>3.7</v>
      </c>
      <c r="H165" t="n">
        <v>0</v>
      </c>
      <c r="I165" t="n">
        <v>0</v>
      </c>
      <c r="J165" t="n">
        <v>1</v>
      </c>
      <c r="K165" t="n">
        <v>0</v>
      </c>
      <c r="L165" t="n">
        <v>0</v>
      </c>
      <c r="M165" t="n">
        <v>0</v>
      </c>
      <c r="N165" t="n">
        <v>0</v>
      </c>
      <c r="O165" t="n">
        <v>1</v>
      </c>
      <c r="P165" t="n">
        <v>0</v>
      </c>
      <c r="Q165" t="n">
        <v>1</v>
      </c>
      <c r="R165" s="2" t="inlineStr">
        <is>
          <t>Nålbjörnbär</t>
        </is>
      </c>
      <c r="S165">
        <f>HYPERLINK("https://klasma.github.io/Logging_1293/artfynd/A 47678-2019 artfynd.xlsx", "A 47678-2019")</f>
        <v/>
      </c>
      <c r="T165">
        <f>HYPERLINK("https://klasma.github.io/Logging_1293/kartor/A 47678-2019 karta.png", "A 47678-2019")</f>
        <v/>
      </c>
      <c r="V165">
        <f>HYPERLINK("https://klasma.github.io/Logging_1293/klagomål/A 47678-2019 FSC-klagomål.docx", "A 47678-2019")</f>
        <v/>
      </c>
      <c r="W165">
        <f>HYPERLINK("https://klasma.github.io/Logging_1293/klagomålsmail/A 47678-2019 FSC-klagomål mail.docx", "A 47678-2019")</f>
        <v/>
      </c>
      <c r="X165">
        <f>HYPERLINK("https://klasma.github.io/Logging_1293/tillsyn/A 47678-2019 tillsynsbegäran.docx", "A 47678-2019")</f>
        <v/>
      </c>
      <c r="Y165">
        <f>HYPERLINK("https://klasma.github.io/Logging_1293/tillsynsmail/A 47678-2019 tillsynsbegäran mail.docx", "A 47678-2019")</f>
        <v/>
      </c>
    </row>
    <row r="166" ht="15" customHeight="1">
      <c r="A166" t="inlineStr">
        <is>
          <t>A 51114-2019</t>
        </is>
      </c>
      <c r="B166" s="1" t="n">
        <v>43732</v>
      </c>
      <c r="C166" s="1" t="n">
        <v>45570</v>
      </c>
      <c r="D166" t="inlineStr">
        <is>
          <t>SKÅNE LÄN</t>
        </is>
      </c>
      <c r="E166" t="inlineStr">
        <is>
          <t>ÄNGELHOLM</t>
        </is>
      </c>
      <c r="G166" t="n">
        <v>10</v>
      </c>
      <c r="H166" t="n">
        <v>0</v>
      </c>
      <c r="I166" t="n">
        <v>0</v>
      </c>
      <c r="J166" t="n">
        <v>1</v>
      </c>
      <c r="K166" t="n">
        <v>0</v>
      </c>
      <c r="L166" t="n">
        <v>0</v>
      </c>
      <c r="M166" t="n">
        <v>0</v>
      </c>
      <c r="N166" t="n">
        <v>0</v>
      </c>
      <c r="O166" t="n">
        <v>1</v>
      </c>
      <c r="P166" t="n">
        <v>0</v>
      </c>
      <c r="Q166" t="n">
        <v>1</v>
      </c>
      <c r="R166" s="2" t="inlineStr">
        <is>
          <t>Borsttåg</t>
        </is>
      </c>
      <c r="S166">
        <f>HYPERLINK("https://klasma.github.io/Logging_1292/artfynd/A 51114-2019 artfynd.xlsx", "A 51114-2019")</f>
        <v/>
      </c>
      <c r="T166">
        <f>HYPERLINK("https://klasma.github.io/Logging_1292/kartor/A 51114-2019 karta.png", "A 51114-2019")</f>
        <v/>
      </c>
      <c r="V166">
        <f>HYPERLINK("https://klasma.github.io/Logging_1292/klagomål/A 51114-2019 FSC-klagomål.docx", "A 51114-2019")</f>
        <v/>
      </c>
      <c r="W166">
        <f>HYPERLINK("https://klasma.github.io/Logging_1292/klagomålsmail/A 51114-2019 FSC-klagomål mail.docx", "A 51114-2019")</f>
        <v/>
      </c>
      <c r="X166">
        <f>HYPERLINK("https://klasma.github.io/Logging_1292/tillsyn/A 51114-2019 tillsynsbegäran.docx", "A 51114-2019")</f>
        <v/>
      </c>
      <c r="Y166">
        <f>HYPERLINK("https://klasma.github.io/Logging_1292/tillsynsmail/A 51114-2019 tillsynsbegäran mail.docx", "A 51114-2019")</f>
        <v/>
      </c>
    </row>
    <row r="167" ht="15" customHeight="1">
      <c r="A167" t="inlineStr">
        <is>
          <t>A 51102-2019</t>
        </is>
      </c>
      <c r="B167" s="1" t="n">
        <v>43732</v>
      </c>
      <c r="C167" s="1" t="n">
        <v>45570</v>
      </c>
      <c r="D167" t="inlineStr">
        <is>
          <t>SKÅNE LÄN</t>
        </is>
      </c>
      <c r="E167" t="inlineStr">
        <is>
          <t>ÖRKELLJUNGA</t>
        </is>
      </c>
      <c r="G167" t="n">
        <v>15</v>
      </c>
      <c r="H167" t="n">
        <v>0</v>
      </c>
      <c r="I167" t="n">
        <v>0</v>
      </c>
      <c r="J167" t="n">
        <v>1</v>
      </c>
      <c r="K167" t="n">
        <v>0</v>
      </c>
      <c r="L167" t="n">
        <v>0</v>
      </c>
      <c r="M167" t="n">
        <v>0</v>
      </c>
      <c r="N167" t="n">
        <v>0</v>
      </c>
      <c r="O167" t="n">
        <v>1</v>
      </c>
      <c r="P167" t="n">
        <v>0</v>
      </c>
      <c r="Q167" t="n">
        <v>1</v>
      </c>
      <c r="R167" s="2" t="inlineStr">
        <is>
          <t>Svinrot</t>
        </is>
      </c>
      <c r="S167">
        <f>HYPERLINK("https://klasma.github.io/Logging_1257/artfynd/A 51102-2019 artfynd.xlsx", "A 51102-2019")</f>
        <v/>
      </c>
      <c r="T167">
        <f>HYPERLINK("https://klasma.github.io/Logging_1257/kartor/A 51102-2019 karta.png", "A 51102-2019")</f>
        <v/>
      </c>
      <c r="V167">
        <f>HYPERLINK("https://klasma.github.io/Logging_1257/klagomål/A 51102-2019 FSC-klagomål.docx", "A 51102-2019")</f>
        <v/>
      </c>
      <c r="W167">
        <f>HYPERLINK("https://klasma.github.io/Logging_1257/klagomålsmail/A 51102-2019 FSC-klagomål mail.docx", "A 51102-2019")</f>
        <v/>
      </c>
      <c r="X167">
        <f>HYPERLINK("https://klasma.github.io/Logging_1257/tillsyn/A 51102-2019 tillsynsbegäran.docx", "A 51102-2019")</f>
        <v/>
      </c>
      <c r="Y167">
        <f>HYPERLINK("https://klasma.github.io/Logging_1257/tillsynsmail/A 51102-2019 tillsynsbegäran mail.docx", "A 51102-2019")</f>
        <v/>
      </c>
    </row>
    <row r="168" ht="15" customHeight="1">
      <c r="A168" t="inlineStr">
        <is>
          <t>A 51847-2019</t>
        </is>
      </c>
      <c r="B168" s="1" t="n">
        <v>43734</v>
      </c>
      <c r="C168" s="1" t="n">
        <v>45570</v>
      </c>
      <c r="D168" t="inlineStr">
        <is>
          <t>SKÅNE LÄN</t>
        </is>
      </c>
      <c r="E168" t="inlineStr">
        <is>
          <t>SJÖBO</t>
        </is>
      </c>
      <c r="G168" t="n">
        <v>1.6</v>
      </c>
      <c r="H168" t="n">
        <v>0</v>
      </c>
      <c r="I168" t="n">
        <v>1</v>
      </c>
      <c r="J168" t="n">
        <v>0</v>
      </c>
      <c r="K168" t="n">
        <v>0</v>
      </c>
      <c r="L168" t="n">
        <v>0</v>
      </c>
      <c r="M168" t="n">
        <v>0</v>
      </c>
      <c r="N168" t="n">
        <v>0</v>
      </c>
      <c r="O168" t="n">
        <v>0</v>
      </c>
      <c r="P168" t="n">
        <v>0</v>
      </c>
      <c r="Q168" t="n">
        <v>1</v>
      </c>
      <c r="R168" s="2" t="inlineStr">
        <is>
          <t>Kamtuffmossa</t>
        </is>
      </c>
      <c r="S168">
        <f>HYPERLINK("https://klasma.github.io/Logging_1265/artfynd/A 51847-2019 artfynd.xlsx", "A 51847-2019")</f>
        <v/>
      </c>
      <c r="T168">
        <f>HYPERLINK("https://klasma.github.io/Logging_1265/kartor/A 51847-2019 karta.png", "A 51847-2019")</f>
        <v/>
      </c>
      <c r="V168">
        <f>HYPERLINK("https://klasma.github.io/Logging_1265/klagomål/A 51847-2019 FSC-klagomål.docx", "A 51847-2019")</f>
        <v/>
      </c>
      <c r="W168">
        <f>HYPERLINK("https://klasma.github.io/Logging_1265/klagomålsmail/A 51847-2019 FSC-klagomål mail.docx", "A 51847-2019")</f>
        <v/>
      </c>
      <c r="X168">
        <f>HYPERLINK("https://klasma.github.io/Logging_1265/tillsyn/A 51847-2019 tillsynsbegäran.docx", "A 51847-2019")</f>
        <v/>
      </c>
      <c r="Y168">
        <f>HYPERLINK("https://klasma.github.io/Logging_1265/tillsynsmail/A 51847-2019 tillsynsbegäran mail.docx", "A 51847-2019")</f>
        <v/>
      </c>
    </row>
    <row r="169" ht="15" customHeight="1">
      <c r="A169" t="inlineStr">
        <is>
          <t>A 50573-2019</t>
        </is>
      </c>
      <c r="B169" s="1" t="n">
        <v>43735</v>
      </c>
      <c r="C169" s="1" t="n">
        <v>45570</v>
      </c>
      <c r="D169" t="inlineStr">
        <is>
          <t>SKÅNE LÄN</t>
        </is>
      </c>
      <c r="E169" t="inlineStr">
        <is>
          <t>OSBY</t>
        </is>
      </c>
      <c r="F169" t="inlineStr">
        <is>
          <t>Naturvårdsverket</t>
        </is>
      </c>
      <c r="G169" t="n">
        <v>5.1</v>
      </c>
      <c r="H169" t="n">
        <v>0</v>
      </c>
      <c r="I169" t="n">
        <v>0</v>
      </c>
      <c r="J169" t="n">
        <v>1</v>
      </c>
      <c r="K169" t="n">
        <v>0</v>
      </c>
      <c r="L169" t="n">
        <v>0</v>
      </c>
      <c r="M169" t="n">
        <v>0</v>
      </c>
      <c r="N169" t="n">
        <v>0</v>
      </c>
      <c r="O169" t="n">
        <v>1</v>
      </c>
      <c r="P169" t="n">
        <v>0</v>
      </c>
      <c r="Q169" t="n">
        <v>1</v>
      </c>
      <c r="R169" s="2" t="inlineStr">
        <is>
          <t>Backmåra</t>
        </is>
      </c>
      <c r="S169">
        <f>HYPERLINK("https://klasma.github.io/Logging_1273/artfynd/A 50573-2019 artfynd.xlsx", "A 50573-2019")</f>
        <v/>
      </c>
      <c r="T169">
        <f>HYPERLINK("https://klasma.github.io/Logging_1273/kartor/A 50573-2019 karta.png", "A 50573-2019")</f>
        <v/>
      </c>
      <c r="V169">
        <f>HYPERLINK("https://klasma.github.io/Logging_1273/klagomål/A 50573-2019 FSC-klagomål.docx", "A 50573-2019")</f>
        <v/>
      </c>
      <c r="W169">
        <f>HYPERLINK("https://klasma.github.io/Logging_1273/klagomålsmail/A 50573-2019 FSC-klagomål mail.docx", "A 50573-2019")</f>
        <v/>
      </c>
      <c r="X169">
        <f>HYPERLINK("https://klasma.github.io/Logging_1273/tillsyn/A 50573-2019 tillsynsbegäran.docx", "A 50573-2019")</f>
        <v/>
      </c>
      <c r="Y169">
        <f>HYPERLINK("https://klasma.github.io/Logging_1273/tillsynsmail/A 50573-2019 tillsynsbegäran mail.docx", "A 50573-2019")</f>
        <v/>
      </c>
    </row>
    <row r="170" ht="15" customHeight="1">
      <c r="A170" t="inlineStr">
        <is>
          <t>A 53436-2019</t>
        </is>
      </c>
      <c r="B170" s="1" t="n">
        <v>43748</v>
      </c>
      <c r="C170" s="1" t="n">
        <v>45570</v>
      </c>
      <c r="D170" t="inlineStr">
        <is>
          <t>SKÅNE LÄN</t>
        </is>
      </c>
      <c r="E170" t="inlineStr">
        <is>
          <t>OSBY</t>
        </is>
      </c>
      <c r="G170" t="n">
        <v>2.8</v>
      </c>
      <c r="H170" t="n">
        <v>1</v>
      </c>
      <c r="I170" t="n">
        <v>0</v>
      </c>
      <c r="J170" t="n">
        <v>0</v>
      </c>
      <c r="K170" t="n">
        <v>0</v>
      </c>
      <c r="L170" t="n">
        <v>0</v>
      </c>
      <c r="M170" t="n">
        <v>0</v>
      </c>
      <c r="N170" t="n">
        <v>0</v>
      </c>
      <c r="O170" t="n">
        <v>0</v>
      </c>
      <c r="P170" t="n">
        <v>0</v>
      </c>
      <c r="Q170" t="n">
        <v>1</v>
      </c>
      <c r="R170" s="2" t="inlineStr">
        <is>
          <t>Revlummer</t>
        </is>
      </c>
      <c r="S170">
        <f>HYPERLINK("https://klasma.github.io/Logging_1273/artfynd/A 53436-2019 artfynd.xlsx", "A 53436-2019")</f>
        <v/>
      </c>
      <c r="T170">
        <f>HYPERLINK("https://klasma.github.io/Logging_1273/kartor/A 53436-2019 karta.png", "A 53436-2019")</f>
        <v/>
      </c>
      <c r="V170">
        <f>HYPERLINK("https://klasma.github.io/Logging_1273/klagomål/A 53436-2019 FSC-klagomål.docx", "A 53436-2019")</f>
        <v/>
      </c>
      <c r="W170">
        <f>HYPERLINK("https://klasma.github.io/Logging_1273/klagomålsmail/A 53436-2019 FSC-klagomål mail.docx", "A 53436-2019")</f>
        <v/>
      </c>
      <c r="X170">
        <f>HYPERLINK("https://klasma.github.io/Logging_1273/tillsyn/A 53436-2019 tillsynsbegäran.docx", "A 53436-2019")</f>
        <v/>
      </c>
      <c r="Y170">
        <f>HYPERLINK("https://klasma.github.io/Logging_1273/tillsynsmail/A 53436-2019 tillsynsbegäran mail.docx", "A 53436-2019")</f>
        <v/>
      </c>
    </row>
    <row r="171" ht="15" customHeight="1">
      <c r="A171" t="inlineStr">
        <is>
          <t>A 55656-2019</t>
        </is>
      </c>
      <c r="B171" s="1" t="n">
        <v>43760</v>
      </c>
      <c r="C171" s="1" t="n">
        <v>45570</v>
      </c>
      <c r="D171" t="inlineStr">
        <is>
          <t>SKÅNE LÄN</t>
        </is>
      </c>
      <c r="E171" t="inlineStr">
        <is>
          <t>HÄSSLEHOLM</t>
        </is>
      </c>
      <c r="G171" t="n">
        <v>1.8</v>
      </c>
      <c r="H171" t="n">
        <v>1</v>
      </c>
      <c r="I171" t="n">
        <v>0</v>
      </c>
      <c r="J171" t="n">
        <v>0</v>
      </c>
      <c r="K171" t="n">
        <v>1</v>
      </c>
      <c r="L171" t="n">
        <v>0</v>
      </c>
      <c r="M171" t="n">
        <v>0</v>
      </c>
      <c r="N171" t="n">
        <v>0</v>
      </c>
      <c r="O171" t="n">
        <v>1</v>
      </c>
      <c r="P171" t="n">
        <v>1</v>
      </c>
      <c r="Q171" t="n">
        <v>1</v>
      </c>
      <c r="R171" s="2" t="inlineStr">
        <is>
          <t>Hedblomster</t>
        </is>
      </c>
      <c r="S171">
        <f>HYPERLINK("https://klasma.github.io/Logging_1293/artfynd/A 55656-2019 artfynd.xlsx", "A 55656-2019")</f>
        <v/>
      </c>
      <c r="T171">
        <f>HYPERLINK("https://klasma.github.io/Logging_1293/kartor/A 55656-2019 karta.png", "A 55656-2019")</f>
        <v/>
      </c>
      <c r="V171">
        <f>HYPERLINK("https://klasma.github.io/Logging_1293/klagomål/A 55656-2019 FSC-klagomål.docx", "A 55656-2019")</f>
        <v/>
      </c>
      <c r="W171">
        <f>HYPERLINK("https://klasma.github.io/Logging_1293/klagomålsmail/A 55656-2019 FSC-klagomål mail.docx", "A 55656-2019")</f>
        <v/>
      </c>
      <c r="X171">
        <f>HYPERLINK("https://klasma.github.io/Logging_1293/tillsyn/A 55656-2019 tillsynsbegäran.docx", "A 55656-2019")</f>
        <v/>
      </c>
      <c r="Y171">
        <f>HYPERLINK("https://klasma.github.io/Logging_1293/tillsynsmail/A 55656-2019 tillsynsbegäran mail.docx", "A 55656-2019")</f>
        <v/>
      </c>
    </row>
    <row r="172" ht="15" customHeight="1">
      <c r="A172" t="inlineStr">
        <is>
          <t>A 56351-2019</t>
        </is>
      </c>
      <c r="B172" s="1" t="n">
        <v>43761</v>
      </c>
      <c r="C172" s="1" t="n">
        <v>45570</v>
      </c>
      <c r="D172" t="inlineStr">
        <is>
          <t>SKÅNE LÄN</t>
        </is>
      </c>
      <c r="E172" t="inlineStr">
        <is>
          <t>ÖSTRA GÖINGE</t>
        </is>
      </c>
      <c r="G172" t="n">
        <v>14.2</v>
      </c>
      <c r="H172" t="n">
        <v>1</v>
      </c>
      <c r="I172" t="n">
        <v>0</v>
      </c>
      <c r="J172" t="n">
        <v>1</v>
      </c>
      <c r="K172" t="n">
        <v>0</v>
      </c>
      <c r="L172" t="n">
        <v>0</v>
      </c>
      <c r="M172" t="n">
        <v>0</v>
      </c>
      <c r="N172" t="n">
        <v>0</v>
      </c>
      <c r="O172" t="n">
        <v>1</v>
      </c>
      <c r="P172" t="n">
        <v>0</v>
      </c>
      <c r="Q172" t="n">
        <v>1</v>
      </c>
      <c r="R172" s="2" t="inlineStr">
        <is>
          <t>Svartvit flugsnappare</t>
        </is>
      </c>
      <c r="S172">
        <f>HYPERLINK("https://klasma.github.io/Logging_1256/artfynd/A 56351-2019 artfynd.xlsx", "A 56351-2019")</f>
        <v/>
      </c>
      <c r="T172">
        <f>HYPERLINK("https://klasma.github.io/Logging_1256/kartor/A 56351-2019 karta.png", "A 56351-2019")</f>
        <v/>
      </c>
      <c r="V172">
        <f>HYPERLINK("https://klasma.github.io/Logging_1256/klagomål/A 56351-2019 FSC-klagomål.docx", "A 56351-2019")</f>
        <v/>
      </c>
      <c r="W172">
        <f>HYPERLINK("https://klasma.github.io/Logging_1256/klagomålsmail/A 56351-2019 FSC-klagomål mail.docx", "A 56351-2019")</f>
        <v/>
      </c>
      <c r="X172">
        <f>HYPERLINK("https://klasma.github.io/Logging_1256/tillsyn/A 56351-2019 tillsynsbegäran.docx", "A 56351-2019")</f>
        <v/>
      </c>
      <c r="Y172">
        <f>HYPERLINK("https://klasma.github.io/Logging_1256/tillsynsmail/A 56351-2019 tillsynsbegäran mail.docx", "A 56351-2019")</f>
        <v/>
      </c>
      <c r="Z172">
        <f>HYPERLINK("https://klasma.github.io/Logging_1256/fåglar/A 56351-2019 prioriterade fågelarter.docx", "A 56351-2019")</f>
        <v/>
      </c>
    </row>
    <row r="173" ht="15" customHeight="1">
      <c r="A173" t="inlineStr">
        <is>
          <t>A 59414-2019</t>
        </is>
      </c>
      <c r="B173" s="1" t="n">
        <v>43775</v>
      </c>
      <c r="C173" s="1" t="n">
        <v>45570</v>
      </c>
      <c r="D173" t="inlineStr">
        <is>
          <t>SKÅNE LÄN</t>
        </is>
      </c>
      <c r="E173" t="inlineStr">
        <is>
          <t>SJÖBO</t>
        </is>
      </c>
      <c r="G173" t="n">
        <v>5.3</v>
      </c>
      <c r="H173" t="n">
        <v>0</v>
      </c>
      <c r="I173" t="n">
        <v>0</v>
      </c>
      <c r="J173" t="n">
        <v>0</v>
      </c>
      <c r="K173" t="n">
        <v>1</v>
      </c>
      <c r="L173" t="n">
        <v>0</v>
      </c>
      <c r="M173" t="n">
        <v>0</v>
      </c>
      <c r="N173" t="n">
        <v>0</v>
      </c>
      <c r="O173" t="n">
        <v>1</v>
      </c>
      <c r="P173" t="n">
        <v>1</v>
      </c>
      <c r="Q173" t="n">
        <v>1</v>
      </c>
      <c r="R173" s="2" t="inlineStr">
        <is>
          <t>Fläcklungört</t>
        </is>
      </c>
      <c r="S173">
        <f>HYPERLINK("https://klasma.github.io/Logging_1265/artfynd/A 59414-2019 artfynd.xlsx", "A 59414-2019")</f>
        <v/>
      </c>
      <c r="T173">
        <f>HYPERLINK("https://klasma.github.io/Logging_1265/kartor/A 59414-2019 karta.png", "A 59414-2019")</f>
        <v/>
      </c>
      <c r="V173">
        <f>HYPERLINK("https://klasma.github.io/Logging_1265/klagomål/A 59414-2019 FSC-klagomål.docx", "A 59414-2019")</f>
        <v/>
      </c>
      <c r="W173">
        <f>HYPERLINK("https://klasma.github.io/Logging_1265/klagomålsmail/A 59414-2019 FSC-klagomål mail.docx", "A 59414-2019")</f>
        <v/>
      </c>
      <c r="X173">
        <f>HYPERLINK("https://klasma.github.io/Logging_1265/tillsyn/A 59414-2019 tillsynsbegäran.docx", "A 59414-2019")</f>
        <v/>
      </c>
      <c r="Y173">
        <f>HYPERLINK("https://klasma.github.io/Logging_1265/tillsynsmail/A 59414-2019 tillsynsbegäran mail.docx", "A 59414-2019")</f>
        <v/>
      </c>
    </row>
    <row r="174" ht="15" customHeight="1">
      <c r="A174" t="inlineStr">
        <is>
          <t>A 2738-2020</t>
        </is>
      </c>
      <c r="B174" s="1" t="n">
        <v>43843</v>
      </c>
      <c r="C174" s="1" t="n">
        <v>45570</v>
      </c>
      <c r="D174" t="inlineStr">
        <is>
          <t>SKÅNE LÄN</t>
        </is>
      </c>
      <c r="E174" t="inlineStr">
        <is>
          <t>HÄSSLEHOLM</t>
        </is>
      </c>
      <c r="G174" t="n">
        <v>1.2</v>
      </c>
      <c r="H174" t="n">
        <v>0</v>
      </c>
      <c r="I174" t="n">
        <v>0</v>
      </c>
      <c r="J174" t="n">
        <v>0</v>
      </c>
      <c r="K174" t="n">
        <v>1</v>
      </c>
      <c r="L174" t="n">
        <v>0</v>
      </c>
      <c r="M174" t="n">
        <v>0</v>
      </c>
      <c r="N174" t="n">
        <v>0</v>
      </c>
      <c r="O174" t="n">
        <v>1</v>
      </c>
      <c r="P174" t="n">
        <v>1</v>
      </c>
      <c r="Q174" t="n">
        <v>1</v>
      </c>
      <c r="R174" s="2" t="inlineStr">
        <is>
          <t>Småvänderot</t>
        </is>
      </c>
      <c r="S174">
        <f>HYPERLINK("https://klasma.github.io/Logging_1293/artfynd/A 2738-2020 artfynd.xlsx", "A 2738-2020")</f>
        <v/>
      </c>
      <c r="T174">
        <f>HYPERLINK("https://klasma.github.io/Logging_1293/kartor/A 2738-2020 karta.png", "A 2738-2020")</f>
        <v/>
      </c>
      <c r="V174">
        <f>HYPERLINK("https://klasma.github.io/Logging_1293/klagomål/A 2738-2020 FSC-klagomål.docx", "A 2738-2020")</f>
        <v/>
      </c>
      <c r="W174">
        <f>HYPERLINK("https://klasma.github.io/Logging_1293/klagomålsmail/A 2738-2020 FSC-klagomål mail.docx", "A 2738-2020")</f>
        <v/>
      </c>
      <c r="X174">
        <f>HYPERLINK("https://klasma.github.io/Logging_1293/tillsyn/A 2738-2020 tillsynsbegäran.docx", "A 2738-2020")</f>
        <v/>
      </c>
      <c r="Y174">
        <f>HYPERLINK("https://klasma.github.io/Logging_1293/tillsynsmail/A 2738-2020 tillsynsbegäran mail.docx", "A 2738-2020")</f>
        <v/>
      </c>
    </row>
    <row r="175" ht="15" customHeight="1">
      <c r="A175" t="inlineStr">
        <is>
          <t>A 7635-2020</t>
        </is>
      </c>
      <c r="B175" s="1" t="n">
        <v>43872</v>
      </c>
      <c r="C175" s="1" t="n">
        <v>45570</v>
      </c>
      <c r="D175" t="inlineStr">
        <is>
          <t>SKÅNE LÄN</t>
        </is>
      </c>
      <c r="E175" t="inlineStr">
        <is>
          <t>ÄNGELHOLM</t>
        </is>
      </c>
      <c r="G175" t="n">
        <v>2.2</v>
      </c>
      <c r="H175" t="n">
        <v>0</v>
      </c>
      <c r="I175" t="n">
        <v>1</v>
      </c>
      <c r="J175" t="n">
        <v>0</v>
      </c>
      <c r="K175" t="n">
        <v>0</v>
      </c>
      <c r="L175" t="n">
        <v>0</v>
      </c>
      <c r="M175" t="n">
        <v>0</v>
      </c>
      <c r="N175" t="n">
        <v>0</v>
      </c>
      <c r="O175" t="n">
        <v>0</v>
      </c>
      <c r="P175" t="n">
        <v>0</v>
      </c>
      <c r="Q175" t="n">
        <v>1</v>
      </c>
      <c r="R175" s="2" t="inlineStr">
        <is>
          <t>Blåmossa</t>
        </is>
      </c>
      <c r="S175">
        <f>HYPERLINK("https://klasma.github.io/Logging_1292/artfynd/A 7635-2020 artfynd.xlsx", "A 7635-2020")</f>
        <v/>
      </c>
      <c r="T175">
        <f>HYPERLINK("https://klasma.github.io/Logging_1292/kartor/A 7635-2020 karta.png", "A 7635-2020")</f>
        <v/>
      </c>
      <c r="V175">
        <f>HYPERLINK("https://klasma.github.io/Logging_1292/klagomål/A 7635-2020 FSC-klagomål.docx", "A 7635-2020")</f>
        <v/>
      </c>
      <c r="W175">
        <f>HYPERLINK("https://klasma.github.io/Logging_1292/klagomålsmail/A 7635-2020 FSC-klagomål mail.docx", "A 7635-2020")</f>
        <v/>
      </c>
      <c r="X175">
        <f>HYPERLINK("https://klasma.github.io/Logging_1292/tillsyn/A 7635-2020 tillsynsbegäran.docx", "A 7635-2020")</f>
        <v/>
      </c>
      <c r="Y175">
        <f>HYPERLINK("https://klasma.github.io/Logging_1292/tillsynsmail/A 7635-2020 tillsynsbegäran mail.docx", "A 7635-2020")</f>
        <v/>
      </c>
    </row>
    <row r="176" ht="15" customHeight="1">
      <c r="A176" t="inlineStr">
        <is>
          <t>A 8665-2020</t>
        </is>
      </c>
      <c r="B176" s="1" t="n">
        <v>43878</v>
      </c>
      <c r="C176" s="1" t="n">
        <v>45570</v>
      </c>
      <c r="D176" t="inlineStr">
        <is>
          <t>SKÅNE LÄN</t>
        </is>
      </c>
      <c r="E176" t="inlineStr">
        <is>
          <t>ÄNGELHOLM</t>
        </is>
      </c>
      <c r="G176" t="n">
        <v>4.7</v>
      </c>
      <c r="H176" t="n">
        <v>0</v>
      </c>
      <c r="I176" t="n">
        <v>0</v>
      </c>
      <c r="J176" t="n">
        <v>0</v>
      </c>
      <c r="K176" t="n">
        <v>1</v>
      </c>
      <c r="L176" t="n">
        <v>0</v>
      </c>
      <c r="M176" t="n">
        <v>0</v>
      </c>
      <c r="N176" t="n">
        <v>0</v>
      </c>
      <c r="O176" t="n">
        <v>1</v>
      </c>
      <c r="P176" t="n">
        <v>1</v>
      </c>
      <c r="Q176" t="n">
        <v>1</v>
      </c>
      <c r="R176" s="2" t="inlineStr">
        <is>
          <t>Glansbjörnbär</t>
        </is>
      </c>
      <c r="S176">
        <f>HYPERLINK("https://klasma.github.io/Logging_1292/artfynd/A 8665-2020 artfynd.xlsx", "A 8665-2020")</f>
        <v/>
      </c>
      <c r="T176">
        <f>HYPERLINK("https://klasma.github.io/Logging_1292/kartor/A 8665-2020 karta.png", "A 8665-2020")</f>
        <v/>
      </c>
      <c r="V176">
        <f>HYPERLINK("https://klasma.github.io/Logging_1292/klagomål/A 8665-2020 FSC-klagomål.docx", "A 8665-2020")</f>
        <v/>
      </c>
      <c r="W176">
        <f>HYPERLINK("https://klasma.github.io/Logging_1292/klagomålsmail/A 8665-2020 FSC-klagomål mail.docx", "A 8665-2020")</f>
        <v/>
      </c>
      <c r="X176">
        <f>HYPERLINK("https://klasma.github.io/Logging_1292/tillsyn/A 8665-2020 tillsynsbegäran.docx", "A 8665-2020")</f>
        <v/>
      </c>
      <c r="Y176">
        <f>HYPERLINK("https://klasma.github.io/Logging_1292/tillsynsmail/A 8665-2020 tillsynsbegäran mail.docx", "A 8665-2020")</f>
        <v/>
      </c>
    </row>
    <row r="177" ht="15" customHeight="1">
      <c r="A177" t="inlineStr">
        <is>
          <t>A 11722-2020</t>
        </is>
      </c>
      <c r="B177" s="1" t="n">
        <v>43892</v>
      </c>
      <c r="C177" s="1" t="n">
        <v>45570</v>
      </c>
      <c r="D177" t="inlineStr">
        <is>
          <t>SKÅNE LÄN</t>
        </is>
      </c>
      <c r="E177" t="inlineStr">
        <is>
          <t>TOMELILLA</t>
        </is>
      </c>
      <c r="G177" t="n">
        <v>2.6</v>
      </c>
      <c r="H177" t="n">
        <v>0</v>
      </c>
      <c r="I177" t="n">
        <v>0</v>
      </c>
      <c r="J177" t="n">
        <v>1</v>
      </c>
      <c r="K177" t="n">
        <v>0</v>
      </c>
      <c r="L177" t="n">
        <v>0</v>
      </c>
      <c r="M177" t="n">
        <v>0</v>
      </c>
      <c r="N177" t="n">
        <v>0</v>
      </c>
      <c r="O177" t="n">
        <v>1</v>
      </c>
      <c r="P177" t="n">
        <v>0</v>
      </c>
      <c r="Q177" t="n">
        <v>1</v>
      </c>
      <c r="R177" s="2" t="inlineStr">
        <is>
          <t>Sprengelsbjörnbär</t>
        </is>
      </c>
      <c r="S177">
        <f>HYPERLINK("https://klasma.github.io/Logging_1270/artfynd/A 11722-2020 artfynd.xlsx", "A 11722-2020")</f>
        <v/>
      </c>
      <c r="T177">
        <f>HYPERLINK("https://klasma.github.io/Logging_1270/kartor/A 11722-2020 karta.png", "A 11722-2020")</f>
        <v/>
      </c>
      <c r="V177">
        <f>HYPERLINK("https://klasma.github.io/Logging_1270/klagomål/A 11722-2020 FSC-klagomål.docx", "A 11722-2020")</f>
        <v/>
      </c>
      <c r="W177">
        <f>HYPERLINK("https://klasma.github.io/Logging_1270/klagomålsmail/A 11722-2020 FSC-klagomål mail.docx", "A 11722-2020")</f>
        <v/>
      </c>
      <c r="X177">
        <f>HYPERLINK("https://klasma.github.io/Logging_1270/tillsyn/A 11722-2020 tillsynsbegäran.docx", "A 11722-2020")</f>
        <v/>
      </c>
      <c r="Y177">
        <f>HYPERLINK("https://klasma.github.io/Logging_1270/tillsynsmail/A 11722-2020 tillsynsbegäran mail.docx", "A 11722-2020")</f>
        <v/>
      </c>
    </row>
    <row r="178" ht="15" customHeight="1">
      <c r="A178" t="inlineStr">
        <is>
          <t>A 15777-2020</t>
        </is>
      </c>
      <c r="B178" s="1" t="n">
        <v>43915</v>
      </c>
      <c r="C178" s="1" t="n">
        <v>45570</v>
      </c>
      <c r="D178" t="inlineStr">
        <is>
          <t>SKÅNE LÄN</t>
        </is>
      </c>
      <c r="E178" t="inlineStr">
        <is>
          <t>OSBY</t>
        </is>
      </c>
      <c r="G178" t="n">
        <v>4</v>
      </c>
      <c r="H178" t="n">
        <v>0</v>
      </c>
      <c r="I178" t="n">
        <v>0</v>
      </c>
      <c r="J178" t="n">
        <v>1</v>
      </c>
      <c r="K178" t="n">
        <v>0</v>
      </c>
      <c r="L178" t="n">
        <v>0</v>
      </c>
      <c r="M178" t="n">
        <v>0</v>
      </c>
      <c r="N178" t="n">
        <v>0</v>
      </c>
      <c r="O178" t="n">
        <v>1</v>
      </c>
      <c r="P178" t="n">
        <v>0</v>
      </c>
      <c r="Q178" t="n">
        <v>1</v>
      </c>
      <c r="R178" s="2" t="inlineStr">
        <is>
          <t>Borsttåg</t>
        </is>
      </c>
      <c r="S178">
        <f>HYPERLINK("https://klasma.github.io/Logging_1273/artfynd/A 15777-2020 artfynd.xlsx", "A 15777-2020")</f>
        <v/>
      </c>
      <c r="T178">
        <f>HYPERLINK("https://klasma.github.io/Logging_1273/kartor/A 15777-2020 karta.png", "A 15777-2020")</f>
        <v/>
      </c>
      <c r="V178">
        <f>HYPERLINK("https://klasma.github.io/Logging_1273/klagomål/A 15777-2020 FSC-klagomål.docx", "A 15777-2020")</f>
        <v/>
      </c>
      <c r="W178">
        <f>HYPERLINK("https://klasma.github.io/Logging_1273/klagomålsmail/A 15777-2020 FSC-klagomål mail.docx", "A 15777-2020")</f>
        <v/>
      </c>
      <c r="X178">
        <f>HYPERLINK("https://klasma.github.io/Logging_1273/tillsyn/A 15777-2020 tillsynsbegäran.docx", "A 15777-2020")</f>
        <v/>
      </c>
      <c r="Y178">
        <f>HYPERLINK("https://klasma.github.io/Logging_1273/tillsynsmail/A 15777-2020 tillsynsbegäran mail.docx", "A 15777-2020")</f>
        <v/>
      </c>
    </row>
    <row r="179" ht="15" customHeight="1">
      <c r="A179" t="inlineStr">
        <is>
          <t>A 17496-2020</t>
        </is>
      </c>
      <c r="B179" s="1" t="n">
        <v>43923</v>
      </c>
      <c r="C179" s="1" t="n">
        <v>45570</v>
      </c>
      <c r="D179" t="inlineStr">
        <is>
          <t>SKÅNE LÄN</t>
        </is>
      </c>
      <c r="E179" t="inlineStr">
        <is>
          <t>TOMELILLA</t>
        </is>
      </c>
      <c r="F179" t="inlineStr">
        <is>
          <t>Övriga Aktiebolag</t>
        </is>
      </c>
      <c r="G179" t="n">
        <v>1.9</v>
      </c>
      <c r="H179" t="n">
        <v>1</v>
      </c>
      <c r="I179" t="n">
        <v>0</v>
      </c>
      <c r="J179" t="n">
        <v>0</v>
      </c>
      <c r="K179" t="n">
        <v>0</v>
      </c>
      <c r="L179" t="n">
        <v>0</v>
      </c>
      <c r="M179" t="n">
        <v>0</v>
      </c>
      <c r="N179" t="n">
        <v>0</v>
      </c>
      <c r="O179" t="n">
        <v>0</v>
      </c>
      <c r="P179" t="n">
        <v>0</v>
      </c>
      <c r="Q179" t="n">
        <v>1</v>
      </c>
      <c r="R179" s="2" t="inlineStr">
        <is>
          <t>Hasselmus</t>
        </is>
      </c>
      <c r="S179">
        <f>HYPERLINK("https://klasma.github.io/Logging_1270/artfynd/A 17496-2020 artfynd.xlsx", "A 17496-2020")</f>
        <v/>
      </c>
      <c r="T179">
        <f>HYPERLINK("https://klasma.github.io/Logging_1270/kartor/A 17496-2020 karta.png", "A 17496-2020")</f>
        <v/>
      </c>
      <c r="V179">
        <f>HYPERLINK("https://klasma.github.io/Logging_1270/klagomål/A 17496-2020 FSC-klagomål.docx", "A 17496-2020")</f>
        <v/>
      </c>
      <c r="W179">
        <f>HYPERLINK("https://klasma.github.io/Logging_1270/klagomålsmail/A 17496-2020 FSC-klagomål mail.docx", "A 17496-2020")</f>
        <v/>
      </c>
      <c r="X179">
        <f>HYPERLINK("https://klasma.github.io/Logging_1270/tillsyn/A 17496-2020 tillsynsbegäran.docx", "A 17496-2020")</f>
        <v/>
      </c>
      <c r="Y179">
        <f>HYPERLINK("https://klasma.github.io/Logging_1270/tillsynsmail/A 17496-2020 tillsynsbegäran mail.docx", "A 17496-2020")</f>
        <v/>
      </c>
    </row>
    <row r="180" ht="15" customHeight="1">
      <c r="A180" t="inlineStr">
        <is>
          <t>A 20474-2020</t>
        </is>
      </c>
      <c r="B180" s="1" t="n">
        <v>43948</v>
      </c>
      <c r="C180" s="1" t="n">
        <v>45570</v>
      </c>
      <c r="D180" t="inlineStr">
        <is>
          <t>SKÅNE LÄN</t>
        </is>
      </c>
      <c r="E180" t="inlineStr">
        <is>
          <t>OSBY</t>
        </is>
      </c>
      <c r="G180" t="n">
        <v>0.8</v>
      </c>
      <c r="H180" t="n">
        <v>0</v>
      </c>
      <c r="I180" t="n">
        <v>0</v>
      </c>
      <c r="J180" t="n">
        <v>0</v>
      </c>
      <c r="K180" t="n">
        <v>0</v>
      </c>
      <c r="L180" t="n">
        <v>1</v>
      </c>
      <c r="M180" t="n">
        <v>0</v>
      </c>
      <c r="N180" t="n">
        <v>0</v>
      </c>
      <c r="O180" t="n">
        <v>1</v>
      </c>
      <c r="P180" t="n">
        <v>1</v>
      </c>
      <c r="Q180" t="n">
        <v>1</v>
      </c>
      <c r="R180" s="2" t="inlineStr">
        <is>
          <t>Bårdfibbla</t>
        </is>
      </c>
      <c r="S180">
        <f>HYPERLINK("https://klasma.github.io/Logging_1273/artfynd/A 20474-2020 artfynd.xlsx", "A 20474-2020")</f>
        <v/>
      </c>
      <c r="T180">
        <f>HYPERLINK("https://klasma.github.io/Logging_1273/kartor/A 20474-2020 karta.png", "A 20474-2020")</f>
        <v/>
      </c>
      <c r="V180">
        <f>HYPERLINK("https://klasma.github.io/Logging_1273/klagomål/A 20474-2020 FSC-klagomål.docx", "A 20474-2020")</f>
        <v/>
      </c>
      <c r="W180">
        <f>HYPERLINK("https://klasma.github.io/Logging_1273/klagomålsmail/A 20474-2020 FSC-klagomål mail.docx", "A 20474-2020")</f>
        <v/>
      </c>
      <c r="X180">
        <f>HYPERLINK("https://klasma.github.io/Logging_1273/tillsyn/A 20474-2020 tillsynsbegäran.docx", "A 20474-2020")</f>
        <v/>
      </c>
      <c r="Y180">
        <f>HYPERLINK("https://klasma.github.io/Logging_1273/tillsynsmail/A 20474-2020 tillsynsbegäran mail.docx", "A 20474-2020")</f>
        <v/>
      </c>
    </row>
    <row r="181" ht="15" customHeight="1">
      <c r="A181" t="inlineStr">
        <is>
          <t>A 23029-2020</t>
        </is>
      </c>
      <c r="B181" s="1" t="n">
        <v>43965</v>
      </c>
      <c r="C181" s="1" t="n">
        <v>45570</v>
      </c>
      <c r="D181" t="inlineStr">
        <is>
          <t>SKÅNE LÄN</t>
        </is>
      </c>
      <c r="E181" t="inlineStr">
        <is>
          <t>SJÖBO</t>
        </is>
      </c>
      <c r="G181" t="n">
        <v>9.300000000000001</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23029-2020 artfynd.xlsx", "A 23029-2020")</f>
        <v/>
      </c>
      <c r="T181">
        <f>HYPERLINK("https://klasma.github.io/Logging_1265/kartor/A 23029-2020 karta.png", "A 23029-2020")</f>
        <v/>
      </c>
      <c r="V181">
        <f>HYPERLINK("https://klasma.github.io/Logging_1265/klagomål/A 23029-2020 FSC-klagomål.docx", "A 23029-2020")</f>
        <v/>
      </c>
      <c r="W181">
        <f>HYPERLINK("https://klasma.github.io/Logging_1265/klagomålsmail/A 23029-2020 FSC-klagomål mail.docx", "A 23029-2020")</f>
        <v/>
      </c>
      <c r="X181">
        <f>HYPERLINK("https://klasma.github.io/Logging_1265/tillsyn/A 23029-2020 tillsynsbegäran.docx", "A 23029-2020")</f>
        <v/>
      </c>
      <c r="Y181">
        <f>HYPERLINK("https://klasma.github.io/Logging_1265/tillsynsmail/A 23029-2020 tillsynsbegäran mail.docx", "A 23029-2020")</f>
        <v/>
      </c>
    </row>
    <row r="182" ht="15" customHeight="1">
      <c r="A182" t="inlineStr">
        <is>
          <t>A 24297-2020</t>
        </is>
      </c>
      <c r="B182" s="1" t="n">
        <v>43976</v>
      </c>
      <c r="C182" s="1" t="n">
        <v>45570</v>
      </c>
      <c r="D182" t="inlineStr">
        <is>
          <t>SKÅNE LÄN</t>
        </is>
      </c>
      <c r="E182" t="inlineStr">
        <is>
          <t>OSBY</t>
        </is>
      </c>
      <c r="F182" t="inlineStr">
        <is>
          <t>Kyrkan</t>
        </is>
      </c>
      <c r="G182" t="n">
        <v>8.4</v>
      </c>
      <c r="H182" t="n">
        <v>1</v>
      </c>
      <c r="I182" t="n">
        <v>0</v>
      </c>
      <c r="J182" t="n">
        <v>0</v>
      </c>
      <c r="K182" t="n">
        <v>0</v>
      </c>
      <c r="L182" t="n">
        <v>0</v>
      </c>
      <c r="M182" t="n">
        <v>0</v>
      </c>
      <c r="N182" t="n">
        <v>0</v>
      </c>
      <c r="O182" t="n">
        <v>0</v>
      </c>
      <c r="P182" t="n">
        <v>0</v>
      </c>
      <c r="Q182" t="n">
        <v>1</v>
      </c>
      <c r="R182" s="2" t="inlineStr">
        <is>
          <t>Lopplummer</t>
        </is>
      </c>
      <c r="S182">
        <f>HYPERLINK("https://klasma.github.io/Logging_1273/artfynd/A 24297-2020 artfynd.xlsx", "A 24297-2020")</f>
        <v/>
      </c>
      <c r="T182">
        <f>HYPERLINK("https://klasma.github.io/Logging_1273/kartor/A 24297-2020 karta.png", "A 24297-2020")</f>
        <v/>
      </c>
      <c r="V182">
        <f>HYPERLINK("https://klasma.github.io/Logging_1273/klagomål/A 24297-2020 FSC-klagomål.docx", "A 24297-2020")</f>
        <v/>
      </c>
      <c r="W182">
        <f>HYPERLINK("https://klasma.github.io/Logging_1273/klagomålsmail/A 24297-2020 FSC-klagomål mail.docx", "A 24297-2020")</f>
        <v/>
      </c>
      <c r="X182">
        <f>HYPERLINK("https://klasma.github.io/Logging_1273/tillsyn/A 24297-2020 tillsynsbegäran.docx", "A 24297-2020")</f>
        <v/>
      </c>
      <c r="Y182">
        <f>HYPERLINK("https://klasma.github.io/Logging_1273/tillsynsmail/A 24297-2020 tillsynsbegäran mail.docx", "A 24297-2020")</f>
        <v/>
      </c>
    </row>
    <row r="183" ht="15" customHeight="1">
      <c r="A183" t="inlineStr">
        <is>
          <t>A 29376-2020</t>
        </is>
      </c>
      <c r="B183" s="1" t="n">
        <v>44000</v>
      </c>
      <c r="C183" s="1" t="n">
        <v>45570</v>
      </c>
      <c r="D183" t="inlineStr">
        <is>
          <t>SKÅNE LÄN</t>
        </is>
      </c>
      <c r="E183" t="inlineStr">
        <is>
          <t>YSTAD</t>
        </is>
      </c>
      <c r="G183" t="n">
        <v>1.5</v>
      </c>
      <c r="H183" t="n">
        <v>0</v>
      </c>
      <c r="I183" t="n">
        <v>0</v>
      </c>
      <c r="J183" t="n">
        <v>1</v>
      </c>
      <c r="K183" t="n">
        <v>0</v>
      </c>
      <c r="L183" t="n">
        <v>0</v>
      </c>
      <c r="M183" t="n">
        <v>0</v>
      </c>
      <c r="N183" t="n">
        <v>0</v>
      </c>
      <c r="O183" t="n">
        <v>1</v>
      </c>
      <c r="P183" t="n">
        <v>0</v>
      </c>
      <c r="Q183" t="n">
        <v>1</v>
      </c>
      <c r="R183" s="2" t="inlineStr">
        <is>
          <t>Igelkott</t>
        </is>
      </c>
      <c r="S183">
        <f>HYPERLINK("https://klasma.github.io/Logging_1286/artfynd/A 29376-2020 artfynd.xlsx", "A 29376-2020")</f>
        <v/>
      </c>
      <c r="T183">
        <f>HYPERLINK("https://klasma.github.io/Logging_1286/kartor/A 29376-2020 karta.png", "A 29376-2020")</f>
        <v/>
      </c>
      <c r="V183">
        <f>HYPERLINK("https://klasma.github.io/Logging_1286/klagomål/A 29376-2020 FSC-klagomål.docx", "A 29376-2020")</f>
        <v/>
      </c>
      <c r="W183">
        <f>HYPERLINK("https://klasma.github.io/Logging_1286/klagomålsmail/A 29376-2020 FSC-klagomål mail.docx", "A 29376-2020")</f>
        <v/>
      </c>
      <c r="X183">
        <f>HYPERLINK("https://klasma.github.io/Logging_1286/tillsyn/A 29376-2020 tillsynsbegäran.docx", "A 29376-2020")</f>
        <v/>
      </c>
      <c r="Y183">
        <f>HYPERLINK("https://klasma.github.io/Logging_1286/tillsynsmail/A 29376-2020 tillsynsbegäran mail.docx", "A 29376-2020")</f>
        <v/>
      </c>
    </row>
    <row r="184" ht="15" customHeight="1">
      <c r="A184" t="inlineStr">
        <is>
          <t>A 30687-2020</t>
        </is>
      </c>
      <c r="B184" s="1" t="n">
        <v>44008</v>
      </c>
      <c r="C184" s="1" t="n">
        <v>45570</v>
      </c>
      <c r="D184" t="inlineStr">
        <is>
          <t>SKÅNE LÄN</t>
        </is>
      </c>
      <c r="E184" t="inlineStr">
        <is>
          <t>KRISTIANSTAD</t>
        </is>
      </c>
      <c r="F184" t="inlineStr">
        <is>
          <t>Kommuner</t>
        </is>
      </c>
      <c r="G184" t="n">
        <v>0.8</v>
      </c>
      <c r="H184" t="n">
        <v>0</v>
      </c>
      <c r="I184" t="n">
        <v>0</v>
      </c>
      <c r="J184" t="n">
        <v>1</v>
      </c>
      <c r="K184" t="n">
        <v>0</v>
      </c>
      <c r="L184" t="n">
        <v>0</v>
      </c>
      <c r="M184" t="n">
        <v>0</v>
      </c>
      <c r="N184" t="n">
        <v>0</v>
      </c>
      <c r="O184" t="n">
        <v>1</v>
      </c>
      <c r="P184" t="n">
        <v>0</v>
      </c>
      <c r="Q184" t="n">
        <v>1</v>
      </c>
      <c r="R184" s="2" t="inlineStr">
        <is>
          <t>Stortapetserarbi</t>
        </is>
      </c>
      <c r="S184">
        <f>HYPERLINK("https://klasma.github.io/Logging_1290/artfynd/A 30687-2020 artfynd.xlsx", "A 30687-2020")</f>
        <v/>
      </c>
      <c r="T184">
        <f>HYPERLINK("https://klasma.github.io/Logging_1290/kartor/A 30687-2020 karta.png", "A 30687-2020")</f>
        <v/>
      </c>
      <c r="V184">
        <f>HYPERLINK("https://klasma.github.io/Logging_1290/klagomål/A 30687-2020 FSC-klagomål.docx", "A 30687-2020")</f>
        <v/>
      </c>
      <c r="W184">
        <f>HYPERLINK("https://klasma.github.io/Logging_1290/klagomålsmail/A 30687-2020 FSC-klagomål mail.docx", "A 30687-2020")</f>
        <v/>
      </c>
      <c r="X184">
        <f>HYPERLINK("https://klasma.github.io/Logging_1290/tillsyn/A 30687-2020 tillsynsbegäran.docx", "A 30687-2020")</f>
        <v/>
      </c>
      <c r="Y184">
        <f>HYPERLINK("https://klasma.github.io/Logging_1290/tillsynsmail/A 30687-2020 tillsynsbegäran mail.docx", "A 30687-2020")</f>
        <v/>
      </c>
    </row>
    <row r="185" ht="15" customHeight="1">
      <c r="A185" t="inlineStr">
        <is>
          <t>A 30733-2020</t>
        </is>
      </c>
      <c r="B185" s="1" t="n">
        <v>44008</v>
      </c>
      <c r="C185" s="1" t="n">
        <v>45570</v>
      </c>
      <c r="D185" t="inlineStr">
        <is>
          <t>SKÅNE LÄN</t>
        </is>
      </c>
      <c r="E185" t="inlineStr">
        <is>
          <t>SVEDALA</t>
        </is>
      </c>
      <c r="G185" t="n">
        <v>1.4</v>
      </c>
      <c r="H185" t="n">
        <v>0</v>
      </c>
      <c r="I185" t="n">
        <v>0</v>
      </c>
      <c r="J185" t="n">
        <v>0</v>
      </c>
      <c r="K185" t="n">
        <v>1</v>
      </c>
      <c r="L185" t="n">
        <v>0</v>
      </c>
      <c r="M185" t="n">
        <v>0</v>
      </c>
      <c r="N185" t="n">
        <v>0</v>
      </c>
      <c r="O185" t="n">
        <v>1</v>
      </c>
      <c r="P185" t="n">
        <v>1</v>
      </c>
      <c r="Q185" t="n">
        <v>1</v>
      </c>
      <c r="R185" s="2" t="inlineStr">
        <is>
          <t>Större grynsnäcka</t>
        </is>
      </c>
      <c r="S185">
        <f>HYPERLINK("https://klasma.github.io/Logging_1263/artfynd/A 30733-2020 artfynd.xlsx", "A 30733-2020")</f>
        <v/>
      </c>
      <c r="T185">
        <f>HYPERLINK("https://klasma.github.io/Logging_1263/kartor/A 30733-2020 karta.png", "A 30733-2020")</f>
        <v/>
      </c>
      <c r="V185">
        <f>HYPERLINK("https://klasma.github.io/Logging_1263/klagomål/A 30733-2020 FSC-klagomål.docx", "A 30733-2020")</f>
        <v/>
      </c>
      <c r="W185">
        <f>HYPERLINK("https://klasma.github.io/Logging_1263/klagomålsmail/A 30733-2020 FSC-klagomål mail.docx", "A 30733-2020")</f>
        <v/>
      </c>
      <c r="X185">
        <f>HYPERLINK("https://klasma.github.io/Logging_1263/tillsyn/A 30733-2020 tillsynsbegäran.docx", "A 30733-2020")</f>
        <v/>
      </c>
      <c r="Y185">
        <f>HYPERLINK("https://klasma.github.io/Logging_1263/tillsynsmail/A 30733-2020 tillsynsbegäran mail.docx", "A 30733-2020")</f>
        <v/>
      </c>
    </row>
    <row r="186" ht="15" customHeight="1">
      <c r="A186" t="inlineStr">
        <is>
          <t>A 34756-2020</t>
        </is>
      </c>
      <c r="B186" s="1" t="n">
        <v>44035</v>
      </c>
      <c r="C186" s="1" t="n">
        <v>45570</v>
      </c>
      <c r="D186" t="inlineStr">
        <is>
          <t>SKÅNE LÄN</t>
        </is>
      </c>
      <c r="E186" t="inlineStr">
        <is>
          <t>SIMRISHAMN</t>
        </is>
      </c>
      <c r="G186" t="n">
        <v>4.3</v>
      </c>
      <c r="H186" t="n">
        <v>0</v>
      </c>
      <c r="I186" t="n">
        <v>0</v>
      </c>
      <c r="J186" t="n">
        <v>0</v>
      </c>
      <c r="K186" t="n">
        <v>0</v>
      </c>
      <c r="L186" t="n">
        <v>1</v>
      </c>
      <c r="M186" t="n">
        <v>0</v>
      </c>
      <c r="N186" t="n">
        <v>0</v>
      </c>
      <c r="O186" t="n">
        <v>1</v>
      </c>
      <c r="P186" t="n">
        <v>1</v>
      </c>
      <c r="Q186" t="n">
        <v>1</v>
      </c>
      <c r="R186" s="2" t="inlineStr">
        <is>
          <t>Ask</t>
        </is>
      </c>
      <c r="S186">
        <f>HYPERLINK("https://klasma.github.io/Logging_1291/artfynd/A 34756-2020 artfynd.xlsx", "A 34756-2020")</f>
        <v/>
      </c>
      <c r="T186">
        <f>HYPERLINK("https://klasma.github.io/Logging_1291/kartor/A 34756-2020 karta.png", "A 34756-2020")</f>
        <v/>
      </c>
      <c r="V186">
        <f>HYPERLINK("https://klasma.github.io/Logging_1291/klagomål/A 34756-2020 FSC-klagomål.docx", "A 34756-2020")</f>
        <v/>
      </c>
      <c r="W186">
        <f>HYPERLINK("https://klasma.github.io/Logging_1291/klagomålsmail/A 34756-2020 FSC-klagomål mail.docx", "A 34756-2020")</f>
        <v/>
      </c>
      <c r="X186">
        <f>HYPERLINK("https://klasma.github.io/Logging_1291/tillsyn/A 34756-2020 tillsynsbegäran.docx", "A 34756-2020")</f>
        <v/>
      </c>
      <c r="Y186">
        <f>HYPERLINK("https://klasma.github.io/Logging_1291/tillsynsmail/A 34756-2020 tillsynsbegäran mail.docx", "A 34756-2020")</f>
        <v/>
      </c>
    </row>
    <row r="187" ht="15" customHeight="1">
      <c r="A187" t="inlineStr">
        <is>
          <t>A 42615-2020</t>
        </is>
      </c>
      <c r="B187" s="1" t="n">
        <v>44076</v>
      </c>
      <c r="C187" s="1" t="n">
        <v>45570</v>
      </c>
      <c r="D187" t="inlineStr">
        <is>
          <t>SKÅNE LÄN</t>
        </is>
      </c>
      <c r="E187" t="inlineStr">
        <is>
          <t>KRISTIANSTAD</t>
        </is>
      </c>
      <c r="G187" t="n">
        <v>7.5</v>
      </c>
      <c r="H187" t="n">
        <v>0</v>
      </c>
      <c r="I187" t="n">
        <v>0</v>
      </c>
      <c r="J187" t="n">
        <v>1</v>
      </c>
      <c r="K187" t="n">
        <v>0</v>
      </c>
      <c r="L187" t="n">
        <v>0</v>
      </c>
      <c r="M187" t="n">
        <v>0</v>
      </c>
      <c r="N187" t="n">
        <v>0</v>
      </c>
      <c r="O187" t="n">
        <v>1</v>
      </c>
      <c r="P187" t="n">
        <v>0</v>
      </c>
      <c r="Q187" t="n">
        <v>1</v>
      </c>
      <c r="R187" s="2" t="inlineStr">
        <is>
          <t>Lamellsnäcka</t>
        </is>
      </c>
      <c r="S187">
        <f>HYPERLINK("https://klasma.github.io/Logging_1290/artfynd/A 42615-2020 artfynd.xlsx", "A 42615-2020")</f>
        <v/>
      </c>
      <c r="T187">
        <f>HYPERLINK("https://klasma.github.io/Logging_1290/kartor/A 42615-2020 karta.png", "A 42615-2020")</f>
        <v/>
      </c>
      <c r="V187">
        <f>HYPERLINK("https://klasma.github.io/Logging_1290/klagomål/A 42615-2020 FSC-klagomål.docx", "A 42615-2020")</f>
        <v/>
      </c>
      <c r="W187">
        <f>HYPERLINK("https://klasma.github.io/Logging_1290/klagomålsmail/A 42615-2020 FSC-klagomål mail.docx", "A 42615-2020")</f>
        <v/>
      </c>
      <c r="X187">
        <f>HYPERLINK("https://klasma.github.io/Logging_1290/tillsyn/A 42615-2020 tillsynsbegäran.docx", "A 42615-2020")</f>
        <v/>
      </c>
      <c r="Y187">
        <f>HYPERLINK("https://klasma.github.io/Logging_1290/tillsynsmail/A 42615-2020 tillsynsbegäran mail.docx", "A 42615-2020")</f>
        <v/>
      </c>
    </row>
    <row r="188" ht="15" customHeight="1">
      <c r="A188" t="inlineStr">
        <is>
          <t>A 44112-2020</t>
        </is>
      </c>
      <c r="B188" s="1" t="n">
        <v>44082</v>
      </c>
      <c r="C188" s="1" t="n">
        <v>45570</v>
      </c>
      <c r="D188" t="inlineStr">
        <is>
          <t>SKÅNE LÄN</t>
        </is>
      </c>
      <c r="E188" t="inlineStr">
        <is>
          <t>OSBY</t>
        </is>
      </c>
      <c r="G188" t="n">
        <v>1.1</v>
      </c>
      <c r="H188" t="n">
        <v>1</v>
      </c>
      <c r="I188" t="n">
        <v>0</v>
      </c>
      <c r="J188" t="n">
        <v>1</v>
      </c>
      <c r="K188" t="n">
        <v>0</v>
      </c>
      <c r="L188" t="n">
        <v>0</v>
      </c>
      <c r="M188" t="n">
        <v>0</v>
      </c>
      <c r="N188" t="n">
        <v>0</v>
      </c>
      <c r="O188" t="n">
        <v>1</v>
      </c>
      <c r="P188" t="n">
        <v>0</v>
      </c>
      <c r="Q188" t="n">
        <v>1</v>
      </c>
      <c r="R188" s="2" t="inlineStr">
        <is>
          <t>Gulsparv</t>
        </is>
      </c>
      <c r="S188">
        <f>HYPERLINK("https://klasma.github.io/Logging_1273/artfynd/A 44112-2020 artfynd.xlsx", "A 44112-2020")</f>
        <v/>
      </c>
      <c r="T188">
        <f>HYPERLINK("https://klasma.github.io/Logging_1273/kartor/A 44112-2020 karta.png", "A 44112-2020")</f>
        <v/>
      </c>
      <c r="V188">
        <f>HYPERLINK("https://klasma.github.io/Logging_1273/klagomål/A 44112-2020 FSC-klagomål.docx", "A 44112-2020")</f>
        <v/>
      </c>
      <c r="W188">
        <f>HYPERLINK("https://klasma.github.io/Logging_1273/klagomålsmail/A 44112-2020 FSC-klagomål mail.docx", "A 44112-2020")</f>
        <v/>
      </c>
      <c r="X188">
        <f>HYPERLINK("https://klasma.github.io/Logging_1273/tillsyn/A 44112-2020 tillsynsbegäran.docx", "A 44112-2020")</f>
        <v/>
      </c>
      <c r="Y188">
        <f>HYPERLINK("https://klasma.github.io/Logging_1273/tillsynsmail/A 44112-2020 tillsynsbegäran mail.docx", "A 44112-2020")</f>
        <v/>
      </c>
      <c r="Z188">
        <f>HYPERLINK("https://klasma.github.io/Logging_1273/fåglar/A 44112-2020 prioriterade fågelarter.docx", "A 44112-2020")</f>
        <v/>
      </c>
    </row>
    <row r="189" ht="15" customHeight="1">
      <c r="A189" t="inlineStr">
        <is>
          <t>A 62434-2020</t>
        </is>
      </c>
      <c r="B189" s="1" t="n">
        <v>44159</v>
      </c>
      <c r="C189" s="1" t="n">
        <v>45570</v>
      </c>
      <c r="D189" t="inlineStr">
        <is>
          <t>SKÅNE LÄN</t>
        </is>
      </c>
      <c r="E189" t="inlineStr">
        <is>
          <t>HÄSSLEHOLM</t>
        </is>
      </c>
      <c r="G189" t="n">
        <v>2</v>
      </c>
      <c r="H189" t="n">
        <v>0</v>
      </c>
      <c r="I189" t="n">
        <v>0</v>
      </c>
      <c r="J189" t="n">
        <v>1</v>
      </c>
      <c r="K189" t="n">
        <v>0</v>
      </c>
      <c r="L189" t="n">
        <v>0</v>
      </c>
      <c r="M189" t="n">
        <v>0</v>
      </c>
      <c r="N189" t="n">
        <v>0</v>
      </c>
      <c r="O189" t="n">
        <v>1</v>
      </c>
      <c r="P189" t="n">
        <v>0</v>
      </c>
      <c r="Q189" t="n">
        <v>1</v>
      </c>
      <c r="R189" s="2" t="inlineStr">
        <is>
          <t>Borsttåg</t>
        </is>
      </c>
      <c r="S189">
        <f>HYPERLINK("https://klasma.github.io/Logging_1293/artfynd/A 62434-2020 artfynd.xlsx", "A 62434-2020")</f>
        <v/>
      </c>
      <c r="T189">
        <f>HYPERLINK("https://klasma.github.io/Logging_1293/kartor/A 62434-2020 karta.png", "A 62434-2020")</f>
        <v/>
      </c>
      <c r="V189">
        <f>HYPERLINK("https://klasma.github.io/Logging_1293/klagomål/A 62434-2020 FSC-klagomål.docx", "A 62434-2020")</f>
        <v/>
      </c>
      <c r="W189">
        <f>HYPERLINK("https://klasma.github.io/Logging_1293/klagomålsmail/A 62434-2020 FSC-klagomål mail.docx", "A 62434-2020")</f>
        <v/>
      </c>
      <c r="X189">
        <f>HYPERLINK("https://klasma.github.io/Logging_1293/tillsyn/A 62434-2020 tillsynsbegäran.docx", "A 62434-2020")</f>
        <v/>
      </c>
      <c r="Y189">
        <f>HYPERLINK("https://klasma.github.io/Logging_1293/tillsynsmail/A 62434-2020 tillsynsbegäran mail.docx", "A 62434-2020")</f>
        <v/>
      </c>
    </row>
    <row r="190" ht="15" customHeight="1">
      <c r="A190" t="inlineStr">
        <is>
          <t>A 63915-2020</t>
        </is>
      </c>
      <c r="B190" s="1" t="n">
        <v>44166</v>
      </c>
      <c r="C190" s="1" t="n">
        <v>45570</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63915-2020 artfynd.xlsx", "A 63915-2020")</f>
        <v/>
      </c>
      <c r="T190">
        <f>HYPERLINK("https://klasma.github.io/Logging_1273/kartor/A 63915-2020 karta.png", "A 63915-2020")</f>
        <v/>
      </c>
      <c r="V190">
        <f>HYPERLINK("https://klasma.github.io/Logging_1273/klagomål/A 63915-2020 FSC-klagomål.docx", "A 63915-2020")</f>
        <v/>
      </c>
      <c r="W190">
        <f>HYPERLINK("https://klasma.github.io/Logging_1273/klagomålsmail/A 63915-2020 FSC-klagomål mail.docx", "A 63915-2020")</f>
        <v/>
      </c>
      <c r="X190">
        <f>HYPERLINK("https://klasma.github.io/Logging_1273/tillsyn/A 63915-2020 tillsynsbegäran.docx", "A 63915-2020")</f>
        <v/>
      </c>
      <c r="Y190">
        <f>HYPERLINK("https://klasma.github.io/Logging_1273/tillsynsmail/A 63915-2020 tillsynsbegäran mail.docx", "A 63915-2020")</f>
        <v/>
      </c>
    </row>
    <row r="191" ht="15" customHeight="1">
      <c r="A191" t="inlineStr">
        <is>
          <t>A 63914-2020</t>
        </is>
      </c>
      <c r="B191" s="1" t="n">
        <v>44166</v>
      </c>
      <c r="C191" s="1" t="n">
        <v>45570</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63914-2020 artfynd.xlsx", "A 63914-2020")</f>
        <v/>
      </c>
      <c r="T191">
        <f>HYPERLINK("https://klasma.github.io/Logging_1273/kartor/A 63914-2020 karta.png", "A 63914-2020")</f>
        <v/>
      </c>
      <c r="V191">
        <f>HYPERLINK("https://klasma.github.io/Logging_1273/klagomål/A 63914-2020 FSC-klagomål.docx", "A 63914-2020")</f>
        <v/>
      </c>
      <c r="W191">
        <f>HYPERLINK("https://klasma.github.io/Logging_1273/klagomålsmail/A 63914-2020 FSC-klagomål mail.docx", "A 63914-2020")</f>
        <v/>
      </c>
      <c r="X191">
        <f>HYPERLINK("https://klasma.github.io/Logging_1273/tillsyn/A 63914-2020 tillsynsbegäran.docx", "A 63914-2020")</f>
        <v/>
      </c>
      <c r="Y191">
        <f>HYPERLINK("https://klasma.github.io/Logging_1273/tillsynsmail/A 63914-2020 tillsynsbegäran mail.docx", "A 63914-2020")</f>
        <v/>
      </c>
    </row>
    <row r="192" ht="15" customHeight="1">
      <c r="A192" t="inlineStr">
        <is>
          <t>A 64373-2020</t>
        </is>
      </c>
      <c r="B192" s="1" t="n">
        <v>44168</v>
      </c>
      <c r="C192" s="1" t="n">
        <v>45570</v>
      </c>
      <c r="D192" t="inlineStr">
        <is>
          <t>SKÅNE LÄN</t>
        </is>
      </c>
      <c r="E192" t="inlineStr">
        <is>
          <t>SVALÖV</t>
        </is>
      </c>
      <c r="F192" t="inlineStr">
        <is>
          <t>Kyrkan</t>
        </is>
      </c>
      <c r="G192" t="n">
        <v>5.3</v>
      </c>
      <c r="H192" t="n">
        <v>1</v>
      </c>
      <c r="I192" t="n">
        <v>0</v>
      </c>
      <c r="J192" t="n">
        <v>1</v>
      </c>
      <c r="K192" t="n">
        <v>0</v>
      </c>
      <c r="L192" t="n">
        <v>0</v>
      </c>
      <c r="M192" t="n">
        <v>0</v>
      </c>
      <c r="N192" t="n">
        <v>0</v>
      </c>
      <c r="O192" t="n">
        <v>1</v>
      </c>
      <c r="P192" t="n">
        <v>0</v>
      </c>
      <c r="Q192" t="n">
        <v>1</v>
      </c>
      <c r="R192" s="2" t="inlineStr">
        <is>
          <t>Mindre hackspett</t>
        </is>
      </c>
      <c r="S192">
        <f>HYPERLINK("https://klasma.github.io/Logging_1214/artfynd/A 64373-2020 artfynd.xlsx", "A 64373-2020")</f>
        <v/>
      </c>
      <c r="T192">
        <f>HYPERLINK("https://klasma.github.io/Logging_1214/kartor/A 64373-2020 karta.png", "A 64373-2020")</f>
        <v/>
      </c>
      <c r="V192">
        <f>HYPERLINK("https://klasma.github.io/Logging_1214/klagomål/A 64373-2020 FSC-klagomål.docx", "A 64373-2020")</f>
        <v/>
      </c>
      <c r="W192">
        <f>HYPERLINK("https://klasma.github.io/Logging_1214/klagomålsmail/A 64373-2020 FSC-klagomål mail.docx", "A 64373-2020")</f>
        <v/>
      </c>
      <c r="X192">
        <f>HYPERLINK("https://klasma.github.io/Logging_1214/tillsyn/A 64373-2020 tillsynsbegäran.docx", "A 64373-2020")</f>
        <v/>
      </c>
      <c r="Y192">
        <f>HYPERLINK("https://klasma.github.io/Logging_1214/tillsynsmail/A 64373-2020 tillsynsbegäran mail.docx", "A 64373-2020")</f>
        <v/>
      </c>
      <c r="Z192">
        <f>HYPERLINK("https://klasma.github.io/Logging_1214/fåglar/A 64373-2020 prioriterade fågelarter.docx", "A 64373-2020")</f>
        <v/>
      </c>
    </row>
    <row r="193" ht="15" customHeight="1">
      <c r="A193" t="inlineStr">
        <is>
          <t>A 65104-2020</t>
        </is>
      </c>
      <c r="B193" s="1" t="n">
        <v>44172</v>
      </c>
      <c r="C193" s="1" t="n">
        <v>45570</v>
      </c>
      <c r="D193" t="inlineStr">
        <is>
          <t>SKÅNE LÄN</t>
        </is>
      </c>
      <c r="E193" t="inlineStr">
        <is>
          <t>ÄNGELHOLM</t>
        </is>
      </c>
      <c r="G193" t="n">
        <v>0.7</v>
      </c>
      <c r="H193" t="n">
        <v>1</v>
      </c>
      <c r="I193" t="n">
        <v>0</v>
      </c>
      <c r="J193" t="n">
        <v>0</v>
      </c>
      <c r="K193" t="n">
        <v>1</v>
      </c>
      <c r="L193" t="n">
        <v>0</v>
      </c>
      <c r="M193" t="n">
        <v>0</v>
      </c>
      <c r="N193" t="n">
        <v>0</v>
      </c>
      <c r="O193" t="n">
        <v>1</v>
      </c>
      <c r="P193" t="n">
        <v>1</v>
      </c>
      <c r="Q193" t="n">
        <v>1</v>
      </c>
      <c r="R193" s="2" t="inlineStr">
        <is>
          <t>Backsippa</t>
        </is>
      </c>
      <c r="S193">
        <f>HYPERLINK("https://klasma.github.io/Logging_1292/artfynd/A 65104-2020 artfynd.xlsx", "A 65104-2020")</f>
        <v/>
      </c>
      <c r="T193">
        <f>HYPERLINK("https://klasma.github.io/Logging_1292/kartor/A 65104-2020 karta.png", "A 65104-2020")</f>
        <v/>
      </c>
      <c r="V193">
        <f>HYPERLINK("https://klasma.github.io/Logging_1292/klagomål/A 65104-2020 FSC-klagomål.docx", "A 65104-2020")</f>
        <v/>
      </c>
      <c r="W193">
        <f>HYPERLINK("https://klasma.github.io/Logging_1292/klagomålsmail/A 65104-2020 FSC-klagomål mail.docx", "A 65104-2020")</f>
        <v/>
      </c>
      <c r="X193">
        <f>HYPERLINK("https://klasma.github.io/Logging_1292/tillsyn/A 65104-2020 tillsynsbegäran.docx", "A 65104-2020")</f>
        <v/>
      </c>
      <c r="Y193">
        <f>HYPERLINK("https://klasma.github.io/Logging_1292/tillsynsmail/A 65104-2020 tillsynsbegäran mail.docx", "A 65104-2020")</f>
        <v/>
      </c>
    </row>
    <row r="194" ht="15" customHeight="1">
      <c r="A194" t="inlineStr">
        <is>
          <t>A 66175-2020</t>
        </is>
      </c>
      <c r="B194" s="1" t="n">
        <v>44174</v>
      </c>
      <c r="C194" s="1" t="n">
        <v>45570</v>
      </c>
      <c r="D194" t="inlineStr">
        <is>
          <t>SKÅNE LÄN</t>
        </is>
      </c>
      <c r="E194" t="inlineStr">
        <is>
          <t>SJÖBO</t>
        </is>
      </c>
      <c r="G194" t="n">
        <v>4.5</v>
      </c>
      <c r="H194" t="n">
        <v>0</v>
      </c>
      <c r="I194" t="n">
        <v>1</v>
      </c>
      <c r="J194" t="n">
        <v>0</v>
      </c>
      <c r="K194" t="n">
        <v>0</v>
      </c>
      <c r="L194" t="n">
        <v>0</v>
      </c>
      <c r="M194" t="n">
        <v>0</v>
      </c>
      <c r="N194" t="n">
        <v>0</v>
      </c>
      <c r="O194" t="n">
        <v>0</v>
      </c>
      <c r="P194" t="n">
        <v>0</v>
      </c>
      <c r="Q194" t="n">
        <v>1</v>
      </c>
      <c r="R194" s="2" t="inlineStr">
        <is>
          <t>Strävlosta</t>
        </is>
      </c>
      <c r="S194">
        <f>HYPERLINK("https://klasma.github.io/Logging_1265/artfynd/A 66175-2020 artfynd.xlsx", "A 66175-2020")</f>
        <v/>
      </c>
      <c r="T194">
        <f>HYPERLINK("https://klasma.github.io/Logging_1265/kartor/A 66175-2020 karta.png", "A 66175-2020")</f>
        <v/>
      </c>
      <c r="V194">
        <f>HYPERLINK("https://klasma.github.io/Logging_1265/klagomål/A 66175-2020 FSC-klagomål.docx", "A 66175-2020")</f>
        <v/>
      </c>
      <c r="W194">
        <f>HYPERLINK("https://klasma.github.io/Logging_1265/klagomålsmail/A 66175-2020 FSC-klagomål mail.docx", "A 66175-2020")</f>
        <v/>
      </c>
      <c r="X194">
        <f>HYPERLINK("https://klasma.github.io/Logging_1265/tillsyn/A 66175-2020 tillsynsbegäran.docx", "A 66175-2020")</f>
        <v/>
      </c>
      <c r="Y194">
        <f>HYPERLINK("https://klasma.github.io/Logging_1265/tillsynsmail/A 66175-2020 tillsynsbegäran mail.docx", "A 66175-2020")</f>
        <v/>
      </c>
    </row>
    <row r="195" ht="15" customHeight="1">
      <c r="A195" t="inlineStr">
        <is>
          <t>A 15070-2021</t>
        </is>
      </c>
      <c r="B195" s="1" t="n">
        <v>44281</v>
      </c>
      <c r="C195" s="1" t="n">
        <v>45570</v>
      </c>
      <c r="D195" t="inlineStr">
        <is>
          <t>SKÅNE LÄN</t>
        </is>
      </c>
      <c r="E195" t="inlineStr">
        <is>
          <t>HÖÖR</t>
        </is>
      </c>
      <c r="G195" t="n">
        <v>1.5</v>
      </c>
      <c r="H195" t="n">
        <v>0</v>
      </c>
      <c r="I195" t="n">
        <v>0</v>
      </c>
      <c r="J195" t="n">
        <v>1</v>
      </c>
      <c r="K195" t="n">
        <v>0</v>
      </c>
      <c r="L195" t="n">
        <v>0</v>
      </c>
      <c r="M195" t="n">
        <v>0</v>
      </c>
      <c r="N195" t="n">
        <v>0</v>
      </c>
      <c r="O195" t="n">
        <v>1</v>
      </c>
      <c r="P195" t="n">
        <v>0</v>
      </c>
      <c r="Q195" t="n">
        <v>1</v>
      </c>
      <c r="R195" s="2" t="inlineStr">
        <is>
          <t>Korallticka</t>
        </is>
      </c>
      <c r="S195">
        <f>HYPERLINK("https://klasma.github.io/Logging_1267/artfynd/A 15070-2021 artfynd.xlsx", "A 15070-2021")</f>
        <v/>
      </c>
      <c r="T195">
        <f>HYPERLINK("https://klasma.github.io/Logging_1267/kartor/A 15070-2021 karta.png", "A 15070-2021")</f>
        <v/>
      </c>
      <c r="V195">
        <f>HYPERLINK("https://klasma.github.io/Logging_1267/klagomål/A 15070-2021 FSC-klagomål.docx", "A 15070-2021")</f>
        <v/>
      </c>
      <c r="W195">
        <f>HYPERLINK("https://klasma.github.io/Logging_1267/klagomålsmail/A 15070-2021 FSC-klagomål mail.docx", "A 15070-2021")</f>
        <v/>
      </c>
      <c r="X195">
        <f>HYPERLINK("https://klasma.github.io/Logging_1267/tillsyn/A 15070-2021 tillsynsbegäran.docx", "A 15070-2021")</f>
        <v/>
      </c>
      <c r="Y195">
        <f>HYPERLINK("https://klasma.github.io/Logging_1267/tillsynsmail/A 15070-2021 tillsynsbegäran mail.docx", "A 15070-2021")</f>
        <v/>
      </c>
    </row>
    <row r="196" ht="15" customHeight="1">
      <c r="A196" t="inlineStr">
        <is>
          <t>A 15511-2021</t>
        </is>
      </c>
      <c r="B196" s="1" t="n">
        <v>44285</v>
      </c>
      <c r="C196" s="1" t="n">
        <v>45570</v>
      </c>
      <c r="D196" t="inlineStr">
        <is>
          <t>SKÅNE LÄN</t>
        </is>
      </c>
      <c r="E196" t="inlineStr">
        <is>
          <t>OSBY</t>
        </is>
      </c>
      <c r="G196" t="n">
        <v>1.1</v>
      </c>
      <c r="H196" t="n">
        <v>1</v>
      </c>
      <c r="I196" t="n">
        <v>0</v>
      </c>
      <c r="J196" t="n">
        <v>0</v>
      </c>
      <c r="K196" t="n">
        <v>0</v>
      </c>
      <c r="L196" t="n">
        <v>0</v>
      </c>
      <c r="M196" t="n">
        <v>0</v>
      </c>
      <c r="N196" t="n">
        <v>0</v>
      </c>
      <c r="O196" t="n">
        <v>0</v>
      </c>
      <c r="P196" t="n">
        <v>0</v>
      </c>
      <c r="Q196" t="n">
        <v>1</v>
      </c>
      <c r="R196" s="2" t="inlineStr">
        <is>
          <t>Kungsfågel</t>
        </is>
      </c>
      <c r="S196">
        <f>HYPERLINK("https://klasma.github.io/Logging_1273/artfynd/A 15511-2021 artfynd.xlsx", "A 15511-2021")</f>
        <v/>
      </c>
      <c r="T196">
        <f>HYPERLINK("https://klasma.github.io/Logging_1273/kartor/A 15511-2021 karta.png", "A 15511-2021")</f>
        <v/>
      </c>
      <c r="V196">
        <f>HYPERLINK("https://klasma.github.io/Logging_1273/klagomål/A 15511-2021 FSC-klagomål.docx", "A 15511-2021")</f>
        <v/>
      </c>
      <c r="W196">
        <f>HYPERLINK("https://klasma.github.io/Logging_1273/klagomålsmail/A 15511-2021 FSC-klagomål mail.docx", "A 15511-2021")</f>
        <v/>
      </c>
      <c r="X196">
        <f>HYPERLINK("https://klasma.github.io/Logging_1273/tillsyn/A 15511-2021 tillsynsbegäran.docx", "A 15511-2021")</f>
        <v/>
      </c>
      <c r="Y196">
        <f>HYPERLINK("https://klasma.github.io/Logging_1273/tillsynsmail/A 15511-2021 tillsynsbegäran mail.docx", "A 15511-2021")</f>
        <v/>
      </c>
      <c r="Z196">
        <f>HYPERLINK("https://klasma.github.io/Logging_1273/fåglar/A 15511-2021 prioriterade fågelarter.docx", "A 15511-2021")</f>
        <v/>
      </c>
    </row>
    <row r="197" ht="15" customHeight="1">
      <c r="A197" t="inlineStr">
        <is>
          <t>A 21568-2021</t>
        </is>
      </c>
      <c r="B197" s="1" t="n">
        <v>44314</v>
      </c>
      <c r="C197" s="1" t="n">
        <v>45570</v>
      </c>
      <c r="D197" t="inlineStr">
        <is>
          <t>SKÅNE LÄN</t>
        </is>
      </c>
      <c r="E197" t="inlineStr">
        <is>
          <t>KRISTIANSTAD</t>
        </is>
      </c>
      <c r="G197" t="n">
        <v>18.4</v>
      </c>
      <c r="H197" t="n">
        <v>0</v>
      </c>
      <c r="I197" t="n">
        <v>1</v>
      </c>
      <c r="J197" t="n">
        <v>0</v>
      </c>
      <c r="K197" t="n">
        <v>0</v>
      </c>
      <c r="L197" t="n">
        <v>0</v>
      </c>
      <c r="M197" t="n">
        <v>0</v>
      </c>
      <c r="N197" t="n">
        <v>0</v>
      </c>
      <c r="O197" t="n">
        <v>0</v>
      </c>
      <c r="P197" t="n">
        <v>0</v>
      </c>
      <c r="Q197" t="n">
        <v>1</v>
      </c>
      <c r="R197" s="2" t="inlineStr">
        <is>
          <t>Kransrams</t>
        </is>
      </c>
      <c r="S197">
        <f>HYPERLINK("https://klasma.github.io/Logging_1290/artfynd/A 21568-2021 artfynd.xlsx", "A 21568-2021")</f>
        <v/>
      </c>
      <c r="T197">
        <f>HYPERLINK("https://klasma.github.io/Logging_1290/kartor/A 21568-2021 karta.png", "A 21568-2021")</f>
        <v/>
      </c>
      <c r="V197">
        <f>HYPERLINK("https://klasma.github.io/Logging_1290/klagomål/A 21568-2021 FSC-klagomål.docx", "A 21568-2021")</f>
        <v/>
      </c>
      <c r="W197">
        <f>HYPERLINK("https://klasma.github.io/Logging_1290/klagomålsmail/A 21568-2021 FSC-klagomål mail.docx", "A 21568-2021")</f>
        <v/>
      </c>
      <c r="X197">
        <f>HYPERLINK("https://klasma.github.io/Logging_1290/tillsyn/A 21568-2021 tillsynsbegäran.docx", "A 21568-2021")</f>
        <v/>
      </c>
      <c r="Y197">
        <f>HYPERLINK("https://klasma.github.io/Logging_1290/tillsynsmail/A 21568-2021 tillsynsbegäran mail.docx", "A 21568-2021")</f>
        <v/>
      </c>
    </row>
    <row r="198" ht="15" customHeight="1">
      <c r="A198" t="inlineStr">
        <is>
          <t>A 22549-2021</t>
        </is>
      </c>
      <c r="B198" s="1" t="n">
        <v>44327</v>
      </c>
      <c r="C198" s="1" t="n">
        <v>45570</v>
      </c>
      <c r="D198" t="inlineStr">
        <is>
          <t>SKÅNE LÄN</t>
        </is>
      </c>
      <c r="E198" t="inlineStr">
        <is>
          <t>KRISTIANSTAD</t>
        </is>
      </c>
      <c r="G198" t="n">
        <v>2.5</v>
      </c>
      <c r="H198" t="n">
        <v>1</v>
      </c>
      <c r="I198" t="n">
        <v>0</v>
      </c>
      <c r="J198" t="n">
        <v>0</v>
      </c>
      <c r="K198" t="n">
        <v>0</v>
      </c>
      <c r="L198" t="n">
        <v>0</v>
      </c>
      <c r="M198" t="n">
        <v>0</v>
      </c>
      <c r="N198" t="n">
        <v>0</v>
      </c>
      <c r="O198" t="n">
        <v>0</v>
      </c>
      <c r="P198" t="n">
        <v>0</v>
      </c>
      <c r="Q198" t="n">
        <v>1</v>
      </c>
      <c r="R198" s="2" t="inlineStr">
        <is>
          <t>Lövgroda</t>
        </is>
      </c>
      <c r="S198">
        <f>HYPERLINK("https://klasma.github.io/Logging_1290/artfynd/A 22549-2021 artfynd.xlsx", "A 22549-2021")</f>
        <v/>
      </c>
      <c r="T198">
        <f>HYPERLINK("https://klasma.github.io/Logging_1290/kartor/A 22549-2021 karta.png", "A 22549-2021")</f>
        <v/>
      </c>
      <c r="V198">
        <f>HYPERLINK("https://klasma.github.io/Logging_1290/klagomål/A 22549-2021 FSC-klagomål.docx", "A 22549-2021")</f>
        <v/>
      </c>
      <c r="W198">
        <f>HYPERLINK("https://klasma.github.io/Logging_1290/klagomålsmail/A 22549-2021 FSC-klagomål mail.docx", "A 22549-2021")</f>
        <v/>
      </c>
      <c r="X198">
        <f>HYPERLINK("https://klasma.github.io/Logging_1290/tillsyn/A 22549-2021 tillsynsbegäran.docx", "A 22549-2021")</f>
        <v/>
      </c>
      <c r="Y198">
        <f>HYPERLINK("https://klasma.github.io/Logging_1290/tillsynsmail/A 22549-2021 tillsynsbegäran mail.docx", "A 22549-2021")</f>
        <v/>
      </c>
    </row>
    <row r="199" ht="15" customHeight="1">
      <c r="A199" t="inlineStr">
        <is>
          <t>A 22965-2021</t>
        </is>
      </c>
      <c r="B199" s="1" t="n">
        <v>44328</v>
      </c>
      <c r="C199" s="1" t="n">
        <v>45570</v>
      </c>
      <c r="D199" t="inlineStr">
        <is>
          <t>SKÅNE LÄN</t>
        </is>
      </c>
      <c r="E199" t="inlineStr">
        <is>
          <t>KRISTIANSTAD</t>
        </is>
      </c>
      <c r="G199" t="n">
        <v>1</v>
      </c>
      <c r="H199" t="n">
        <v>1</v>
      </c>
      <c r="I199" t="n">
        <v>0</v>
      </c>
      <c r="J199" t="n">
        <v>0</v>
      </c>
      <c r="K199" t="n">
        <v>0</v>
      </c>
      <c r="L199" t="n">
        <v>0</v>
      </c>
      <c r="M199" t="n">
        <v>0</v>
      </c>
      <c r="N199" t="n">
        <v>0</v>
      </c>
      <c r="O199" t="n">
        <v>0</v>
      </c>
      <c r="P199" t="n">
        <v>0</v>
      </c>
      <c r="Q199" t="n">
        <v>1</v>
      </c>
      <c r="R199" s="2" t="inlineStr">
        <is>
          <t>Kungsfågel</t>
        </is>
      </c>
      <c r="S199">
        <f>HYPERLINK("https://klasma.github.io/Logging_1290/artfynd/A 22965-2021 artfynd.xlsx", "A 22965-2021")</f>
        <v/>
      </c>
      <c r="T199">
        <f>HYPERLINK("https://klasma.github.io/Logging_1290/kartor/A 22965-2021 karta.png", "A 22965-2021")</f>
        <v/>
      </c>
      <c r="V199">
        <f>HYPERLINK("https://klasma.github.io/Logging_1290/klagomål/A 22965-2021 FSC-klagomål.docx", "A 22965-2021")</f>
        <v/>
      </c>
      <c r="W199">
        <f>HYPERLINK("https://klasma.github.io/Logging_1290/klagomålsmail/A 22965-2021 FSC-klagomål mail.docx", "A 22965-2021")</f>
        <v/>
      </c>
      <c r="X199">
        <f>HYPERLINK("https://klasma.github.io/Logging_1290/tillsyn/A 22965-2021 tillsynsbegäran.docx", "A 22965-2021")</f>
        <v/>
      </c>
      <c r="Y199">
        <f>HYPERLINK("https://klasma.github.io/Logging_1290/tillsynsmail/A 22965-2021 tillsynsbegäran mail.docx", "A 22965-2021")</f>
        <v/>
      </c>
      <c r="Z199">
        <f>HYPERLINK("https://klasma.github.io/Logging_1290/fåglar/A 22965-2021 prioriterade fågelarter.docx", "A 22965-2021")</f>
        <v/>
      </c>
    </row>
    <row r="200" ht="15" customHeight="1">
      <c r="A200" t="inlineStr">
        <is>
          <t>A 30708-2021</t>
        </is>
      </c>
      <c r="B200" s="1" t="n">
        <v>44365</v>
      </c>
      <c r="C200" s="1" t="n">
        <v>45570</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30721-2021</t>
        </is>
      </c>
      <c r="B201" s="1" t="n">
        <v>44365</v>
      </c>
      <c r="C201" s="1" t="n">
        <v>45570</v>
      </c>
      <c r="D201" t="inlineStr">
        <is>
          <t>SKÅNE LÄN</t>
        </is>
      </c>
      <c r="E201" t="inlineStr">
        <is>
          <t>KLIPPAN</t>
        </is>
      </c>
      <c r="G201" t="n">
        <v>0.4</v>
      </c>
      <c r="H201" t="n">
        <v>0</v>
      </c>
      <c r="I201" t="n">
        <v>1</v>
      </c>
      <c r="J201" t="n">
        <v>0</v>
      </c>
      <c r="K201" t="n">
        <v>0</v>
      </c>
      <c r="L201" t="n">
        <v>0</v>
      </c>
      <c r="M201" t="n">
        <v>0</v>
      </c>
      <c r="N201" t="n">
        <v>0</v>
      </c>
      <c r="O201" t="n">
        <v>0</v>
      </c>
      <c r="P201" t="n">
        <v>0</v>
      </c>
      <c r="Q201" t="n">
        <v>1</v>
      </c>
      <c r="R201" s="2" t="inlineStr">
        <is>
          <t>Brandticka</t>
        </is>
      </c>
      <c r="S201">
        <f>HYPERLINK("https://klasma.github.io/Logging_1276/artfynd/A 30721-2021 artfynd.xlsx", "A 30721-2021")</f>
        <v/>
      </c>
      <c r="T201">
        <f>HYPERLINK("https://klasma.github.io/Logging_1276/kartor/A 30721-2021 karta.png", "A 30721-2021")</f>
        <v/>
      </c>
      <c r="V201">
        <f>HYPERLINK("https://klasma.github.io/Logging_1276/klagomål/A 30721-2021 FSC-klagomål.docx", "A 30721-2021")</f>
        <v/>
      </c>
      <c r="W201">
        <f>HYPERLINK("https://klasma.github.io/Logging_1276/klagomålsmail/A 30721-2021 FSC-klagomål mail.docx", "A 30721-2021")</f>
        <v/>
      </c>
      <c r="X201">
        <f>HYPERLINK("https://klasma.github.io/Logging_1276/tillsyn/A 30721-2021 tillsynsbegäran.docx", "A 30721-2021")</f>
        <v/>
      </c>
      <c r="Y201">
        <f>HYPERLINK("https://klasma.github.io/Logging_1276/tillsynsmail/A 30721-2021 tillsynsbegäran mail.docx", "A 30721-2021")</f>
        <v/>
      </c>
    </row>
    <row r="202" ht="15" customHeight="1">
      <c r="A202" t="inlineStr">
        <is>
          <t>A 32766-2021</t>
        </is>
      </c>
      <c r="B202" s="1" t="n">
        <v>44375</v>
      </c>
      <c r="C202" s="1" t="n">
        <v>45570</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35443-2021</t>
        </is>
      </c>
      <c r="B203" s="1" t="n">
        <v>44385</v>
      </c>
      <c r="C203" s="1" t="n">
        <v>45570</v>
      </c>
      <c r="D203" t="inlineStr">
        <is>
          <t>SKÅNE LÄN</t>
        </is>
      </c>
      <c r="E203" t="inlineStr">
        <is>
          <t>LUND</t>
        </is>
      </c>
      <c r="G203" t="n">
        <v>4.2</v>
      </c>
      <c r="H203" t="n">
        <v>0</v>
      </c>
      <c r="I203" t="n">
        <v>0</v>
      </c>
      <c r="J203" t="n">
        <v>0</v>
      </c>
      <c r="K203" t="n">
        <v>0</v>
      </c>
      <c r="L203" t="n">
        <v>1</v>
      </c>
      <c r="M203" t="n">
        <v>0</v>
      </c>
      <c r="N203" t="n">
        <v>0</v>
      </c>
      <c r="O203" t="n">
        <v>1</v>
      </c>
      <c r="P203" t="n">
        <v>1</v>
      </c>
      <c r="Q203" t="n">
        <v>1</v>
      </c>
      <c r="R203" s="2" t="inlineStr">
        <is>
          <t>Klubbfibbla</t>
        </is>
      </c>
      <c r="S203">
        <f>HYPERLINK("https://klasma.github.io/Logging_1281/artfynd/A 35443-2021 artfynd.xlsx", "A 35443-2021")</f>
        <v/>
      </c>
      <c r="T203">
        <f>HYPERLINK("https://klasma.github.io/Logging_1281/kartor/A 35443-2021 karta.png", "A 35443-2021")</f>
        <v/>
      </c>
      <c r="V203">
        <f>HYPERLINK("https://klasma.github.io/Logging_1281/klagomål/A 35443-2021 FSC-klagomål.docx", "A 35443-2021")</f>
        <v/>
      </c>
      <c r="W203">
        <f>HYPERLINK("https://klasma.github.io/Logging_1281/klagomålsmail/A 35443-2021 FSC-klagomål mail.docx", "A 35443-2021")</f>
        <v/>
      </c>
      <c r="X203">
        <f>HYPERLINK("https://klasma.github.io/Logging_1281/tillsyn/A 35443-2021 tillsynsbegäran.docx", "A 35443-2021")</f>
        <v/>
      </c>
      <c r="Y203">
        <f>HYPERLINK("https://klasma.github.io/Logging_1281/tillsynsmail/A 35443-2021 tillsynsbegäran mail.docx", "A 35443-2021")</f>
        <v/>
      </c>
    </row>
    <row r="204" ht="15" customHeight="1">
      <c r="A204" t="inlineStr">
        <is>
          <t>A 44327-2021</t>
        </is>
      </c>
      <c r="B204" s="1" t="n">
        <v>44434</v>
      </c>
      <c r="C204" s="1" t="n">
        <v>45570</v>
      </c>
      <c r="D204" t="inlineStr">
        <is>
          <t>SKÅNE LÄN</t>
        </is>
      </c>
      <c r="E204" t="inlineStr">
        <is>
          <t>HÖÖR</t>
        </is>
      </c>
      <c r="G204" t="n">
        <v>12.1</v>
      </c>
      <c r="H204" t="n">
        <v>1</v>
      </c>
      <c r="I204" t="n">
        <v>0</v>
      </c>
      <c r="J204" t="n">
        <v>0</v>
      </c>
      <c r="K204" t="n">
        <v>0</v>
      </c>
      <c r="L204" t="n">
        <v>1</v>
      </c>
      <c r="M204" t="n">
        <v>0</v>
      </c>
      <c r="N204" t="n">
        <v>0</v>
      </c>
      <c r="O204" t="n">
        <v>1</v>
      </c>
      <c r="P204" t="n">
        <v>1</v>
      </c>
      <c r="Q204" t="n">
        <v>1</v>
      </c>
      <c r="R204" s="2" t="inlineStr">
        <is>
          <t>Årta</t>
        </is>
      </c>
      <c r="S204">
        <f>HYPERLINK("https://klasma.github.io/Logging_1267/artfynd/A 44327-2021 artfynd.xlsx", "A 44327-2021")</f>
        <v/>
      </c>
      <c r="T204">
        <f>HYPERLINK("https://klasma.github.io/Logging_1267/kartor/A 44327-2021 karta.png", "A 44327-2021")</f>
        <v/>
      </c>
      <c r="V204">
        <f>HYPERLINK("https://klasma.github.io/Logging_1267/klagomål/A 44327-2021 FSC-klagomål.docx", "A 44327-2021")</f>
        <v/>
      </c>
      <c r="W204">
        <f>HYPERLINK("https://klasma.github.io/Logging_1267/klagomålsmail/A 44327-2021 FSC-klagomål mail.docx", "A 44327-2021")</f>
        <v/>
      </c>
      <c r="X204">
        <f>HYPERLINK("https://klasma.github.io/Logging_1267/tillsyn/A 44327-2021 tillsynsbegäran.docx", "A 44327-2021")</f>
        <v/>
      </c>
      <c r="Y204">
        <f>HYPERLINK("https://klasma.github.io/Logging_1267/tillsynsmail/A 44327-2021 tillsynsbegäran mail.docx", "A 44327-2021")</f>
        <v/>
      </c>
    </row>
    <row r="205" ht="15" customHeight="1">
      <c r="A205" t="inlineStr">
        <is>
          <t>A 44705-2021</t>
        </is>
      </c>
      <c r="B205" s="1" t="n">
        <v>44438</v>
      </c>
      <c r="C205" s="1" t="n">
        <v>45570</v>
      </c>
      <c r="D205" t="inlineStr">
        <is>
          <t>SKÅNE LÄN</t>
        </is>
      </c>
      <c r="E205" t="inlineStr">
        <is>
          <t>HÄSSLEHOLM</t>
        </is>
      </c>
      <c r="G205" t="n">
        <v>1.7</v>
      </c>
      <c r="H205" t="n">
        <v>0</v>
      </c>
      <c r="I205" t="n">
        <v>1</v>
      </c>
      <c r="J205" t="n">
        <v>0</v>
      </c>
      <c r="K205" t="n">
        <v>0</v>
      </c>
      <c r="L205" t="n">
        <v>0</v>
      </c>
      <c r="M205" t="n">
        <v>0</v>
      </c>
      <c r="N205" t="n">
        <v>0</v>
      </c>
      <c r="O205" t="n">
        <v>0</v>
      </c>
      <c r="P205" t="n">
        <v>0</v>
      </c>
      <c r="Q205" t="n">
        <v>1</v>
      </c>
      <c r="R205" s="2" t="inlineStr">
        <is>
          <t>Blåmossa</t>
        </is>
      </c>
      <c r="S205">
        <f>HYPERLINK("https://klasma.github.io/Logging_1293/artfynd/A 44705-2021 artfynd.xlsx", "A 44705-2021")</f>
        <v/>
      </c>
      <c r="T205">
        <f>HYPERLINK("https://klasma.github.io/Logging_1293/kartor/A 44705-2021 karta.png", "A 44705-2021")</f>
        <v/>
      </c>
      <c r="V205">
        <f>HYPERLINK("https://klasma.github.io/Logging_1293/klagomål/A 44705-2021 FSC-klagomål.docx", "A 44705-2021")</f>
        <v/>
      </c>
      <c r="W205">
        <f>HYPERLINK("https://klasma.github.io/Logging_1293/klagomålsmail/A 44705-2021 FSC-klagomål mail.docx", "A 44705-2021")</f>
        <v/>
      </c>
      <c r="X205">
        <f>HYPERLINK("https://klasma.github.io/Logging_1293/tillsyn/A 44705-2021 tillsynsbegäran.docx", "A 44705-2021")</f>
        <v/>
      </c>
      <c r="Y205">
        <f>HYPERLINK("https://klasma.github.io/Logging_1293/tillsynsmail/A 44705-2021 tillsynsbegäran mail.docx", "A 44705-2021")</f>
        <v/>
      </c>
    </row>
    <row r="206" ht="15" customHeight="1">
      <c r="A206" t="inlineStr">
        <is>
          <t>A 46919-2021</t>
        </is>
      </c>
      <c r="B206" s="1" t="n">
        <v>44446</v>
      </c>
      <c r="C206" s="1" t="n">
        <v>45570</v>
      </c>
      <c r="D206" t="inlineStr">
        <is>
          <t>SKÅNE LÄN</t>
        </is>
      </c>
      <c r="E206" t="inlineStr">
        <is>
          <t>HÖÖR</t>
        </is>
      </c>
      <c r="G206" t="n">
        <v>2.8</v>
      </c>
      <c r="H206" t="n">
        <v>0</v>
      </c>
      <c r="I206" t="n">
        <v>1</v>
      </c>
      <c r="J206" t="n">
        <v>0</v>
      </c>
      <c r="K206" t="n">
        <v>0</v>
      </c>
      <c r="L206" t="n">
        <v>0</v>
      </c>
      <c r="M206" t="n">
        <v>0</v>
      </c>
      <c r="N206" t="n">
        <v>0</v>
      </c>
      <c r="O206" t="n">
        <v>0</v>
      </c>
      <c r="P206" t="n">
        <v>0</v>
      </c>
      <c r="Q206" t="n">
        <v>1</v>
      </c>
      <c r="R206" s="2" t="inlineStr">
        <is>
          <t>Strutbräken</t>
        </is>
      </c>
      <c r="S206">
        <f>HYPERLINK("https://klasma.github.io/Logging_1267/artfynd/A 46919-2021 artfynd.xlsx", "A 46919-2021")</f>
        <v/>
      </c>
      <c r="T206">
        <f>HYPERLINK("https://klasma.github.io/Logging_1267/kartor/A 46919-2021 karta.png", "A 46919-2021")</f>
        <v/>
      </c>
      <c r="V206">
        <f>HYPERLINK("https://klasma.github.io/Logging_1267/klagomål/A 46919-2021 FSC-klagomål.docx", "A 46919-2021")</f>
        <v/>
      </c>
      <c r="W206">
        <f>HYPERLINK("https://klasma.github.io/Logging_1267/klagomålsmail/A 46919-2021 FSC-klagomål mail.docx", "A 46919-2021")</f>
        <v/>
      </c>
      <c r="X206">
        <f>HYPERLINK("https://klasma.github.io/Logging_1267/tillsyn/A 46919-2021 tillsynsbegäran.docx", "A 46919-2021")</f>
        <v/>
      </c>
      <c r="Y206">
        <f>HYPERLINK("https://klasma.github.io/Logging_1267/tillsynsmail/A 46919-2021 tillsynsbegäran mail.docx", "A 46919-2021")</f>
        <v/>
      </c>
    </row>
    <row r="207" ht="15" customHeight="1">
      <c r="A207" t="inlineStr">
        <is>
          <t>A 52355-2021</t>
        </is>
      </c>
      <c r="B207" s="1" t="n">
        <v>44464</v>
      </c>
      <c r="C207" s="1" t="n">
        <v>45570</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45570</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45570</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45570</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45570</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45570</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45570</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45570</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45570</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45570</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45570</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45570</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45570</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23963-2022</t>
        </is>
      </c>
      <c r="B220" s="1" t="n">
        <v>44722</v>
      </c>
      <c r="C220" s="1" t="n">
        <v>45570</v>
      </c>
      <c r="D220" t="inlineStr">
        <is>
          <t>SKÅNE LÄN</t>
        </is>
      </c>
      <c r="E220" t="inlineStr">
        <is>
          <t>OSBY</t>
        </is>
      </c>
      <c r="F220" t="inlineStr">
        <is>
          <t>Kyrkan</t>
        </is>
      </c>
      <c r="G220" t="n">
        <v>4.5</v>
      </c>
      <c r="H220" t="n">
        <v>1</v>
      </c>
      <c r="I220" t="n">
        <v>0</v>
      </c>
      <c r="J220" t="n">
        <v>0</v>
      </c>
      <c r="K220" t="n">
        <v>0</v>
      </c>
      <c r="L220" t="n">
        <v>0</v>
      </c>
      <c r="M220" t="n">
        <v>0</v>
      </c>
      <c r="N220" t="n">
        <v>0</v>
      </c>
      <c r="O220" t="n">
        <v>0</v>
      </c>
      <c r="P220" t="n">
        <v>0</v>
      </c>
      <c r="Q220" t="n">
        <v>1</v>
      </c>
      <c r="R220" s="2" t="inlineStr">
        <is>
          <t>Kungsfågel</t>
        </is>
      </c>
      <c r="S220">
        <f>HYPERLINK("https://klasma.github.io/Logging_1273/artfynd/A 23963-2022 artfynd.xlsx", "A 23963-2022")</f>
        <v/>
      </c>
      <c r="T220">
        <f>HYPERLINK("https://klasma.github.io/Logging_1273/kartor/A 23963-2022 karta.png", "A 23963-2022")</f>
        <v/>
      </c>
      <c r="V220">
        <f>HYPERLINK("https://klasma.github.io/Logging_1273/klagomål/A 23963-2022 FSC-klagomål.docx", "A 23963-2022")</f>
        <v/>
      </c>
      <c r="W220">
        <f>HYPERLINK("https://klasma.github.io/Logging_1273/klagomålsmail/A 23963-2022 FSC-klagomål mail.docx", "A 23963-2022")</f>
        <v/>
      </c>
      <c r="X220">
        <f>HYPERLINK("https://klasma.github.io/Logging_1273/tillsyn/A 23963-2022 tillsynsbegäran.docx", "A 23963-2022")</f>
        <v/>
      </c>
      <c r="Y220">
        <f>HYPERLINK("https://klasma.github.io/Logging_1273/tillsynsmail/A 23963-2022 tillsynsbegäran mail.docx", "A 23963-2022")</f>
        <v/>
      </c>
      <c r="Z220">
        <f>HYPERLINK("https://klasma.github.io/Logging_1273/fåglar/A 23963-2022 prioriterade fågelarter.docx", "A 23963-2022")</f>
        <v/>
      </c>
    </row>
    <row r="221" ht="15" customHeight="1">
      <c r="A221" t="inlineStr">
        <is>
          <t>A 24158-2022</t>
        </is>
      </c>
      <c r="B221" s="1" t="n">
        <v>44725</v>
      </c>
      <c r="C221" s="1" t="n">
        <v>45570</v>
      </c>
      <c r="D221" t="inlineStr">
        <is>
          <t>SKÅNE LÄN</t>
        </is>
      </c>
      <c r="E221" t="inlineStr">
        <is>
          <t>HÖRBY</t>
        </is>
      </c>
      <c r="G221" t="n">
        <v>3.1</v>
      </c>
      <c r="H221" t="n">
        <v>0</v>
      </c>
      <c r="I221" t="n">
        <v>0</v>
      </c>
      <c r="J221" t="n">
        <v>0</v>
      </c>
      <c r="K221" t="n">
        <v>1</v>
      </c>
      <c r="L221" t="n">
        <v>0</v>
      </c>
      <c r="M221" t="n">
        <v>0</v>
      </c>
      <c r="N221" t="n">
        <v>0</v>
      </c>
      <c r="O221" t="n">
        <v>1</v>
      </c>
      <c r="P221" t="n">
        <v>1</v>
      </c>
      <c r="Q221" t="n">
        <v>1</v>
      </c>
      <c r="R221" s="2" t="inlineStr">
        <is>
          <t>Slåttergubbe</t>
        </is>
      </c>
      <c r="S221">
        <f>HYPERLINK("https://klasma.github.io/Logging_1266/artfynd/A 24158-2022 artfynd.xlsx", "A 24158-2022")</f>
        <v/>
      </c>
      <c r="T221">
        <f>HYPERLINK("https://klasma.github.io/Logging_1266/kartor/A 24158-2022 karta.png", "A 24158-2022")</f>
        <v/>
      </c>
      <c r="V221">
        <f>HYPERLINK("https://klasma.github.io/Logging_1266/klagomål/A 24158-2022 FSC-klagomål.docx", "A 24158-2022")</f>
        <v/>
      </c>
      <c r="W221">
        <f>HYPERLINK("https://klasma.github.io/Logging_1266/klagomålsmail/A 24158-2022 FSC-klagomål mail.docx", "A 24158-2022")</f>
        <v/>
      </c>
      <c r="X221">
        <f>HYPERLINK("https://klasma.github.io/Logging_1266/tillsyn/A 24158-2022 tillsynsbegäran.docx", "A 24158-2022")</f>
        <v/>
      </c>
      <c r="Y221">
        <f>HYPERLINK("https://klasma.github.io/Logging_1266/tillsynsmail/A 24158-2022 tillsynsbegäran mail.docx", "A 24158-2022")</f>
        <v/>
      </c>
    </row>
    <row r="222" ht="15" customHeight="1">
      <c r="A222" t="inlineStr">
        <is>
          <t>A 27958-2022</t>
        </is>
      </c>
      <c r="B222" s="1" t="n">
        <v>44744</v>
      </c>
      <c r="C222" s="1" t="n">
        <v>45570</v>
      </c>
      <c r="D222" t="inlineStr">
        <is>
          <t>SKÅNE LÄN</t>
        </is>
      </c>
      <c r="E222" t="inlineStr">
        <is>
          <t>HÄSSLEHOLM</t>
        </is>
      </c>
      <c r="G222" t="n">
        <v>3.9</v>
      </c>
      <c r="H222" t="n">
        <v>0</v>
      </c>
      <c r="I222" t="n">
        <v>1</v>
      </c>
      <c r="J222" t="n">
        <v>0</v>
      </c>
      <c r="K222" t="n">
        <v>0</v>
      </c>
      <c r="L222" t="n">
        <v>0</v>
      </c>
      <c r="M222" t="n">
        <v>0</v>
      </c>
      <c r="N222" t="n">
        <v>0</v>
      </c>
      <c r="O222" t="n">
        <v>0</v>
      </c>
      <c r="P222" t="n">
        <v>0</v>
      </c>
      <c r="Q222" t="n">
        <v>1</v>
      </c>
      <c r="R222" s="2" t="inlineStr">
        <is>
          <t>Myskmadra</t>
        </is>
      </c>
      <c r="S222">
        <f>HYPERLINK("https://klasma.github.io/Logging_1293/artfynd/A 27958-2022 artfynd.xlsx", "A 27958-2022")</f>
        <v/>
      </c>
      <c r="T222">
        <f>HYPERLINK("https://klasma.github.io/Logging_1293/kartor/A 27958-2022 karta.png", "A 27958-2022")</f>
        <v/>
      </c>
      <c r="V222">
        <f>HYPERLINK("https://klasma.github.io/Logging_1293/klagomål/A 27958-2022 FSC-klagomål.docx", "A 27958-2022")</f>
        <v/>
      </c>
      <c r="W222">
        <f>HYPERLINK("https://klasma.github.io/Logging_1293/klagomålsmail/A 27958-2022 FSC-klagomål mail.docx", "A 27958-2022")</f>
        <v/>
      </c>
      <c r="X222">
        <f>HYPERLINK("https://klasma.github.io/Logging_1293/tillsyn/A 27958-2022 tillsynsbegäran.docx", "A 27958-2022")</f>
        <v/>
      </c>
      <c r="Y222">
        <f>HYPERLINK("https://klasma.github.io/Logging_1293/tillsynsmail/A 27958-2022 tillsynsbegäran mail.docx", "A 27958-2022")</f>
        <v/>
      </c>
    </row>
    <row r="223" ht="15" customHeight="1">
      <c r="A223" t="inlineStr">
        <is>
          <t>A 28265-2022</t>
        </is>
      </c>
      <c r="B223" s="1" t="n">
        <v>44746</v>
      </c>
      <c r="C223" s="1" t="n">
        <v>45570</v>
      </c>
      <c r="D223" t="inlineStr">
        <is>
          <t>SKÅNE LÄN</t>
        </is>
      </c>
      <c r="E223" t="inlineStr">
        <is>
          <t>ÄNGELHOLM</t>
        </is>
      </c>
      <c r="G223" t="n">
        <v>3.3</v>
      </c>
      <c r="H223" t="n">
        <v>1</v>
      </c>
      <c r="I223" t="n">
        <v>0</v>
      </c>
      <c r="J223" t="n">
        <v>1</v>
      </c>
      <c r="K223" t="n">
        <v>0</v>
      </c>
      <c r="L223" t="n">
        <v>0</v>
      </c>
      <c r="M223" t="n">
        <v>0</v>
      </c>
      <c r="N223" t="n">
        <v>0</v>
      </c>
      <c r="O223" t="n">
        <v>1</v>
      </c>
      <c r="P223" t="n">
        <v>0</v>
      </c>
      <c r="Q223" t="n">
        <v>1</v>
      </c>
      <c r="R223" s="2" t="inlineStr">
        <is>
          <t>Havsörn</t>
        </is>
      </c>
      <c r="S223">
        <f>HYPERLINK("https://klasma.github.io/Logging_1292/artfynd/A 28265-2022 artfynd.xlsx", "A 28265-2022")</f>
        <v/>
      </c>
      <c r="T223">
        <f>HYPERLINK("https://klasma.github.io/Logging_1292/kartor/A 28265-2022 karta.png", "A 28265-2022")</f>
        <v/>
      </c>
      <c r="V223">
        <f>HYPERLINK("https://klasma.github.io/Logging_1292/klagomål/A 28265-2022 FSC-klagomål.docx", "A 28265-2022")</f>
        <v/>
      </c>
      <c r="W223">
        <f>HYPERLINK("https://klasma.github.io/Logging_1292/klagomålsmail/A 28265-2022 FSC-klagomål mail.docx", "A 28265-2022")</f>
        <v/>
      </c>
      <c r="X223">
        <f>HYPERLINK("https://klasma.github.io/Logging_1292/tillsyn/A 28265-2022 tillsynsbegäran.docx", "A 28265-2022")</f>
        <v/>
      </c>
      <c r="Y223">
        <f>HYPERLINK("https://klasma.github.io/Logging_1292/tillsynsmail/A 28265-2022 tillsynsbegäran mail.docx", "A 28265-2022")</f>
        <v/>
      </c>
      <c r="Z223">
        <f>HYPERLINK("https://klasma.github.io/Logging_1292/fåglar/A 28265-2022 prioriterade fågelarter.docx", "A 28265-2022")</f>
        <v/>
      </c>
    </row>
    <row r="224" ht="15" customHeight="1">
      <c r="A224" t="inlineStr">
        <is>
          <t>A 29858-2022</t>
        </is>
      </c>
      <c r="B224" s="1" t="n">
        <v>44756</v>
      </c>
      <c r="C224" s="1" t="n">
        <v>45570</v>
      </c>
      <c r="D224" t="inlineStr">
        <is>
          <t>SKÅNE LÄN</t>
        </is>
      </c>
      <c r="E224" t="inlineStr">
        <is>
          <t>YSTAD</t>
        </is>
      </c>
      <c r="G224" t="n">
        <v>0.5</v>
      </c>
      <c r="H224" t="n">
        <v>0</v>
      </c>
      <c r="I224" t="n">
        <v>0</v>
      </c>
      <c r="J224" t="n">
        <v>1</v>
      </c>
      <c r="K224" t="n">
        <v>0</v>
      </c>
      <c r="L224" t="n">
        <v>0</v>
      </c>
      <c r="M224" t="n">
        <v>0</v>
      </c>
      <c r="N224" t="n">
        <v>0</v>
      </c>
      <c r="O224" t="n">
        <v>1</v>
      </c>
      <c r="P224" t="n">
        <v>0</v>
      </c>
      <c r="Q224" t="n">
        <v>1</v>
      </c>
      <c r="R224" s="2" t="inlineStr">
        <is>
          <t>Igelkott</t>
        </is>
      </c>
      <c r="S224">
        <f>HYPERLINK("https://klasma.github.io/Logging_1286/artfynd/A 29858-2022 artfynd.xlsx", "A 29858-2022")</f>
        <v/>
      </c>
      <c r="T224">
        <f>HYPERLINK("https://klasma.github.io/Logging_1286/kartor/A 29858-2022 karta.png", "A 29858-2022")</f>
        <v/>
      </c>
      <c r="V224">
        <f>HYPERLINK("https://klasma.github.io/Logging_1286/klagomål/A 29858-2022 FSC-klagomål.docx", "A 29858-2022")</f>
        <v/>
      </c>
      <c r="W224">
        <f>HYPERLINK("https://klasma.github.io/Logging_1286/klagomålsmail/A 29858-2022 FSC-klagomål mail.docx", "A 29858-2022")</f>
        <v/>
      </c>
      <c r="X224">
        <f>HYPERLINK("https://klasma.github.io/Logging_1286/tillsyn/A 29858-2022 tillsynsbegäran.docx", "A 29858-2022")</f>
        <v/>
      </c>
      <c r="Y224">
        <f>HYPERLINK("https://klasma.github.io/Logging_1286/tillsynsmail/A 29858-2022 tillsynsbegäran mail.docx", "A 29858-2022")</f>
        <v/>
      </c>
    </row>
    <row r="225" ht="15" customHeight="1">
      <c r="A225" t="inlineStr">
        <is>
          <t>A 33491-2022</t>
        </is>
      </c>
      <c r="B225" s="1" t="n">
        <v>44788</v>
      </c>
      <c r="C225" s="1" t="n">
        <v>45570</v>
      </c>
      <c r="D225" t="inlineStr">
        <is>
          <t>SKÅNE LÄN</t>
        </is>
      </c>
      <c r="E225" t="inlineStr">
        <is>
          <t>OSBY</t>
        </is>
      </c>
      <c r="G225" t="n">
        <v>11.8</v>
      </c>
      <c r="H225" t="n">
        <v>0</v>
      </c>
      <c r="I225" t="n">
        <v>0</v>
      </c>
      <c r="J225" t="n">
        <v>0</v>
      </c>
      <c r="K225" t="n">
        <v>0</v>
      </c>
      <c r="L225" t="n">
        <v>0</v>
      </c>
      <c r="M225" t="n">
        <v>0</v>
      </c>
      <c r="N225" t="n">
        <v>1</v>
      </c>
      <c r="O225" t="n">
        <v>1</v>
      </c>
      <c r="P225" t="n">
        <v>0</v>
      </c>
      <c r="Q225" t="n">
        <v>1</v>
      </c>
      <c r="R225" s="2" t="inlineStr">
        <is>
          <t>Pimpinellros</t>
        </is>
      </c>
      <c r="S225">
        <f>HYPERLINK("https://klasma.github.io/Logging_1273/artfynd/A 33491-2022 artfynd.xlsx", "A 33491-2022")</f>
        <v/>
      </c>
      <c r="T225">
        <f>HYPERLINK("https://klasma.github.io/Logging_1273/kartor/A 33491-2022 karta.png", "A 33491-2022")</f>
        <v/>
      </c>
      <c r="V225">
        <f>HYPERLINK("https://klasma.github.io/Logging_1273/klagomål/A 33491-2022 FSC-klagomål.docx", "A 33491-2022")</f>
        <v/>
      </c>
      <c r="W225">
        <f>HYPERLINK("https://klasma.github.io/Logging_1273/klagomålsmail/A 33491-2022 FSC-klagomål mail.docx", "A 33491-2022")</f>
        <v/>
      </c>
      <c r="X225">
        <f>HYPERLINK("https://klasma.github.io/Logging_1273/tillsyn/A 33491-2022 tillsynsbegäran.docx", "A 33491-2022")</f>
        <v/>
      </c>
      <c r="Y225">
        <f>HYPERLINK("https://klasma.github.io/Logging_1273/tillsynsmail/A 33491-2022 tillsynsbegäran mail.docx", "A 33491-2022")</f>
        <v/>
      </c>
    </row>
    <row r="226" ht="15" customHeight="1">
      <c r="A226" t="inlineStr">
        <is>
          <t>A 36038-2022</t>
        </is>
      </c>
      <c r="B226" s="1" t="n">
        <v>44802</v>
      </c>
      <c r="C226" s="1" t="n">
        <v>45570</v>
      </c>
      <c r="D226" t="inlineStr">
        <is>
          <t>SKÅNE LÄN</t>
        </is>
      </c>
      <c r="E226" t="inlineStr">
        <is>
          <t>ÄNGELHOLM</t>
        </is>
      </c>
      <c r="G226" t="n">
        <v>1.7</v>
      </c>
      <c r="H226" t="n">
        <v>0</v>
      </c>
      <c r="I226" t="n">
        <v>1</v>
      </c>
      <c r="J226" t="n">
        <v>0</v>
      </c>
      <c r="K226" t="n">
        <v>0</v>
      </c>
      <c r="L226" t="n">
        <v>0</v>
      </c>
      <c r="M226" t="n">
        <v>0</v>
      </c>
      <c r="N226" t="n">
        <v>0</v>
      </c>
      <c r="O226" t="n">
        <v>0</v>
      </c>
      <c r="P226" t="n">
        <v>0</v>
      </c>
      <c r="Q226" t="n">
        <v>1</v>
      </c>
      <c r="R226" s="2" t="inlineStr">
        <is>
          <t>Västlig hakmossa</t>
        </is>
      </c>
      <c r="S226">
        <f>HYPERLINK("https://klasma.github.io/Logging_1292/artfynd/A 36038-2022 artfynd.xlsx", "A 36038-2022")</f>
        <v/>
      </c>
      <c r="T226">
        <f>HYPERLINK("https://klasma.github.io/Logging_1292/kartor/A 36038-2022 karta.png", "A 36038-2022")</f>
        <v/>
      </c>
      <c r="V226">
        <f>HYPERLINK("https://klasma.github.io/Logging_1292/klagomål/A 36038-2022 FSC-klagomål.docx", "A 36038-2022")</f>
        <v/>
      </c>
      <c r="W226">
        <f>HYPERLINK("https://klasma.github.io/Logging_1292/klagomålsmail/A 36038-2022 FSC-klagomål mail.docx", "A 36038-2022")</f>
        <v/>
      </c>
      <c r="X226">
        <f>HYPERLINK("https://klasma.github.io/Logging_1292/tillsyn/A 36038-2022 tillsynsbegäran.docx", "A 36038-2022")</f>
        <v/>
      </c>
      <c r="Y226">
        <f>HYPERLINK("https://klasma.github.io/Logging_1292/tillsynsmail/A 36038-2022 tillsynsbegäran mail.docx", "A 36038-2022")</f>
        <v/>
      </c>
    </row>
    <row r="227" ht="15" customHeight="1">
      <c r="A227" t="inlineStr">
        <is>
          <t>A 38643-2022</t>
        </is>
      </c>
      <c r="B227" s="1" t="n">
        <v>44813</v>
      </c>
      <c r="C227" s="1" t="n">
        <v>45570</v>
      </c>
      <c r="D227" t="inlineStr">
        <is>
          <t>SKÅNE LÄN</t>
        </is>
      </c>
      <c r="E227" t="inlineStr">
        <is>
          <t>OSBY</t>
        </is>
      </c>
      <c r="F227" t="inlineStr">
        <is>
          <t>Kyrkan</t>
        </is>
      </c>
      <c r="G227" t="n">
        <v>9.5</v>
      </c>
      <c r="H227" t="n">
        <v>0</v>
      </c>
      <c r="I227" t="n">
        <v>1</v>
      </c>
      <c r="J227" t="n">
        <v>0</v>
      </c>
      <c r="K227" t="n">
        <v>0</v>
      </c>
      <c r="L227" t="n">
        <v>0</v>
      </c>
      <c r="M227" t="n">
        <v>0</v>
      </c>
      <c r="N227" t="n">
        <v>0</v>
      </c>
      <c r="O227" t="n">
        <v>0</v>
      </c>
      <c r="P227" t="n">
        <v>0</v>
      </c>
      <c r="Q227" t="n">
        <v>1</v>
      </c>
      <c r="R227" s="2" t="inlineStr">
        <is>
          <t>Havstulpanlav</t>
        </is>
      </c>
      <c r="S227">
        <f>HYPERLINK("https://klasma.github.io/Logging_1273/artfynd/A 38643-2022 artfynd.xlsx", "A 38643-2022")</f>
        <v/>
      </c>
      <c r="T227">
        <f>HYPERLINK("https://klasma.github.io/Logging_1273/kartor/A 38643-2022 karta.png", "A 38643-2022")</f>
        <v/>
      </c>
      <c r="V227">
        <f>HYPERLINK("https://klasma.github.io/Logging_1273/klagomål/A 38643-2022 FSC-klagomål.docx", "A 38643-2022")</f>
        <v/>
      </c>
      <c r="W227">
        <f>HYPERLINK("https://klasma.github.io/Logging_1273/klagomålsmail/A 38643-2022 FSC-klagomål mail.docx", "A 38643-2022")</f>
        <v/>
      </c>
      <c r="X227">
        <f>HYPERLINK("https://klasma.github.io/Logging_1273/tillsyn/A 38643-2022 tillsynsbegäran.docx", "A 38643-2022")</f>
        <v/>
      </c>
      <c r="Y227">
        <f>HYPERLINK("https://klasma.github.io/Logging_1273/tillsynsmail/A 38643-2022 tillsynsbegäran mail.docx", "A 38643-2022")</f>
        <v/>
      </c>
    </row>
    <row r="228" ht="15" customHeight="1">
      <c r="A228" t="inlineStr">
        <is>
          <t>A 39733-2022</t>
        </is>
      </c>
      <c r="B228" s="1" t="n">
        <v>44819</v>
      </c>
      <c r="C228" s="1" t="n">
        <v>45570</v>
      </c>
      <c r="D228" t="inlineStr">
        <is>
          <t>SKÅNE LÄN</t>
        </is>
      </c>
      <c r="E228" t="inlineStr">
        <is>
          <t>HÄSSLEHOLM</t>
        </is>
      </c>
      <c r="G228" t="n">
        <v>1.9</v>
      </c>
      <c r="H228" t="n">
        <v>1</v>
      </c>
      <c r="I228" t="n">
        <v>0</v>
      </c>
      <c r="J228" t="n">
        <v>1</v>
      </c>
      <c r="K228" t="n">
        <v>0</v>
      </c>
      <c r="L228" t="n">
        <v>0</v>
      </c>
      <c r="M228" t="n">
        <v>0</v>
      </c>
      <c r="N228" t="n">
        <v>0</v>
      </c>
      <c r="O228" t="n">
        <v>1</v>
      </c>
      <c r="P228" t="n">
        <v>0</v>
      </c>
      <c r="Q228" t="n">
        <v>1</v>
      </c>
      <c r="R228" s="2" t="inlineStr">
        <is>
          <t>Spillkråka</t>
        </is>
      </c>
      <c r="S228">
        <f>HYPERLINK("https://klasma.github.io/Logging_1293/artfynd/A 39733-2022 artfynd.xlsx", "A 39733-2022")</f>
        <v/>
      </c>
      <c r="T228">
        <f>HYPERLINK("https://klasma.github.io/Logging_1293/kartor/A 39733-2022 karta.png", "A 39733-2022")</f>
        <v/>
      </c>
      <c r="V228">
        <f>HYPERLINK("https://klasma.github.io/Logging_1293/klagomål/A 39733-2022 FSC-klagomål.docx", "A 39733-2022")</f>
        <v/>
      </c>
      <c r="W228">
        <f>HYPERLINK("https://klasma.github.io/Logging_1293/klagomålsmail/A 39733-2022 FSC-klagomål mail.docx", "A 39733-2022")</f>
        <v/>
      </c>
      <c r="X228">
        <f>HYPERLINK("https://klasma.github.io/Logging_1293/tillsyn/A 39733-2022 tillsynsbegäran.docx", "A 39733-2022")</f>
        <v/>
      </c>
      <c r="Y228">
        <f>HYPERLINK("https://klasma.github.io/Logging_1293/tillsynsmail/A 39733-2022 tillsynsbegäran mail.docx", "A 39733-2022")</f>
        <v/>
      </c>
      <c r="Z228">
        <f>HYPERLINK("https://klasma.github.io/Logging_1293/fåglar/A 39733-2022 prioriterade fågelarter.docx", "A 39733-2022")</f>
        <v/>
      </c>
    </row>
    <row r="229" ht="15" customHeight="1">
      <c r="A229" t="inlineStr">
        <is>
          <t>A 40135-2022</t>
        </is>
      </c>
      <c r="B229" s="1" t="n">
        <v>44820</v>
      </c>
      <c r="C229" s="1" t="n">
        <v>45570</v>
      </c>
      <c r="D229" t="inlineStr">
        <is>
          <t>SKÅNE LÄN</t>
        </is>
      </c>
      <c r="E229" t="inlineStr">
        <is>
          <t>ÖSTRA GÖINGE</t>
        </is>
      </c>
      <c r="G229" t="n">
        <v>3.7</v>
      </c>
      <c r="H229" t="n">
        <v>0</v>
      </c>
      <c r="I229" t="n">
        <v>1</v>
      </c>
      <c r="J229" t="n">
        <v>0</v>
      </c>
      <c r="K229" t="n">
        <v>0</v>
      </c>
      <c r="L229" t="n">
        <v>0</v>
      </c>
      <c r="M229" t="n">
        <v>0</v>
      </c>
      <c r="N229" t="n">
        <v>0</v>
      </c>
      <c r="O229" t="n">
        <v>0</v>
      </c>
      <c r="P229" t="n">
        <v>0</v>
      </c>
      <c r="Q229" t="n">
        <v>1</v>
      </c>
      <c r="R229" s="2" t="inlineStr">
        <is>
          <t>Fällmossa</t>
        </is>
      </c>
      <c r="S229">
        <f>HYPERLINK("https://klasma.github.io/Logging_1256/artfynd/A 40135-2022 artfynd.xlsx", "A 40135-2022")</f>
        <v/>
      </c>
      <c r="T229">
        <f>HYPERLINK("https://klasma.github.io/Logging_1256/kartor/A 40135-2022 karta.png", "A 40135-2022")</f>
        <v/>
      </c>
      <c r="V229">
        <f>HYPERLINK("https://klasma.github.io/Logging_1256/klagomål/A 40135-2022 FSC-klagomål.docx", "A 40135-2022")</f>
        <v/>
      </c>
      <c r="W229">
        <f>HYPERLINK("https://klasma.github.io/Logging_1256/klagomålsmail/A 40135-2022 FSC-klagomål mail.docx", "A 40135-2022")</f>
        <v/>
      </c>
      <c r="X229">
        <f>HYPERLINK("https://klasma.github.io/Logging_1256/tillsyn/A 40135-2022 tillsynsbegäran.docx", "A 40135-2022")</f>
        <v/>
      </c>
      <c r="Y229">
        <f>HYPERLINK("https://klasma.github.io/Logging_1256/tillsynsmail/A 40135-2022 tillsynsbegäran mail.docx", "A 40135-2022")</f>
        <v/>
      </c>
    </row>
    <row r="230" ht="15" customHeight="1">
      <c r="A230" t="inlineStr">
        <is>
          <t>A 40904-2022</t>
        </is>
      </c>
      <c r="B230" s="1" t="n">
        <v>44820</v>
      </c>
      <c r="C230" s="1" t="n">
        <v>45570</v>
      </c>
      <c r="D230" t="inlineStr">
        <is>
          <t>SKÅNE LÄN</t>
        </is>
      </c>
      <c r="E230" t="inlineStr">
        <is>
          <t>ÖSTRA GÖINGE</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HYPERLINK("https://klasma.github.io/Logging_1256/artfynd/A 40904-2022 artfynd.xlsx", "A 40904-2022")</f>
        <v/>
      </c>
      <c r="T230">
        <f>HYPERLINK("https://klasma.github.io/Logging_1256/kartor/A 40904-2022 karta.png", "A 40904-2022")</f>
        <v/>
      </c>
      <c r="V230">
        <f>HYPERLINK("https://klasma.github.io/Logging_1256/klagomål/A 40904-2022 FSC-klagomål.docx", "A 40904-2022")</f>
        <v/>
      </c>
      <c r="W230">
        <f>HYPERLINK("https://klasma.github.io/Logging_1256/klagomålsmail/A 40904-2022 FSC-klagomål mail.docx", "A 40904-2022")</f>
        <v/>
      </c>
      <c r="X230">
        <f>HYPERLINK("https://klasma.github.io/Logging_1256/tillsyn/A 40904-2022 tillsynsbegäran.docx", "A 40904-2022")</f>
        <v/>
      </c>
      <c r="Y230">
        <f>HYPERLINK("https://klasma.github.io/Logging_1256/tillsynsmail/A 40904-2022 tillsynsbegäran mail.docx", "A 40904-2022")</f>
        <v/>
      </c>
    </row>
    <row r="231" ht="15" customHeight="1">
      <c r="A231" t="inlineStr">
        <is>
          <t>A 41004-2022</t>
        </is>
      </c>
      <c r="B231" s="1" t="n">
        <v>44825</v>
      </c>
      <c r="C231" s="1" t="n">
        <v>45570</v>
      </c>
      <c r="D231" t="inlineStr">
        <is>
          <t>SKÅNE LÄN</t>
        </is>
      </c>
      <c r="E231" t="inlineStr">
        <is>
          <t>KRISTIANSTAD</t>
        </is>
      </c>
      <c r="G231" t="n">
        <v>2.4</v>
      </c>
      <c r="H231" t="n">
        <v>0</v>
      </c>
      <c r="I231" t="n">
        <v>1</v>
      </c>
      <c r="J231" t="n">
        <v>0</v>
      </c>
      <c r="K231" t="n">
        <v>0</v>
      </c>
      <c r="L231" t="n">
        <v>0</v>
      </c>
      <c r="M231" t="n">
        <v>0</v>
      </c>
      <c r="N231" t="n">
        <v>0</v>
      </c>
      <c r="O231" t="n">
        <v>0</v>
      </c>
      <c r="P231" t="n">
        <v>0</v>
      </c>
      <c r="Q231" t="n">
        <v>1</v>
      </c>
      <c r="R231" s="2" t="inlineStr">
        <is>
          <t>Skogsbräsma</t>
        </is>
      </c>
      <c r="S231">
        <f>HYPERLINK("https://klasma.github.io/Logging_1290/artfynd/A 41004-2022 artfynd.xlsx", "A 41004-2022")</f>
        <v/>
      </c>
      <c r="T231">
        <f>HYPERLINK("https://klasma.github.io/Logging_1290/kartor/A 41004-2022 karta.png", "A 41004-2022")</f>
        <v/>
      </c>
      <c r="V231">
        <f>HYPERLINK("https://klasma.github.io/Logging_1290/klagomål/A 41004-2022 FSC-klagomål.docx", "A 41004-2022")</f>
        <v/>
      </c>
      <c r="W231">
        <f>HYPERLINK("https://klasma.github.io/Logging_1290/klagomålsmail/A 41004-2022 FSC-klagomål mail.docx", "A 41004-2022")</f>
        <v/>
      </c>
      <c r="X231">
        <f>HYPERLINK("https://klasma.github.io/Logging_1290/tillsyn/A 41004-2022 tillsynsbegäran.docx", "A 41004-2022")</f>
        <v/>
      </c>
      <c r="Y231">
        <f>HYPERLINK("https://klasma.github.io/Logging_1290/tillsynsmail/A 41004-2022 tillsynsbegäran mail.docx", "A 41004-2022")</f>
        <v/>
      </c>
    </row>
    <row r="232" ht="15" customHeight="1">
      <c r="A232" t="inlineStr">
        <is>
          <t>A 41275-2022</t>
        </is>
      </c>
      <c r="B232" s="1" t="n">
        <v>44826</v>
      </c>
      <c r="C232" s="1" t="n">
        <v>45570</v>
      </c>
      <c r="D232" t="inlineStr">
        <is>
          <t>SKÅNE LÄN</t>
        </is>
      </c>
      <c r="E232" t="inlineStr">
        <is>
          <t>KRISTIANSTAD</t>
        </is>
      </c>
      <c r="G232" t="n">
        <v>2.9</v>
      </c>
      <c r="H232" t="n">
        <v>1</v>
      </c>
      <c r="I232" t="n">
        <v>0</v>
      </c>
      <c r="J232" t="n">
        <v>0</v>
      </c>
      <c r="K232" t="n">
        <v>0</v>
      </c>
      <c r="L232" t="n">
        <v>1</v>
      </c>
      <c r="M232" t="n">
        <v>0</v>
      </c>
      <c r="N232" t="n">
        <v>0</v>
      </c>
      <c r="O232" t="n">
        <v>1</v>
      </c>
      <c r="P232" t="n">
        <v>1</v>
      </c>
      <c r="Q232" t="n">
        <v>1</v>
      </c>
      <c r="R232" s="2" t="inlineStr">
        <is>
          <t>Praktnejlika</t>
        </is>
      </c>
      <c r="S232">
        <f>HYPERLINK("https://klasma.github.io/Logging_1290/artfynd/A 41275-2022 artfynd.xlsx", "A 41275-2022")</f>
        <v/>
      </c>
      <c r="T232">
        <f>HYPERLINK("https://klasma.github.io/Logging_1290/kartor/A 41275-2022 karta.png", "A 41275-2022")</f>
        <v/>
      </c>
      <c r="V232">
        <f>HYPERLINK("https://klasma.github.io/Logging_1290/klagomål/A 41275-2022 FSC-klagomål.docx", "A 41275-2022")</f>
        <v/>
      </c>
      <c r="W232">
        <f>HYPERLINK("https://klasma.github.io/Logging_1290/klagomålsmail/A 41275-2022 FSC-klagomål mail.docx", "A 41275-2022")</f>
        <v/>
      </c>
      <c r="X232">
        <f>HYPERLINK("https://klasma.github.io/Logging_1290/tillsyn/A 41275-2022 tillsynsbegäran.docx", "A 41275-2022")</f>
        <v/>
      </c>
      <c r="Y232">
        <f>HYPERLINK("https://klasma.github.io/Logging_1290/tillsynsmail/A 41275-2022 tillsynsbegäran mail.docx", "A 41275-2022")</f>
        <v/>
      </c>
    </row>
    <row r="233" ht="15" customHeight="1">
      <c r="A233" t="inlineStr">
        <is>
          <t>A 45334-2022</t>
        </is>
      </c>
      <c r="B233" s="1" t="n">
        <v>44844</v>
      </c>
      <c r="C233" s="1" t="n">
        <v>45570</v>
      </c>
      <c r="D233" t="inlineStr">
        <is>
          <t>SKÅNE LÄN</t>
        </is>
      </c>
      <c r="E233" t="inlineStr">
        <is>
          <t>HÖRBY</t>
        </is>
      </c>
      <c r="F233" t="inlineStr">
        <is>
          <t>Sveaskog</t>
        </is>
      </c>
      <c r="G233" t="n">
        <v>4.7</v>
      </c>
      <c r="H233" t="n">
        <v>0</v>
      </c>
      <c r="I233" t="n">
        <v>1</v>
      </c>
      <c r="J233" t="n">
        <v>0</v>
      </c>
      <c r="K233" t="n">
        <v>0</v>
      </c>
      <c r="L233" t="n">
        <v>0</v>
      </c>
      <c r="M233" t="n">
        <v>0</v>
      </c>
      <c r="N233" t="n">
        <v>0</v>
      </c>
      <c r="O233" t="n">
        <v>0</v>
      </c>
      <c r="P233" t="n">
        <v>0</v>
      </c>
      <c r="Q233" t="n">
        <v>1</v>
      </c>
      <c r="R233" s="2" t="inlineStr">
        <is>
          <t>Strutbräken</t>
        </is>
      </c>
      <c r="S233">
        <f>HYPERLINK("https://klasma.github.io/Logging_1266/artfynd/A 45334-2022 artfynd.xlsx", "A 45334-2022")</f>
        <v/>
      </c>
      <c r="T233">
        <f>HYPERLINK("https://klasma.github.io/Logging_1266/kartor/A 45334-2022 karta.png", "A 45334-2022")</f>
        <v/>
      </c>
      <c r="V233">
        <f>HYPERLINK("https://klasma.github.io/Logging_1266/klagomål/A 45334-2022 FSC-klagomål.docx", "A 45334-2022")</f>
        <v/>
      </c>
      <c r="W233">
        <f>HYPERLINK("https://klasma.github.io/Logging_1266/klagomålsmail/A 45334-2022 FSC-klagomål mail.docx", "A 45334-2022")</f>
        <v/>
      </c>
      <c r="X233">
        <f>HYPERLINK("https://klasma.github.io/Logging_1266/tillsyn/A 45334-2022 tillsynsbegäran.docx", "A 45334-2022")</f>
        <v/>
      </c>
      <c r="Y233">
        <f>HYPERLINK("https://klasma.github.io/Logging_1266/tillsynsmail/A 45334-2022 tillsynsbegäran mail.docx", "A 45334-2022")</f>
        <v/>
      </c>
    </row>
    <row r="234" ht="15" customHeight="1">
      <c r="A234" t="inlineStr">
        <is>
          <t>A 45802-2022</t>
        </is>
      </c>
      <c r="B234" s="1" t="n">
        <v>44844</v>
      </c>
      <c r="C234" s="1" t="n">
        <v>45570</v>
      </c>
      <c r="D234" t="inlineStr">
        <is>
          <t>SKÅNE LÄN</t>
        </is>
      </c>
      <c r="E234" t="inlineStr">
        <is>
          <t>SIMRISHAMN</t>
        </is>
      </c>
      <c r="G234" t="n">
        <v>1.2</v>
      </c>
      <c r="H234" t="n">
        <v>0</v>
      </c>
      <c r="I234" t="n">
        <v>0</v>
      </c>
      <c r="J234" t="n">
        <v>0</v>
      </c>
      <c r="K234" t="n">
        <v>0</v>
      </c>
      <c r="L234" t="n">
        <v>1</v>
      </c>
      <c r="M234" t="n">
        <v>0</v>
      </c>
      <c r="N234" t="n">
        <v>0</v>
      </c>
      <c r="O234" t="n">
        <v>1</v>
      </c>
      <c r="P234" t="n">
        <v>1</v>
      </c>
      <c r="Q234" t="n">
        <v>1</v>
      </c>
      <c r="R234" s="2" t="inlineStr">
        <is>
          <t>Hartsticka</t>
        </is>
      </c>
      <c r="S234">
        <f>HYPERLINK("https://klasma.github.io/Logging_1291/artfynd/A 45802-2022 artfynd.xlsx", "A 45802-2022")</f>
        <v/>
      </c>
      <c r="T234">
        <f>HYPERLINK("https://klasma.github.io/Logging_1291/kartor/A 45802-2022 karta.png", "A 45802-2022")</f>
        <v/>
      </c>
      <c r="V234">
        <f>HYPERLINK("https://klasma.github.io/Logging_1291/klagomål/A 45802-2022 FSC-klagomål.docx", "A 45802-2022")</f>
        <v/>
      </c>
      <c r="W234">
        <f>HYPERLINK("https://klasma.github.io/Logging_1291/klagomålsmail/A 45802-2022 FSC-klagomål mail.docx", "A 45802-2022")</f>
        <v/>
      </c>
      <c r="X234">
        <f>HYPERLINK("https://klasma.github.io/Logging_1291/tillsyn/A 45802-2022 tillsynsbegäran.docx", "A 45802-2022")</f>
        <v/>
      </c>
      <c r="Y234">
        <f>HYPERLINK("https://klasma.github.io/Logging_1291/tillsynsmail/A 45802-2022 tillsynsbegäran mail.docx", "A 45802-2022")</f>
        <v/>
      </c>
    </row>
    <row r="235" ht="15" customHeight="1">
      <c r="A235" t="inlineStr">
        <is>
          <t>A 46195-2022</t>
        </is>
      </c>
      <c r="B235" s="1" t="n">
        <v>44845</v>
      </c>
      <c r="C235" s="1" t="n">
        <v>45570</v>
      </c>
      <c r="D235" t="inlineStr">
        <is>
          <t>SKÅNE LÄN</t>
        </is>
      </c>
      <c r="E235" t="inlineStr">
        <is>
          <t>PERSTORP</t>
        </is>
      </c>
      <c r="G235" t="n">
        <v>0.7</v>
      </c>
      <c r="H235" t="n">
        <v>0</v>
      </c>
      <c r="I235" t="n">
        <v>1</v>
      </c>
      <c r="J235" t="n">
        <v>0</v>
      </c>
      <c r="K235" t="n">
        <v>0</v>
      </c>
      <c r="L235" t="n">
        <v>0</v>
      </c>
      <c r="M235" t="n">
        <v>0</v>
      </c>
      <c r="N235" t="n">
        <v>0</v>
      </c>
      <c r="O235" t="n">
        <v>0</v>
      </c>
      <c r="P235" t="n">
        <v>0</v>
      </c>
      <c r="Q235" t="n">
        <v>1</v>
      </c>
      <c r="R235" s="2" t="inlineStr">
        <is>
          <t>Brandticka</t>
        </is>
      </c>
      <c r="S235">
        <f>HYPERLINK("https://klasma.github.io/Logging_1275/artfynd/A 46195-2022 artfynd.xlsx", "A 46195-2022")</f>
        <v/>
      </c>
      <c r="T235">
        <f>HYPERLINK("https://klasma.github.io/Logging_1275/kartor/A 46195-2022 karta.png", "A 46195-2022")</f>
        <v/>
      </c>
      <c r="V235">
        <f>HYPERLINK("https://klasma.github.io/Logging_1275/klagomål/A 46195-2022 FSC-klagomål.docx", "A 46195-2022")</f>
        <v/>
      </c>
      <c r="W235">
        <f>HYPERLINK("https://klasma.github.io/Logging_1275/klagomålsmail/A 46195-2022 FSC-klagomål mail.docx", "A 46195-2022")</f>
        <v/>
      </c>
      <c r="X235">
        <f>HYPERLINK("https://klasma.github.io/Logging_1275/tillsyn/A 46195-2022 tillsynsbegäran.docx", "A 46195-2022")</f>
        <v/>
      </c>
      <c r="Y235">
        <f>HYPERLINK("https://klasma.github.io/Logging_1275/tillsynsmail/A 46195-2022 tillsynsbegäran mail.docx", "A 46195-2022")</f>
        <v/>
      </c>
    </row>
    <row r="236" ht="15" customHeight="1">
      <c r="A236" t="inlineStr">
        <is>
          <t>A 46232-2022</t>
        </is>
      </c>
      <c r="B236" s="1" t="n">
        <v>44847</v>
      </c>
      <c r="C236" s="1" t="n">
        <v>45570</v>
      </c>
      <c r="D236" t="inlineStr">
        <is>
          <t>SKÅNE LÄN</t>
        </is>
      </c>
      <c r="E236" t="inlineStr">
        <is>
          <t>SVALÖV</t>
        </is>
      </c>
      <c r="G236" t="n">
        <v>3.8</v>
      </c>
      <c r="H236" t="n">
        <v>0</v>
      </c>
      <c r="I236" t="n">
        <v>0</v>
      </c>
      <c r="J236" t="n">
        <v>1</v>
      </c>
      <c r="K236" t="n">
        <v>0</v>
      </c>
      <c r="L236" t="n">
        <v>0</v>
      </c>
      <c r="M236" t="n">
        <v>0</v>
      </c>
      <c r="N236" t="n">
        <v>0</v>
      </c>
      <c r="O236" t="n">
        <v>1</v>
      </c>
      <c r="P236" t="n">
        <v>0</v>
      </c>
      <c r="Q236" t="n">
        <v>1</v>
      </c>
      <c r="R236" s="2" t="inlineStr">
        <is>
          <t>Igelkott</t>
        </is>
      </c>
      <c r="S236">
        <f>HYPERLINK("https://klasma.github.io/Logging_1214/artfynd/A 46232-2022 artfynd.xlsx", "A 46232-2022")</f>
        <v/>
      </c>
      <c r="T236">
        <f>HYPERLINK("https://klasma.github.io/Logging_1214/kartor/A 46232-2022 karta.png", "A 46232-2022")</f>
        <v/>
      </c>
      <c r="V236">
        <f>HYPERLINK("https://klasma.github.io/Logging_1214/klagomål/A 46232-2022 FSC-klagomål.docx", "A 46232-2022")</f>
        <v/>
      </c>
      <c r="W236">
        <f>HYPERLINK("https://klasma.github.io/Logging_1214/klagomålsmail/A 46232-2022 FSC-klagomål mail.docx", "A 46232-2022")</f>
        <v/>
      </c>
      <c r="X236">
        <f>HYPERLINK("https://klasma.github.io/Logging_1214/tillsyn/A 46232-2022 tillsynsbegäran.docx", "A 46232-2022")</f>
        <v/>
      </c>
      <c r="Y236">
        <f>HYPERLINK("https://klasma.github.io/Logging_1214/tillsynsmail/A 46232-2022 tillsynsbegäran mail.docx", "A 46232-2022")</f>
        <v/>
      </c>
    </row>
    <row r="237" ht="15" customHeight="1">
      <c r="A237" t="inlineStr">
        <is>
          <t>A 47612-2022</t>
        </is>
      </c>
      <c r="B237" s="1" t="n">
        <v>44852</v>
      </c>
      <c r="C237" s="1" t="n">
        <v>45570</v>
      </c>
      <c r="D237" t="inlineStr">
        <is>
          <t>SKÅNE LÄN</t>
        </is>
      </c>
      <c r="E237" t="inlineStr">
        <is>
          <t>OSBY</t>
        </is>
      </c>
      <c r="F237" t="inlineStr">
        <is>
          <t>Kyrkan</t>
        </is>
      </c>
      <c r="G237" t="n">
        <v>16.4</v>
      </c>
      <c r="H237" t="n">
        <v>1</v>
      </c>
      <c r="I237" t="n">
        <v>0</v>
      </c>
      <c r="J237" t="n">
        <v>1</v>
      </c>
      <c r="K237" t="n">
        <v>0</v>
      </c>
      <c r="L237" t="n">
        <v>0</v>
      </c>
      <c r="M237" t="n">
        <v>0</v>
      </c>
      <c r="N237" t="n">
        <v>0</v>
      </c>
      <c r="O237" t="n">
        <v>1</v>
      </c>
      <c r="P237" t="n">
        <v>0</v>
      </c>
      <c r="Q237" t="n">
        <v>1</v>
      </c>
      <c r="R237" s="2" t="inlineStr">
        <is>
          <t>Ärtsångare</t>
        </is>
      </c>
      <c r="S237">
        <f>HYPERLINK("https://klasma.github.io/Logging_1273/artfynd/A 47612-2022 artfynd.xlsx", "A 47612-2022")</f>
        <v/>
      </c>
      <c r="T237">
        <f>HYPERLINK("https://klasma.github.io/Logging_1273/kartor/A 47612-2022 karta.png", "A 47612-2022")</f>
        <v/>
      </c>
      <c r="V237">
        <f>HYPERLINK("https://klasma.github.io/Logging_1273/klagomål/A 47612-2022 FSC-klagomål.docx", "A 47612-2022")</f>
        <v/>
      </c>
      <c r="W237">
        <f>HYPERLINK("https://klasma.github.io/Logging_1273/klagomålsmail/A 47612-2022 FSC-klagomål mail.docx", "A 47612-2022")</f>
        <v/>
      </c>
      <c r="X237">
        <f>HYPERLINK("https://klasma.github.io/Logging_1273/tillsyn/A 47612-2022 tillsynsbegäran.docx", "A 47612-2022")</f>
        <v/>
      </c>
      <c r="Y237">
        <f>HYPERLINK("https://klasma.github.io/Logging_1273/tillsynsmail/A 47612-2022 tillsynsbegäran mail.docx", "A 47612-2022")</f>
        <v/>
      </c>
      <c r="Z237">
        <f>HYPERLINK("https://klasma.github.io/Logging_1273/fåglar/A 47612-2022 prioriterade fågelarter.docx", "A 47612-2022")</f>
        <v/>
      </c>
    </row>
    <row r="238" ht="15" customHeight="1">
      <c r="A238" t="inlineStr">
        <is>
          <t>A 50118-2022</t>
        </is>
      </c>
      <c r="B238" s="1" t="n">
        <v>44860</v>
      </c>
      <c r="C238" s="1" t="n">
        <v>45570</v>
      </c>
      <c r="D238" t="inlineStr">
        <is>
          <t>SKÅNE LÄN</t>
        </is>
      </c>
      <c r="E238" t="inlineStr">
        <is>
          <t>BROMÖLLA</t>
        </is>
      </c>
      <c r="G238" t="n">
        <v>12.8</v>
      </c>
      <c r="H238" t="n">
        <v>0</v>
      </c>
      <c r="I238" t="n">
        <v>1</v>
      </c>
      <c r="J238" t="n">
        <v>0</v>
      </c>
      <c r="K238" t="n">
        <v>0</v>
      </c>
      <c r="L238" t="n">
        <v>0</v>
      </c>
      <c r="M238" t="n">
        <v>0</v>
      </c>
      <c r="N238" t="n">
        <v>0</v>
      </c>
      <c r="O238" t="n">
        <v>0</v>
      </c>
      <c r="P238" t="n">
        <v>0</v>
      </c>
      <c r="Q238" t="n">
        <v>1</v>
      </c>
      <c r="R238" s="2" t="inlineStr">
        <is>
          <t>Myskmadra</t>
        </is>
      </c>
      <c r="S238">
        <f>HYPERLINK("https://klasma.github.io/Logging_1272/artfynd/A 50118-2022 artfynd.xlsx", "A 50118-2022")</f>
        <v/>
      </c>
      <c r="T238">
        <f>HYPERLINK("https://klasma.github.io/Logging_1272/kartor/A 50118-2022 karta.png", "A 50118-2022")</f>
        <v/>
      </c>
      <c r="V238">
        <f>HYPERLINK("https://klasma.github.io/Logging_1272/klagomål/A 50118-2022 FSC-klagomål.docx", "A 50118-2022")</f>
        <v/>
      </c>
      <c r="W238">
        <f>HYPERLINK("https://klasma.github.io/Logging_1272/klagomålsmail/A 50118-2022 FSC-klagomål mail.docx", "A 50118-2022")</f>
        <v/>
      </c>
      <c r="X238">
        <f>HYPERLINK("https://klasma.github.io/Logging_1272/tillsyn/A 50118-2022 tillsynsbegäran.docx", "A 50118-2022")</f>
        <v/>
      </c>
      <c r="Y238">
        <f>HYPERLINK("https://klasma.github.io/Logging_1272/tillsynsmail/A 50118-2022 tillsynsbegäran mail.docx", "A 50118-2022")</f>
        <v/>
      </c>
    </row>
    <row r="239" ht="15" customHeight="1">
      <c r="A239" t="inlineStr">
        <is>
          <t>A 49572-2022</t>
        </is>
      </c>
      <c r="B239" s="1" t="n">
        <v>44862</v>
      </c>
      <c r="C239" s="1" t="n">
        <v>45570</v>
      </c>
      <c r="D239" t="inlineStr">
        <is>
          <t>SKÅNE LÄN</t>
        </is>
      </c>
      <c r="E239" t="inlineStr">
        <is>
          <t>HÄSSLEHOLM</t>
        </is>
      </c>
      <c r="G239" t="n">
        <v>1.4</v>
      </c>
      <c r="H239" t="n">
        <v>0</v>
      </c>
      <c r="I239" t="n">
        <v>1</v>
      </c>
      <c r="J239" t="n">
        <v>0</v>
      </c>
      <c r="K239" t="n">
        <v>0</v>
      </c>
      <c r="L239" t="n">
        <v>0</v>
      </c>
      <c r="M239" t="n">
        <v>0</v>
      </c>
      <c r="N239" t="n">
        <v>0</v>
      </c>
      <c r="O239" t="n">
        <v>0</v>
      </c>
      <c r="P239" t="n">
        <v>0</v>
      </c>
      <c r="Q239" t="n">
        <v>1</v>
      </c>
      <c r="R239" s="2" t="inlineStr">
        <is>
          <t>Blåmossa</t>
        </is>
      </c>
      <c r="S239">
        <f>HYPERLINK("https://klasma.github.io/Logging_1293/artfynd/A 49572-2022 artfynd.xlsx", "A 49572-2022")</f>
        <v/>
      </c>
      <c r="T239">
        <f>HYPERLINK("https://klasma.github.io/Logging_1293/kartor/A 49572-2022 karta.png", "A 49572-2022")</f>
        <v/>
      </c>
      <c r="V239">
        <f>HYPERLINK("https://klasma.github.io/Logging_1293/klagomål/A 49572-2022 FSC-klagomål.docx", "A 49572-2022")</f>
        <v/>
      </c>
      <c r="W239">
        <f>HYPERLINK("https://klasma.github.io/Logging_1293/klagomålsmail/A 49572-2022 FSC-klagomål mail.docx", "A 49572-2022")</f>
        <v/>
      </c>
      <c r="X239">
        <f>HYPERLINK("https://klasma.github.io/Logging_1293/tillsyn/A 49572-2022 tillsynsbegäran.docx", "A 49572-2022")</f>
        <v/>
      </c>
      <c r="Y239">
        <f>HYPERLINK("https://klasma.github.io/Logging_1293/tillsynsmail/A 49572-2022 tillsynsbegäran mail.docx", "A 49572-2022")</f>
        <v/>
      </c>
    </row>
    <row r="240" ht="15" customHeight="1">
      <c r="A240" t="inlineStr">
        <is>
          <t>A 56294-2022</t>
        </is>
      </c>
      <c r="B240" s="1" t="n">
        <v>44887</v>
      </c>
      <c r="C240" s="1" t="n">
        <v>45570</v>
      </c>
      <c r="D240" t="inlineStr">
        <is>
          <t>SKÅNE LÄN</t>
        </is>
      </c>
      <c r="E240" t="inlineStr">
        <is>
          <t>SJÖBO</t>
        </is>
      </c>
      <c r="G240" t="n">
        <v>4.6</v>
      </c>
      <c r="H240" t="n">
        <v>0</v>
      </c>
      <c r="I240" t="n">
        <v>1</v>
      </c>
      <c r="J240" t="n">
        <v>0</v>
      </c>
      <c r="K240" t="n">
        <v>0</v>
      </c>
      <c r="L240" t="n">
        <v>0</v>
      </c>
      <c r="M240" t="n">
        <v>0</v>
      </c>
      <c r="N240" t="n">
        <v>0</v>
      </c>
      <c r="O240" t="n">
        <v>0</v>
      </c>
      <c r="P240" t="n">
        <v>0</v>
      </c>
      <c r="Q240" t="n">
        <v>1</v>
      </c>
      <c r="R240" s="2" t="inlineStr">
        <is>
          <t>Strävlosta</t>
        </is>
      </c>
      <c r="S240">
        <f>HYPERLINK("https://klasma.github.io/Logging_1265/artfynd/A 56294-2022 artfynd.xlsx", "A 56294-2022")</f>
        <v/>
      </c>
      <c r="T240">
        <f>HYPERLINK("https://klasma.github.io/Logging_1265/kartor/A 56294-2022 karta.png", "A 56294-2022")</f>
        <v/>
      </c>
      <c r="V240">
        <f>HYPERLINK("https://klasma.github.io/Logging_1265/klagomål/A 56294-2022 FSC-klagomål.docx", "A 56294-2022")</f>
        <v/>
      </c>
      <c r="W240">
        <f>HYPERLINK("https://klasma.github.io/Logging_1265/klagomålsmail/A 56294-2022 FSC-klagomål mail.docx", "A 56294-2022")</f>
        <v/>
      </c>
      <c r="X240">
        <f>HYPERLINK("https://klasma.github.io/Logging_1265/tillsyn/A 56294-2022 tillsynsbegäran.docx", "A 56294-2022")</f>
        <v/>
      </c>
      <c r="Y240">
        <f>HYPERLINK("https://klasma.github.io/Logging_1265/tillsynsmail/A 56294-2022 tillsynsbegäran mail.docx", "A 56294-2022")</f>
        <v/>
      </c>
    </row>
    <row r="241" ht="15" customHeight="1">
      <c r="A241" t="inlineStr">
        <is>
          <t>A 57811-2022</t>
        </is>
      </c>
      <c r="B241" s="1" t="n">
        <v>44897</v>
      </c>
      <c r="C241" s="1" t="n">
        <v>45570</v>
      </c>
      <c r="D241" t="inlineStr">
        <is>
          <t>SKÅNE LÄN</t>
        </is>
      </c>
      <c r="E241" t="inlineStr">
        <is>
          <t>TRELLEBORG</t>
        </is>
      </c>
      <c r="G241" t="n">
        <v>2.2</v>
      </c>
      <c r="H241" t="n">
        <v>0</v>
      </c>
      <c r="I241" t="n">
        <v>0</v>
      </c>
      <c r="J241" t="n">
        <v>1</v>
      </c>
      <c r="K241" t="n">
        <v>0</v>
      </c>
      <c r="L241" t="n">
        <v>0</v>
      </c>
      <c r="M241" t="n">
        <v>0</v>
      </c>
      <c r="N241" t="n">
        <v>0</v>
      </c>
      <c r="O241" t="n">
        <v>1</v>
      </c>
      <c r="P241" t="n">
        <v>0</v>
      </c>
      <c r="Q241" t="n">
        <v>1</v>
      </c>
      <c r="R241" s="2" t="inlineStr">
        <is>
          <t>Skogsveronika</t>
        </is>
      </c>
      <c r="S241">
        <f>HYPERLINK("https://klasma.github.io/Logging_1287/artfynd/A 57811-2022 artfynd.xlsx", "A 57811-2022")</f>
        <v/>
      </c>
      <c r="T241">
        <f>HYPERLINK("https://klasma.github.io/Logging_1287/kartor/A 57811-2022 karta.png", "A 57811-2022")</f>
        <v/>
      </c>
      <c r="V241">
        <f>HYPERLINK("https://klasma.github.io/Logging_1287/klagomål/A 57811-2022 FSC-klagomål.docx", "A 57811-2022")</f>
        <v/>
      </c>
      <c r="W241">
        <f>HYPERLINK("https://klasma.github.io/Logging_1287/klagomålsmail/A 57811-2022 FSC-klagomål mail.docx", "A 57811-2022")</f>
        <v/>
      </c>
      <c r="X241">
        <f>HYPERLINK("https://klasma.github.io/Logging_1287/tillsyn/A 57811-2022 tillsynsbegäran.docx", "A 57811-2022")</f>
        <v/>
      </c>
      <c r="Y241">
        <f>HYPERLINK("https://klasma.github.io/Logging_1287/tillsynsmail/A 57811-2022 tillsynsbegäran mail.docx", "A 57811-2022")</f>
        <v/>
      </c>
    </row>
    <row r="242" ht="15" customHeight="1">
      <c r="A242" t="inlineStr">
        <is>
          <t>A 58641-2022</t>
        </is>
      </c>
      <c r="B242" s="1" t="n">
        <v>44902</v>
      </c>
      <c r="C242" s="1" t="n">
        <v>45570</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61517-2022</t>
        </is>
      </c>
      <c r="B243" s="1" t="n">
        <v>44910</v>
      </c>
      <c r="C243" s="1" t="n">
        <v>45570</v>
      </c>
      <c r="D243" t="inlineStr">
        <is>
          <t>SKÅNE LÄN</t>
        </is>
      </c>
      <c r="E243" t="inlineStr">
        <is>
          <t>OSBY</t>
        </is>
      </c>
      <c r="F243" t="inlineStr">
        <is>
          <t>Kyrkan</t>
        </is>
      </c>
      <c r="G243" t="n">
        <v>4.4</v>
      </c>
      <c r="H243" t="n">
        <v>0</v>
      </c>
      <c r="I243" t="n">
        <v>1</v>
      </c>
      <c r="J243" t="n">
        <v>0</v>
      </c>
      <c r="K243" t="n">
        <v>0</v>
      </c>
      <c r="L243" t="n">
        <v>0</v>
      </c>
      <c r="M243" t="n">
        <v>0</v>
      </c>
      <c r="N243" t="n">
        <v>0</v>
      </c>
      <c r="O243" t="n">
        <v>0</v>
      </c>
      <c r="P243" t="n">
        <v>0</v>
      </c>
      <c r="Q243" t="n">
        <v>1</v>
      </c>
      <c r="R243" s="2" t="inlineStr">
        <is>
          <t>Blodticka</t>
        </is>
      </c>
      <c r="S243">
        <f>HYPERLINK("https://klasma.github.io/Logging_1273/artfynd/A 61517-2022 artfynd.xlsx", "A 61517-2022")</f>
        <v/>
      </c>
      <c r="T243">
        <f>HYPERLINK("https://klasma.github.io/Logging_1273/kartor/A 61517-2022 karta.png", "A 61517-2022")</f>
        <v/>
      </c>
      <c r="V243">
        <f>HYPERLINK("https://klasma.github.io/Logging_1273/klagomål/A 61517-2022 FSC-klagomål.docx", "A 61517-2022")</f>
        <v/>
      </c>
      <c r="W243">
        <f>HYPERLINK("https://klasma.github.io/Logging_1273/klagomålsmail/A 61517-2022 FSC-klagomål mail.docx", "A 61517-2022")</f>
        <v/>
      </c>
      <c r="X243">
        <f>HYPERLINK("https://klasma.github.io/Logging_1273/tillsyn/A 61517-2022 tillsynsbegäran.docx", "A 61517-2022")</f>
        <v/>
      </c>
      <c r="Y243">
        <f>HYPERLINK("https://klasma.github.io/Logging_1273/tillsynsmail/A 61517-2022 tillsynsbegäran mail.docx", "A 61517-2022")</f>
        <v/>
      </c>
    </row>
    <row r="244" ht="15" customHeight="1">
      <c r="A244" t="inlineStr">
        <is>
          <t>A 61885-2022</t>
        </is>
      </c>
      <c r="B244" s="1" t="n">
        <v>44917</v>
      </c>
      <c r="C244" s="1" t="n">
        <v>45570</v>
      </c>
      <c r="D244" t="inlineStr">
        <is>
          <t>SKÅNE LÄN</t>
        </is>
      </c>
      <c r="E244" t="inlineStr">
        <is>
          <t>KRISTIANSTAD</t>
        </is>
      </c>
      <c r="G244" t="n">
        <v>1.4</v>
      </c>
      <c r="H244" t="n">
        <v>0</v>
      </c>
      <c r="I244" t="n">
        <v>0</v>
      </c>
      <c r="J244" t="n">
        <v>1</v>
      </c>
      <c r="K244" t="n">
        <v>0</v>
      </c>
      <c r="L244" t="n">
        <v>0</v>
      </c>
      <c r="M244" t="n">
        <v>0</v>
      </c>
      <c r="N244" t="n">
        <v>0</v>
      </c>
      <c r="O244" t="n">
        <v>1</v>
      </c>
      <c r="P244" t="n">
        <v>0</v>
      </c>
      <c r="Q244" t="n">
        <v>1</v>
      </c>
      <c r="R244" s="2" t="inlineStr">
        <is>
          <t>Koralltaggsvamp</t>
        </is>
      </c>
      <c r="S244">
        <f>HYPERLINK("https://klasma.github.io/Logging_1290/artfynd/A 61885-2022 artfynd.xlsx", "A 61885-2022")</f>
        <v/>
      </c>
      <c r="T244">
        <f>HYPERLINK("https://klasma.github.io/Logging_1290/kartor/A 61885-2022 karta.png", "A 61885-2022")</f>
        <v/>
      </c>
      <c r="V244">
        <f>HYPERLINK("https://klasma.github.io/Logging_1290/klagomål/A 61885-2022 FSC-klagomål.docx", "A 61885-2022")</f>
        <v/>
      </c>
      <c r="W244">
        <f>HYPERLINK("https://klasma.github.io/Logging_1290/klagomålsmail/A 61885-2022 FSC-klagomål mail.docx", "A 61885-2022")</f>
        <v/>
      </c>
      <c r="X244">
        <f>HYPERLINK("https://klasma.github.io/Logging_1290/tillsyn/A 61885-2022 tillsynsbegäran.docx", "A 61885-2022")</f>
        <v/>
      </c>
      <c r="Y244">
        <f>HYPERLINK("https://klasma.github.io/Logging_1290/tillsynsmail/A 61885-2022 tillsynsbegäran mail.docx", "A 61885-2022")</f>
        <v/>
      </c>
    </row>
    <row r="245" ht="15" customHeight="1">
      <c r="A245" t="inlineStr">
        <is>
          <t>A 62065-2022</t>
        </is>
      </c>
      <c r="B245" s="1" t="n">
        <v>44918</v>
      </c>
      <c r="C245" s="1" t="n">
        <v>45570</v>
      </c>
      <c r="D245" t="inlineStr">
        <is>
          <t>SKÅNE LÄN</t>
        </is>
      </c>
      <c r="E245" t="inlineStr">
        <is>
          <t>KRISTIANSTAD</t>
        </is>
      </c>
      <c r="G245" t="n">
        <v>0.8</v>
      </c>
      <c r="H245" t="n">
        <v>0</v>
      </c>
      <c r="I245" t="n">
        <v>0</v>
      </c>
      <c r="J245" t="n">
        <v>0</v>
      </c>
      <c r="K245" t="n">
        <v>1</v>
      </c>
      <c r="L245" t="n">
        <v>0</v>
      </c>
      <c r="M245" t="n">
        <v>0</v>
      </c>
      <c r="N245" t="n">
        <v>0</v>
      </c>
      <c r="O245" t="n">
        <v>1</v>
      </c>
      <c r="P245" t="n">
        <v>1</v>
      </c>
      <c r="Q245" t="n">
        <v>1</v>
      </c>
      <c r="R245" s="2" t="inlineStr">
        <is>
          <t>Myrvapenfluga</t>
        </is>
      </c>
      <c r="S245">
        <f>HYPERLINK("https://klasma.github.io/Logging_1290/artfynd/A 62065-2022 artfynd.xlsx", "A 62065-2022")</f>
        <v/>
      </c>
      <c r="T245">
        <f>HYPERLINK("https://klasma.github.io/Logging_1290/kartor/A 62065-2022 karta.png", "A 62065-2022")</f>
        <v/>
      </c>
      <c r="V245">
        <f>HYPERLINK("https://klasma.github.io/Logging_1290/klagomål/A 62065-2022 FSC-klagomål.docx", "A 62065-2022")</f>
        <v/>
      </c>
      <c r="W245">
        <f>HYPERLINK("https://klasma.github.io/Logging_1290/klagomålsmail/A 62065-2022 FSC-klagomål mail.docx", "A 62065-2022")</f>
        <v/>
      </c>
      <c r="X245">
        <f>HYPERLINK("https://klasma.github.io/Logging_1290/tillsyn/A 62065-2022 tillsynsbegäran.docx", "A 62065-2022")</f>
        <v/>
      </c>
      <c r="Y245">
        <f>HYPERLINK("https://klasma.github.io/Logging_1290/tillsynsmail/A 62065-2022 tillsynsbegäran mail.docx", "A 62065-2022")</f>
        <v/>
      </c>
    </row>
    <row r="246" ht="15" customHeight="1">
      <c r="A246" t="inlineStr">
        <is>
          <t>A 62067-2022</t>
        </is>
      </c>
      <c r="B246" s="1" t="n">
        <v>44918</v>
      </c>
      <c r="C246" s="1" t="n">
        <v>45570</v>
      </c>
      <c r="D246" t="inlineStr">
        <is>
          <t>SKÅNE LÄN</t>
        </is>
      </c>
      <c r="E246" t="inlineStr">
        <is>
          <t>KRISTIANSTAD</t>
        </is>
      </c>
      <c r="G246" t="n">
        <v>3</v>
      </c>
      <c r="H246" t="n">
        <v>0</v>
      </c>
      <c r="I246" t="n">
        <v>1</v>
      </c>
      <c r="J246" t="n">
        <v>0</v>
      </c>
      <c r="K246" t="n">
        <v>0</v>
      </c>
      <c r="L246" t="n">
        <v>0</v>
      </c>
      <c r="M246" t="n">
        <v>0</v>
      </c>
      <c r="N246" t="n">
        <v>0</v>
      </c>
      <c r="O246" t="n">
        <v>0</v>
      </c>
      <c r="P246" t="n">
        <v>0</v>
      </c>
      <c r="Q246" t="n">
        <v>1</v>
      </c>
      <c r="R246" s="2" t="inlineStr">
        <is>
          <t>Plattad jordtunga</t>
        </is>
      </c>
      <c r="S246">
        <f>HYPERLINK("https://klasma.github.io/Logging_1290/artfynd/A 62067-2022 artfynd.xlsx", "A 62067-2022")</f>
        <v/>
      </c>
      <c r="T246">
        <f>HYPERLINK("https://klasma.github.io/Logging_1290/kartor/A 62067-2022 karta.png", "A 62067-2022")</f>
        <v/>
      </c>
      <c r="V246">
        <f>HYPERLINK("https://klasma.github.io/Logging_1290/klagomål/A 62067-2022 FSC-klagomål.docx", "A 62067-2022")</f>
        <v/>
      </c>
      <c r="W246">
        <f>HYPERLINK("https://klasma.github.io/Logging_1290/klagomålsmail/A 62067-2022 FSC-klagomål mail.docx", "A 62067-2022")</f>
        <v/>
      </c>
      <c r="X246">
        <f>HYPERLINK("https://klasma.github.io/Logging_1290/tillsyn/A 62067-2022 tillsynsbegäran.docx", "A 62067-2022")</f>
        <v/>
      </c>
      <c r="Y246">
        <f>HYPERLINK("https://klasma.github.io/Logging_1290/tillsynsmail/A 62067-2022 tillsynsbegäran mail.docx", "A 62067-2022")</f>
        <v/>
      </c>
    </row>
    <row r="247" ht="15" customHeight="1">
      <c r="A247" t="inlineStr">
        <is>
          <t>A 113-2023</t>
        </is>
      </c>
      <c r="B247" s="1" t="n">
        <v>44928</v>
      </c>
      <c r="C247" s="1" t="n">
        <v>45570</v>
      </c>
      <c r="D247" t="inlineStr">
        <is>
          <t>SKÅNE LÄN</t>
        </is>
      </c>
      <c r="E247" t="inlineStr">
        <is>
          <t>HÖRBY</t>
        </is>
      </c>
      <c r="G247" t="n">
        <v>5.1</v>
      </c>
      <c r="H247" t="n">
        <v>0</v>
      </c>
      <c r="I247" t="n">
        <v>0</v>
      </c>
      <c r="J247" t="n">
        <v>0</v>
      </c>
      <c r="K247" t="n">
        <v>1</v>
      </c>
      <c r="L247" t="n">
        <v>0</v>
      </c>
      <c r="M247" t="n">
        <v>0</v>
      </c>
      <c r="N247" t="n">
        <v>0</v>
      </c>
      <c r="O247" t="n">
        <v>1</v>
      </c>
      <c r="P247" t="n">
        <v>1</v>
      </c>
      <c r="Q247" t="n">
        <v>1</v>
      </c>
      <c r="R247" s="2" t="inlineStr">
        <is>
          <t>Slåttergubbe</t>
        </is>
      </c>
      <c r="S247">
        <f>HYPERLINK("https://klasma.github.io/Logging_1266/artfynd/A 113-2023 artfynd.xlsx", "A 113-2023")</f>
        <v/>
      </c>
      <c r="T247">
        <f>HYPERLINK("https://klasma.github.io/Logging_1266/kartor/A 113-2023 karta.png", "A 113-2023")</f>
        <v/>
      </c>
      <c r="V247">
        <f>HYPERLINK("https://klasma.github.io/Logging_1266/klagomål/A 113-2023 FSC-klagomål.docx", "A 113-2023")</f>
        <v/>
      </c>
      <c r="W247">
        <f>HYPERLINK("https://klasma.github.io/Logging_1266/klagomålsmail/A 113-2023 FSC-klagomål mail.docx", "A 113-2023")</f>
        <v/>
      </c>
      <c r="X247">
        <f>HYPERLINK("https://klasma.github.io/Logging_1266/tillsyn/A 113-2023 tillsynsbegäran.docx", "A 113-2023")</f>
        <v/>
      </c>
      <c r="Y247">
        <f>HYPERLINK("https://klasma.github.io/Logging_1266/tillsynsmail/A 113-2023 tillsynsbegäran mail.docx", "A 113-2023")</f>
        <v/>
      </c>
    </row>
    <row r="248" ht="15" customHeight="1">
      <c r="A248" t="inlineStr">
        <is>
          <t>A 389-2023</t>
        </is>
      </c>
      <c r="B248" s="1" t="n">
        <v>44929</v>
      </c>
      <c r="C248" s="1" t="n">
        <v>45570</v>
      </c>
      <c r="D248" t="inlineStr">
        <is>
          <t>SKÅNE LÄN</t>
        </is>
      </c>
      <c r="E248" t="inlineStr">
        <is>
          <t>BÅSTAD</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389-2023 artfynd.xlsx", "A 389-2023")</f>
        <v/>
      </c>
      <c r="T248">
        <f>HYPERLINK("https://klasma.github.io/Logging_1278/kartor/A 389-2023 karta.png", "A 389-2023")</f>
        <v/>
      </c>
      <c r="V248">
        <f>HYPERLINK("https://klasma.github.io/Logging_1278/klagomål/A 389-2023 FSC-klagomål.docx", "A 389-2023")</f>
        <v/>
      </c>
      <c r="W248">
        <f>HYPERLINK("https://klasma.github.io/Logging_1278/klagomålsmail/A 389-2023 FSC-klagomål mail.docx", "A 389-2023")</f>
        <v/>
      </c>
      <c r="X248">
        <f>HYPERLINK("https://klasma.github.io/Logging_1278/tillsyn/A 389-2023 tillsynsbegäran.docx", "A 389-2023")</f>
        <v/>
      </c>
      <c r="Y248">
        <f>HYPERLINK("https://klasma.github.io/Logging_1278/tillsynsmail/A 389-2023 tillsynsbegäran mail.docx", "A 389-2023")</f>
        <v/>
      </c>
    </row>
    <row r="249" ht="15" customHeight="1">
      <c r="A249" t="inlineStr">
        <is>
          <t>A 4251-2023</t>
        </is>
      </c>
      <c r="B249" s="1" t="n">
        <v>44953</v>
      </c>
      <c r="C249" s="1" t="n">
        <v>45570</v>
      </c>
      <c r="D249" t="inlineStr">
        <is>
          <t>SKÅNE LÄN</t>
        </is>
      </c>
      <c r="E249" t="inlineStr">
        <is>
          <t>ÖSTRA GÖINGE</t>
        </is>
      </c>
      <c r="G249" t="n">
        <v>6.4</v>
      </c>
      <c r="H249" t="n">
        <v>0</v>
      </c>
      <c r="I249" t="n">
        <v>0</v>
      </c>
      <c r="J249" t="n">
        <v>0</v>
      </c>
      <c r="K249" t="n">
        <v>0</v>
      </c>
      <c r="L249" t="n">
        <v>1</v>
      </c>
      <c r="M249" t="n">
        <v>0</v>
      </c>
      <c r="N249" t="n">
        <v>0</v>
      </c>
      <c r="O249" t="n">
        <v>1</v>
      </c>
      <c r="P249" t="n">
        <v>1</v>
      </c>
      <c r="Q249" t="n">
        <v>1</v>
      </c>
      <c r="R249" s="2" t="inlineStr">
        <is>
          <t>Ask</t>
        </is>
      </c>
      <c r="S249">
        <f>HYPERLINK("https://klasma.github.io/Logging_1256/artfynd/A 4251-2023 artfynd.xlsx", "A 4251-2023")</f>
        <v/>
      </c>
      <c r="T249">
        <f>HYPERLINK("https://klasma.github.io/Logging_1256/kartor/A 4251-2023 karta.png", "A 4251-2023")</f>
        <v/>
      </c>
      <c r="V249">
        <f>HYPERLINK("https://klasma.github.io/Logging_1256/klagomål/A 4251-2023 FSC-klagomål.docx", "A 4251-2023")</f>
        <v/>
      </c>
      <c r="W249">
        <f>HYPERLINK("https://klasma.github.io/Logging_1256/klagomålsmail/A 4251-2023 FSC-klagomål mail.docx", "A 4251-2023")</f>
        <v/>
      </c>
      <c r="X249">
        <f>HYPERLINK("https://klasma.github.io/Logging_1256/tillsyn/A 4251-2023 tillsynsbegäran.docx", "A 4251-2023")</f>
        <v/>
      </c>
      <c r="Y249">
        <f>HYPERLINK("https://klasma.github.io/Logging_1256/tillsynsmail/A 4251-2023 tillsynsbegäran mail.docx", "A 4251-2023")</f>
        <v/>
      </c>
    </row>
    <row r="250" ht="15" customHeight="1">
      <c r="A250" t="inlineStr">
        <is>
          <t>A 4892-2023</t>
        </is>
      </c>
      <c r="B250" s="1" t="n">
        <v>44958</v>
      </c>
      <c r="C250" s="1" t="n">
        <v>45570</v>
      </c>
      <c r="D250" t="inlineStr">
        <is>
          <t>SKÅNE LÄN</t>
        </is>
      </c>
      <c r="E250" t="inlineStr">
        <is>
          <t>ÖSTRA GÖINGE</t>
        </is>
      </c>
      <c r="G250" t="n">
        <v>2</v>
      </c>
      <c r="H250" t="n">
        <v>1</v>
      </c>
      <c r="I250" t="n">
        <v>0</v>
      </c>
      <c r="J250" t="n">
        <v>1</v>
      </c>
      <c r="K250" t="n">
        <v>0</v>
      </c>
      <c r="L250" t="n">
        <v>0</v>
      </c>
      <c r="M250" t="n">
        <v>0</v>
      </c>
      <c r="N250" t="n">
        <v>0</v>
      </c>
      <c r="O250" t="n">
        <v>1</v>
      </c>
      <c r="P250" t="n">
        <v>0</v>
      </c>
      <c r="Q250" t="n">
        <v>1</v>
      </c>
      <c r="R250" s="2" t="inlineStr">
        <is>
          <t>Gulsparv</t>
        </is>
      </c>
      <c r="S250">
        <f>HYPERLINK("https://klasma.github.io/Logging_1256/artfynd/A 4892-2023 artfynd.xlsx", "A 4892-2023")</f>
        <v/>
      </c>
      <c r="T250">
        <f>HYPERLINK("https://klasma.github.io/Logging_1256/kartor/A 4892-2023 karta.png", "A 4892-2023")</f>
        <v/>
      </c>
      <c r="V250">
        <f>HYPERLINK("https://klasma.github.io/Logging_1256/klagomål/A 4892-2023 FSC-klagomål.docx", "A 4892-2023")</f>
        <v/>
      </c>
      <c r="W250">
        <f>HYPERLINK("https://klasma.github.io/Logging_1256/klagomålsmail/A 4892-2023 FSC-klagomål mail.docx", "A 4892-2023")</f>
        <v/>
      </c>
      <c r="X250">
        <f>HYPERLINK("https://klasma.github.io/Logging_1256/tillsyn/A 4892-2023 tillsynsbegäran.docx", "A 4892-2023")</f>
        <v/>
      </c>
      <c r="Y250">
        <f>HYPERLINK("https://klasma.github.io/Logging_1256/tillsynsmail/A 4892-2023 tillsynsbegäran mail.docx", "A 4892-2023")</f>
        <v/>
      </c>
      <c r="Z250">
        <f>HYPERLINK("https://klasma.github.io/Logging_1256/fåglar/A 4892-2023 prioriterade fågelarter.docx", "A 4892-2023")</f>
        <v/>
      </c>
    </row>
    <row r="251" ht="15" customHeight="1">
      <c r="A251" t="inlineStr">
        <is>
          <t>A 11170-2023</t>
        </is>
      </c>
      <c r="B251" s="1" t="n">
        <v>44987</v>
      </c>
      <c r="C251" s="1" t="n">
        <v>45570</v>
      </c>
      <c r="D251" t="inlineStr">
        <is>
          <t>SKÅNE LÄN</t>
        </is>
      </c>
      <c r="E251" t="inlineStr">
        <is>
          <t>SVALÖV</t>
        </is>
      </c>
      <c r="G251" t="n">
        <v>0.9</v>
      </c>
      <c r="H251" t="n">
        <v>0</v>
      </c>
      <c r="I251" t="n">
        <v>0</v>
      </c>
      <c r="J251" t="n">
        <v>0</v>
      </c>
      <c r="K251" t="n">
        <v>0</v>
      </c>
      <c r="L251" t="n">
        <v>1</v>
      </c>
      <c r="M251" t="n">
        <v>0</v>
      </c>
      <c r="N251" t="n">
        <v>0</v>
      </c>
      <c r="O251" t="n">
        <v>1</v>
      </c>
      <c r="P251" t="n">
        <v>1</v>
      </c>
      <c r="Q251" t="n">
        <v>1</v>
      </c>
      <c r="R251" s="2" t="inlineStr">
        <is>
          <t>Korndådra</t>
        </is>
      </c>
      <c r="S251">
        <f>HYPERLINK("https://klasma.github.io/Logging_1214/artfynd/A 11170-2023 artfynd.xlsx", "A 11170-2023")</f>
        <v/>
      </c>
      <c r="T251">
        <f>HYPERLINK("https://klasma.github.io/Logging_1214/kartor/A 11170-2023 karta.png", "A 11170-2023")</f>
        <v/>
      </c>
      <c r="V251">
        <f>HYPERLINK("https://klasma.github.io/Logging_1214/klagomål/A 11170-2023 FSC-klagomål.docx", "A 11170-2023")</f>
        <v/>
      </c>
      <c r="W251">
        <f>HYPERLINK("https://klasma.github.io/Logging_1214/klagomålsmail/A 11170-2023 FSC-klagomål mail.docx", "A 11170-2023")</f>
        <v/>
      </c>
      <c r="X251">
        <f>HYPERLINK("https://klasma.github.io/Logging_1214/tillsyn/A 11170-2023 tillsynsbegäran.docx", "A 11170-2023")</f>
        <v/>
      </c>
      <c r="Y251">
        <f>HYPERLINK("https://klasma.github.io/Logging_1214/tillsynsmail/A 11170-2023 tillsynsbegäran mail.docx", "A 11170-2023")</f>
        <v/>
      </c>
    </row>
    <row r="252" ht="15" customHeight="1">
      <c r="A252" t="inlineStr">
        <is>
          <t>A 12026-2023</t>
        </is>
      </c>
      <c r="B252" s="1" t="n">
        <v>44995</v>
      </c>
      <c r="C252" s="1" t="n">
        <v>45570</v>
      </c>
      <c r="D252" t="inlineStr">
        <is>
          <t>SKÅNE LÄN</t>
        </is>
      </c>
      <c r="E252" t="inlineStr">
        <is>
          <t>LOMMA</t>
        </is>
      </c>
      <c r="G252" t="n">
        <v>0.5</v>
      </c>
      <c r="H252" t="n">
        <v>1</v>
      </c>
      <c r="I252" t="n">
        <v>0</v>
      </c>
      <c r="J252" t="n">
        <v>0</v>
      </c>
      <c r="K252" t="n">
        <v>1</v>
      </c>
      <c r="L252" t="n">
        <v>0</v>
      </c>
      <c r="M252" t="n">
        <v>0</v>
      </c>
      <c r="N252" t="n">
        <v>0</v>
      </c>
      <c r="O252" t="n">
        <v>1</v>
      </c>
      <c r="P252" t="n">
        <v>1</v>
      </c>
      <c r="Q252" t="n">
        <v>1</v>
      </c>
      <c r="R252" s="2" t="inlineStr">
        <is>
          <t>Hedblomster</t>
        </is>
      </c>
      <c r="S252">
        <f>HYPERLINK("https://klasma.github.io/Logging_1262/artfynd/A 12026-2023 artfynd.xlsx", "A 12026-2023")</f>
        <v/>
      </c>
      <c r="T252">
        <f>HYPERLINK("https://klasma.github.io/Logging_1262/kartor/A 12026-2023 karta.png", "A 12026-2023")</f>
        <v/>
      </c>
      <c r="V252">
        <f>HYPERLINK("https://klasma.github.io/Logging_1262/klagomål/A 12026-2023 FSC-klagomål.docx", "A 12026-2023")</f>
        <v/>
      </c>
      <c r="W252">
        <f>HYPERLINK("https://klasma.github.io/Logging_1262/klagomålsmail/A 12026-2023 FSC-klagomål mail.docx", "A 12026-2023")</f>
        <v/>
      </c>
      <c r="X252">
        <f>HYPERLINK("https://klasma.github.io/Logging_1262/tillsyn/A 12026-2023 tillsynsbegäran.docx", "A 12026-2023")</f>
        <v/>
      </c>
      <c r="Y252">
        <f>HYPERLINK("https://klasma.github.io/Logging_1262/tillsynsmail/A 12026-2023 tillsynsbegäran mail.docx", "A 12026-2023")</f>
        <v/>
      </c>
    </row>
    <row r="253" ht="15" customHeight="1">
      <c r="A253" t="inlineStr">
        <is>
          <t>A 12906-2023</t>
        </is>
      </c>
      <c r="B253" s="1" t="n">
        <v>45001</v>
      </c>
      <c r="C253" s="1" t="n">
        <v>45570</v>
      </c>
      <c r="D253" t="inlineStr">
        <is>
          <t>SKÅNE LÄN</t>
        </is>
      </c>
      <c r="E253" t="inlineStr">
        <is>
          <t>HÖÖR</t>
        </is>
      </c>
      <c r="G253" t="n">
        <v>2.4</v>
      </c>
      <c r="H253" t="n">
        <v>1</v>
      </c>
      <c r="I253" t="n">
        <v>0</v>
      </c>
      <c r="J253" t="n">
        <v>0</v>
      </c>
      <c r="K253" t="n">
        <v>0</v>
      </c>
      <c r="L253" t="n">
        <v>0</v>
      </c>
      <c r="M253" t="n">
        <v>0</v>
      </c>
      <c r="N253" t="n">
        <v>0</v>
      </c>
      <c r="O253" t="n">
        <v>0</v>
      </c>
      <c r="P253" t="n">
        <v>0</v>
      </c>
      <c r="Q253" t="n">
        <v>1</v>
      </c>
      <c r="R253" s="2" t="inlineStr">
        <is>
          <t>Revlummer</t>
        </is>
      </c>
      <c r="S253">
        <f>HYPERLINK("https://klasma.github.io/Logging_1267/artfynd/A 12906-2023 artfynd.xlsx", "A 12906-2023")</f>
        <v/>
      </c>
      <c r="T253">
        <f>HYPERLINK("https://klasma.github.io/Logging_1267/kartor/A 12906-2023 karta.png", "A 12906-2023")</f>
        <v/>
      </c>
      <c r="V253">
        <f>HYPERLINK("https://klasma.github.io/Logging_1267/klagomål/A 12906-2023 FSC-klagomål.docx", "A 12906-2023")</f>
        <v/>
      </c>
      <c r="W253">
        <f>HYPERLINK("https://klasma.github.io/Logging_1267/klagomålsmail/A 12906-2023 FSC-klagomål mail.docx", "A 12906-2023")</f>
        <v/>
      </c>
      <c r="X253">
        <f>HYPERLINK("https://klasma.github.io/Logging_1267/tillsyn/A 12906-2023 tillsynsbegäran.docx", "A 12906-2023")</f>
        <v/>
      </c>
      <c r="Y253">
        <f>HYPERLINK("https://klasma.github.io/Logging_1267/tillsynsmail/A 12906-2023 tillsynsbegäran mail.docx", "A 12906-2023")</f>
        <v/>
      </c>
    </row>
    <row r="254" ht="15" customHeight="1">
      <c r="A254" t="inlineStr">
        <is>
          <t>A 13766-2023</t>
        </is>
      </c>
      <c r="B254" s="1" t="n">
        <v>45007</v>
      </c>
      <c r="C254" s="1" t="n">
        <v>45570</v>
      </c>
      <c r="D254" t="inlineStr">
        <is>
          <t>SKÅNE LÄN</t>
        </is>
      </c>
      <c r="E254" t="inlineStr">
        <is>
          <t>YSTAD</t>
        </is>
      </c>
      <c r="G254" t="n">
        <v>0.9</v>
      </c>
      <c r="H254" t="n">
        <v>1</v>
      </c>
      <c r="I254" t="n">
        <v>0</v>
      </c>
      <c r="J254" t="n">
        <v>0</v>
      </c>
      <c r="K254" t="n">
        <v>0</v>
      </c>
      <c r="L254" t="n">
        <v>0</v>
      </c>
      <c r="M254" t="n">
        <v>0</v>
      </c>
      <c r="N254" t="n">
        <v>0</v>
      </c>
      <c r="O254" t="n">
        <v>0</v>
      </c>
      <c r="P254" t="n">
        <v>0</v>
      </c>
      <c r="Q254" t="n">
        <v>1</v>
      </c>
      <c r="R254" s="2" t="inlineStr">
        <is>
          <t>Större vattensalamander</t>
        </is>
      </c>
      <c r="S254">
        <f>HYPERLINK("https://klasma.github.io/Logging_1286/artfynd/A 13766-2023 artfynd.xlsx", "A 13766-2023")</f>
        <v/>
      </c>
      <c r="T254">
        <f>HYPERLINK("https://klasma.github.io/Logging_1286/kartor/A 13766-2023 karta.png", "A 13766-2023")</f>
        <v/>
      </c>
      <c r="V254">
        <f>HYPERLINK("https://klasma.github.io/Logging_1286/klagomål/A 13766-2023 FSC-klagomål.docx", "A 13766-2023")</f>
        <v/>
      </c>
      <c r="W254">
        <f>HYPERLINK("https://klasma.github.io/Logging_1286/klagomålsmail/A 13766-2023 FSC-klagomål mail.docx", "A 13766-2023")</f>
        <v/>
      </c>
      <c r="X254">
        <f>HYPERLINK("https://klasma.github.io/Logging_1286/tillsyn/A 13766-2023 tillsynsbegäran.docx", "A 13766-2023")</f>
        <v/>
      </c>
      <c r="Y254">
        <f>HYPERLINK("https://klasma.github.io/Logging_1286/tillsynsmail/A 13766-2023 tillsynsbegäran mail.docx", "A 13766-2023")</f>
        <v/>
      </c>
    </row>
    <row r="255" ht="15" customHeight="1">
      <c r="A255" t="inlineStr">
        <is>
          <t>A 14933-2023</t>
        </is>
      </c>
      <c r="B255" s="1" t="n">
        <v>45014</v>
      </c>
      <c r="C255" s="1" t="n">
        <v>45570</v>
      </c>
      <c r="D255" t="inlineStr">
        <is>
          <t>SKÅNE LÄN</t>
        </is>
      </c>
      <c r="E255" t="inlineStr">
        <is>
          <t>HÄSSLEHOLM</t>
        </is>
      </c>
      <c r="G255" t="n">
        <v>1.2</v>
      </c>
      <c r="H255" t="n">
        <v>0</v>
      </c>
      <c r="I255" t="n">
        <v>0</v>
      </c>
      <c r="J255" t="n">
        <v>0</v>
      </c>
      <c r="K255" t="n">
        <v>1</v>
      </c>
      <c r="L255" t="n">
        <v>0</v>
      </c>
      <c r="M255" t="n">
        <v>0</v>
      </c>
      <c r="N255" t="n">
        <v>0</v>
      </c>
      <c r="O255" t="n">
        <v>1</v>
      </c>
      <c r="P255" t="n">
        <v>1</v>
      </c>
      <c r="Q255" t="n">
        <v>1</v>
      </c>
      <c r="R255" s="2" t="inlineStr">
        <is>
          <t>Småvänderot</t>
        </is>
      </c>
      <c r="S255">
        <f>HYPERLINK("https://klasma.github.io/Logging_1293/artfynd/A 14933-2023 artfynd.xlsx", "A 14933-2023")</f>
        <v/>
      </c>
      <c r="T255">
        <f>HYPERLINK("https://klasma.github.io/Logging_1293/kartor/A 14933-2023 karta.png", "A 14933-2023")</f>
        <v/>
      </c>
      <c r="V255">
        <f>HYPERLINK("https://klasma.github.io/Logging_1293/klagomål/A 14933-2023 FSC-klagomål.docx", "A 14933-2023")</f>
        <v/>
      </c>
      <c r="W255">
        <f>HYPERLINK("https://klasma.github.io/Logging_1293/klagomålsmail/A 14933-2023 FSC-klagomål mail.docx", "A 14933-2023")</f>
        <v/>
      </c>
      <c r="X255">
        <f>HYPERLINK("https://klasma.github.io/Logging_1293/tillsyn/A 14933-2023 tillsynsbegäran.docx", "A 14933-2023")</f>
        <v/>
      </c>
      <c r="Y255">
        <f>HYPERLINK("https://klasma.github.io/Logging_1293/tillsynsmail/A 14933-2023 tillsynsbegäran mail.docx", "A 14933-2023")</f>
        <v/>
      </c>
    </row>
    <row r="256" ht="15" customHeight="1">
      <c r="A256" t="inlineStr">
        <is>
          <t>A 14892-2023</t>
        </is>
      </c>
      <c r="B256" s="1" t="n">
        <v>45015</v>
      </c>
      <c r="C256" s="1" t="n">
        <v>45570</v>
      </c>
      <c r="D256" t="inlineStr">
        <is>
          <t>SKÅNE LÄN</t>
        </is>
      </c>
      <c r="E256" t="inlineStr">
        <is>
          <t>KLIPPAN</t>
        </is>
      </c>
      <c r="G256" t="n">
        <v>2.7</v>
      </c>
      <c r="H256" t="n">
        <v>1</v>
      </c>
      <c r="I256" t="n">
        <v>0</v>
      </c>
      <c r="J256" t="n">
        <v>1</v>
      </c>
      <c r="K256" t="n">
        <v>0</v>
      </c>
      <c r="L256" t="n">
        <v>0</v>
      </c>
      <c r="M256" t="n">
        <v>0</v>
      </c>
      <c r="N256" t="n">
        <v>0</v>
      </c>
      <c r="O256" t="n">
        <v>1</v>
      </c>
      <c r="P256" t="n">
        <v>0</v>
      </c>
      <c r="Q256" t="n">
        <v>1</v>
      </c>
      <c r="R256" s="2" t="inlineStr">
        <is>
          <t>Mindre hackspett</t>
        </is>
      </c>
      <c r="S256">
        <f>HYPERLINK("https://klasma.github.io/Logging_1276/artfynd/A 14892-2023 artfynd.xlsx", "A 14892-2023")</f>
        <v/>
      </c>
      <c r="T256">
        <f>HYPERLINK("https://klasma.github.io/Logging_1276/kartor/A 14892-2023 karta.png", "A 14892-2023")</f>
        <v/>
      </c>
      <c r="V256">
        <f>HYPERLINK("https://klasma.github.io/Logging_1276/klagomål/A 14892-2023 FSC-klagomål.docx", "A 14892-2023")</f>
        <v/>
      </c>
      <c r="W256">
        <f>HYPERLINK("https://klasma.github.io/Logging_1276/klagomålsmail/A 14892-2023 FSC-klagomål mail.docx", "A 14892-2023")</f>
        <v/>
      </c>
      <c r="X256">
        <f>HYPERLINK("https://klasma.github.io/Logging_1276/tillsyn/A 14892-2023 tillsynsbegäran.docx", "A 14892-2023")</f>
        <v/>
      </c>
      <c r="Y256">
        <f>HYPERLINK("https://klasma.github.io/Logging_1276/tillsynsmail/A 14892-2023 tillsynsbegäran mail.docx", "A 14892-2023")</f>
        <v/>
      </c>
      <c r="Z256">
        <f>HYPERLINK("https://klasma.github.io/Logging_1276/fåglar/A 14892-2023 prioriterade fågelarter.docx", "A 14892-2023")</f>
        <v/>
      </c>
    </row>
    <row r="257" ht="15" customHeight="1">
      <c r="A257" t="inlineStr">
        <is>
          <t>A 15068-2023</t>
        </is>
      </c>
      <c r="B257" s="1" t="n">
        <v>45015</v>
      </c>
      <c r="C257" s="1" t="n">
        <v>45570</v>
      </c>
      <c r="D257" t="inlineStr">
        <is>
          <t>SKÅNE LÄN</t>
        </is>
      </c>
      <c r="E257" t="inlineStr">
        <is>
          <t>ÖRKELLJUNGA</t>
        </is>
      </c>
      <c r="G257" t="n">
        <v>9.9</v>
      </c>
      <c r="H257" t="n">
        <v>0</v>
      </c>
      <c r="I257" t="n">
        <v>1</v>
      </c>
      <c r="J257" t="n">
        <v>0</v>
      </c>
      <c r="K257" t="n">
        <v>0</v>
      </c>
      <c r="L257" t="n">
        <v>0</v>
      </c>
      <c r="M257" t="n">
        <v>0</v>
      </c>
      <c r="N257" t="n">
        <v>0</v>
      </c>
      <c r="O257" t="n">
        <v>0</v>
      </c>
      <c r="P257" t="n">
        <v>0</v>
      </c>
      <c r="Q257" t="n">
        <v>1</v>
      </c>
      <c r="R257" s="2" t="inlineStr">
        <is>
          <t>Kambräken</t>
        </is>
      </c>
      <c r="S257">
        <f>HYPERLINK("https://klasma.github.io/Logging_1257/artfynd/A 15068-2023 artfynd.xlsx", "A 15068-2023")</f>
        <v/>
      </c>
      <c r="T257">
        <f>HYPERLINK("https://klasma.github.io/Logging_1257/kartor/A 15068-2023 karta.png", "A 15068-2023")</f>
        <v/>
      </c>
      <c r="V257">
        <f>HYPERLINK("https://klasma.github.io/Logging_1257/klagomål/A 15068-2023 FSC-klagomål.docx", "A 15068-2023")</f>
        <v/>
      </c>
      <c r="W257">
        <f>HYPERLINK("https://klasma.github.io/Logging_1257/klagomålsmail/A 15068-2023 FSC-klagomål mail.docx", "A 15068-2023")</f>
        <v/>
      </c>
      <c r="X257">
        <f>HYPERLINK("https://klasma.github.io/Logging_1257/tillsyn/A 15068-2023 tillsynsbegäran.docx", "A 15068-2023")</f>
        <v/>
      </c>
      <c r="Y257">
        <f>HYPERLINK("https://klasma.github.io/Logging_1257/tillsynsmail/A 15068-2023 tillsynsbegäran mail.docx", "A 15068-2023")</f>
        <v/>
      </c>
    </row>
    <row r="258" ht="15" customHeight="1">
      <c r="A258" t="inlineStr">
        <is>
          <t>A 16684-2023</t>
        </is>
      </c>
      <c r="B258" s="1" t="n">
        <v>45030</v>
      </c>
      <c r="C258" s="1" t="n">
        <v>45570</v>
      </c>
      <c r="D258" t="inlineStr">
        <is>
          <t>SKÅNE LÄN</t>
        </is>
      </c>
      <c r="E258" t="inlineStr">
        <is>
          <t>SVEDALA</t>
        </is>
      </c>
      <c r="G258" t="n">
        <v>6.1</v>
      </c>
      <c r="H258" t="n">
        <v>0</v>
      </c>
      <c r="I258" t="n">
        <v>0</v>
      </c>
      <c r="J258" t="n">
        <v>0</v>
      </c>
      <c r="K258" t="n">
        <v>1</v>
      </c>
      <c r="L258" t="n">
        <v>0</v>
      </c>
      <c r="M258" t="n">
        <v>0</v>
      </c>
      <c r="N258" t="n">
        <v>0</v>
      </c>
      <c r="O258" t="n">
        <v>1</v>
      </c>
      <c r="P258" t="n">
        <v>1</v>
      </c>
      <c r="Q258" t="n">
        <v>1</v>
      </c>
      <c r="R258" s="2" t="inlineStr">
        <is>
          <t>Större grynsnäcka</t>
        </is>
      </c>
      <c r="S258">
        <f>HYPERLINK("https://klasma.github.io/Logging_1263/artfynd/A 16684-2023 artfynd.xlsx", "A 16684-2023")</f>
        <v/>
      </c>
      <c r="T258">
        <f>HYPERLINK("https://klasma.github.io/Logging_1263/kartor/A 16684-2023 karta.png", "A 16684-2023")</f>
        <v/>
      </c>
      <c r="V258">
        <f>HYPERLINK("https://klasma.github.io/Logging_1263/klagomål/A 16684-2023 FSC-klagomål.docx", "A 16684-2023")</f>
        <v/>
      </c>
      <c r="W258">
        <f>HYPERLINK("https://klasma.github.io/Logging_1263/klagomålsmail/A 16684-2023 FSC-klagomål mail.docx", "A 16684-2023")</f>
        <v/>
      </c>
      <c r="X258">
        <f>HYPERLINK("https://klasma.github.io/Logging_1263/tillsyn/A 16684-2023 tillsynsbegäran.docx", "A 16684-2023")</f>
        <v/>
      </c>
      <c r="Y258">
        <f>HYPERLINK("https://klasma.github.io/Logging_1263/tillsynsmail/A 16684-2023 tillsynsbegäran mail.docx", "A 16684-2023")</f>
        <v/>
      </c>
    </row>
    <row r="259" ht="15" customHeight="1">
      <c r="A259" t="inlineStr">
        <is>
          <t>A 16837-2023</t>
        </is>
      </c>
      <c r="B259" s="1" t="n">
        <v>45033</v>
      </c>
      <c r="C259" s="1" t="n">
        <v>45570</v>
      </c>
      <c r="D259" t="inlineStr">
        <is>
          <t>SKÅNE LÄN</t>
        </is>
      </c>
      <c r="E259" t="inlineStr">
        <is>
          <t>OSBY</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HYPERLINK("https://klasma.github.io/Logging_1273/artfynd/A 16837-2023 artfynd.xlsx", "A 16837-2023")</f>
        <v/>
      </c>
      <c r="T259">
        <f>HYPERLINK("https://klasma.github.io/Logging_1273/kartor/A 16837-2023 karta.png", "A 16837-2023")</f>
        <v/>
      </c>
      <c r="V259">
        <f>HYPERLINK("https://klasma.github.io/Logging_1273/klagomål/A 16837-2023 FSC-klagomål.docx", "A 16837-2023")</f>
        <v/>
      </c>
      <c r="W259">
        <f>HYPERLINK("https://klasma.github.io/Logging_1273/klagomålsmail/A 16837-2023 FSC-klagomål mail.docx", "A 16837-2023")</f>
        <v/>
      </c>
      <c r="X259">
        <f>HYPERLINK("https://klasma.github.io/Logging_1273/tillsyn/A 16837-2023 tillsynsbegäran.docx", "A 16837-2023")</f>
        <v/>
      </c>
      <c r="Y259">
        <f>HYPERLINK("https://klasma.github.io/Logging_1273/tillsynsmail/A 16837-2023 tillsynsbegäran mail.docx", "A 16837-2023")</f>
        <v/>
      </c>
      <c r="Z259">
        <f>HYPERLINK("https://klasma.github.io/Logging_1273/fåglar/A 16837-2023 prioriterade fågelarter.docx", "A 16837-2023")</f>
        <v/>
      </c>
    </row>
    <row r="260" ht="15" customHeight="1">
      <c r="A260" t="inlineStr">
        <is>
          <t>A 18971-2023</t>
        </is>
      </c>
      <c r="B260" s="1" t="n">
        <v>45044</v>
      </c>
      <c r="C260" s="1" t="n">
        <v>45570</v>
      </c>
      <c r="D260" t="inlineStr">
        <is>
          <t>SKÅNE LÄN</t>
        </is>
      </c>
      <c r="E260" t="inlineStr">
        <is>
          <t>SJÖBO</t>
        </is>
      </c>
      <c r="G260" t="n">
        <v>19.4</v>
      </c>
      <c r="H260" t="n">
        <v>0</v>
      </c>
      <c r="I260" t="n">
        <v>1</v>
      </c>
      <c r="J260" t="n">
        <v>0</v>
      </c>
      <c r="K260" t="n">
        <v>0</v>
      </c>
      <c r="L260" t="n">
        <v>0</v>
      </c>
      <c r="M260" t="n">
        <v>0</v>
      </c>
      <c r="N260" t="n">
        <v>0</v>
      </c>
      <c r="O260" t="n">
        <v>0</v>
      </c>
      <c r="P260" t="n">
        <v>0</v>
      </c>
      <c r="Q260" t="n">
        <v>1</v>
      </c>
      <c r="R260" s="2" t="inlineStr">
        <is>
          <t>Stor häxört</t>
        </is>
      </c>
      <c r="S260">
        <f>HYPERLINK("https://klasma.github.io/Logging_1265/artfynd/A 18971-2023 artfynd.xlsx", "A 18971-2023")</f>
        <v/>
      </c>
      <c r="T260">
        <f>HYPERLINK("https://klasma.github.io/Logging_1265/kartor/A 18971-2023 karta.png", "A 18971-2023")</f>
        <v/>
      </c>
      <c r="V260">
        <f>HYPERLINK("https://klasma.github.io/Logging_1265/klagomål/A 18971-2023 FSC-klagomål.docx", "A 18971-2023")</f>
        <v/>
      </c>
      <c r="W260">
        <f>HYPERLINK("https://klasma.github.io/Logging_1265/klagomålsmail/A 18971-2023 FSC-klagomål mail.docx", "A 18971-2023")</f>
        <v/>
      </c>
      <c r="X260">
        <f>HYPERLINK("https://klasma.github.io/Logging_1265/tillsyn/A 18971-2023 tillsynsbegäran.docx", "A 18971-2023")</f>
        <v/>
      </c>
      <c r="Y260">
        <f>HYPERLINK("https://klasma.github.io/Logging_1265/tillsynsmail/A 18971-2023 tillsynsbegäran mail.docx", "A 18971-2023")</f>
        <v/>
      </c>
    </row>
    <row r="261" ht="15" customHeight="1">
      <c r="A261" t="inlineStr">
        <is>
          <t>A 19517-2023</t>
        </is>
      </c>
      <c r="B261" s="1" t="n">
        <v>45050</v>
      </c>
      <c r="C261" s="1" t="n">
        <v>45570</v>
      </c>
      <c r="D261" t="inlineStr">
        <is>
          <t>SKÅNE LÄN</t>
        </is>
      </c>
      <c r="E261" t="inlineStr">
        <is>
          <t>HÖÖR</t>
        </is>
      </c>
      <c r="G261" t="n">
        <v>6.2</v>
      </c>
      <c r="H261" t="n">
        <v>0</v>
      </c>
      <c r="I261" t="n">
        <v>1</v>
      </c>
      <c r="J261" t="n">
        <v>0</v>
      </c>
      <c r="K261" t="n">
        <v>0</v>
      </c>
      <c r="L261" t="n">
        <v>0</v>
      </c>
      <c r="M261" t="n">
        <v>0</v>
      </c>
      <c r="N261" t="n">
        <v>0</v>
      </c>
      <c r="O261" t="n">
        <v>0</v>
      </c>
      <c r="P261" t="n">
        <v>0</v>
      </c>
      <c r="Q261" t="n">
        <v>1</v>
      </c>
      <c r="R261" s="2" t="inlineStr">
        <is>
          <t>Liten stinksvamp</t>
        </is>
      </c>
      <c r="S261">
        <f>HYPERLINK("https://klasma.github.io/Logging_1267/artfynd/A 19517-2023 artfynd.xlsx", "A 19517-2023")</f>
        <v/>
      </c>
      <c r="T261">
        <f>HYPERLINK("https://klasma.github.io/Logging_1267/kartor/A 19517-2023 karta.png", "A 19517-2023")</f>
        <v/>
      </c>
      <c r="V261">
        <f>HYPERLINK("https://klasma.github.io/Logging_1267/klagomål/A 19517-2023 FSC-klagomål.docx", "A 19517-2023")</f>
        <v/>
      </c>
      <c r="W261">
        <f>HYPERLINK("https://klasma.github.io/Logging_1267/klagomålsmail/A 19517-2023 FSC-klagomål mail.docx", "A 19517-2023")</f>
        <v/>
      </c>
      <c r="X261">
        <f>HYPERLINK("https://klasma.github.io/Logging_1267/tillsyn/A 19517-2023 tillsynsbegäran.docx", "A 19517-2023")</f>
        <v/>
      </c>
      <c r="Y261">
        <f>HYPERLINK("https://klasma.github.io/Logging_1267/tillsynsmail/A 19517-2023 tillsynsbegäran mail.docx", "A 19517-2023")</f>
        <v/>
      </c>
    </row>
    <row r="262" ht="15" customHeight="1">
      <c r="A262" t="inlineStr">
        <is>
          <t>A 22786-2023</t>
        </is>
      </c>
      <c r="B262" s="1" t="n">
        <v>45072</v>
      </c>
      <c r="C262" s="1" t="n">
        <v>45570</v>
      </c>
      <c r="D262" t="inlineStr">
        <is>
          <t>SKÅNE LÄN</t>
        </is>
      </c>
      <c r="E262" t="inlineStr">
        <is>
          <t>ESLÖV</t>
        </is>
      </c>
      <c r="G262" t="n">
        <v>12.8</v>
      </c>
      <c r="H262" t="n">
        <v>0</v>
      </c>
      <c r="I262" t="n">
        <v>0</v>
      </c>
      <c r="J262" t="n">
        <v>0</v>
      </c>
      <c r="K262" t="n">
        <v>0</v>
      </c>
      <c r="L262" t="n">
        <v>1</v>
      </c>
      <c r="M262" t="n">
        <v>0</v>
      </c>
      <c r="N262" t="n">
        <v>0</v>
      </c>
      <c r="O262" t="n">
        <v>1</v>
      </c>
      <c r="P262" t="n">
        <v>1</v>
      </c>
      <c r="Q262" t="n">
        <v>1</v>
      </c>
      <c r="R262" s="2" t="inlineStr">
        <is>
          <t>Ask</t>
        </is>
      </c>
      <c r="S262">
        <f>HYPERLINK("https://klasma.github.io/Logging_1285/artfynd/A 22786-2023 artfynd.xlsx", "A 22786-2023")</f>
        <v/>
      </c>
      <c r="T262">
        <f>HYPERLINK("https://klasma.github.io/Logging_1285/kartor/A 22786-2023 karta.png", "A 22786-2023")</f>
        <v/>
      </c>
      <c r="V262">
        <f>HYPERLINK("https://klasma.github.io/Logging_1285/klagomål/A 22786-2023 FSC-klagomål.docx", "A 22786-2023")</f>
        <v/>
      </c>
      <c r="W262">
        <f>HYPERLINK("https://klasma.github.io/Logging_1285/klagomålsmail/A 22786-2023 FSC-klagomål mail.docx", "A 22786-2023")</f>
        <v/>
      </c>
      <c r="X262">
        <f>HYPERLINK("https://klasma.github.io/Logging_1285/tillsyn/A 22786-2023 tillsynsbegäran.docx", "A 22786-2023")</f>
        <v/>
      </c>
      <c r="Y262">
        <f>HYPERLINK("https://klasma.github.io/Logging_1285/tillsynsmail/A 22786-2023 tillsynsbegäran mail.docx", "A 22786-2023")</f>
        <v/>
      </c>
    </row>
    <row r="263" ht="15" customHeight="1">
      <c r="A263" t="inlineStr">
        <is>
          <t>A 24388-2023</t>
        </is>
      </c>
      <c r="B263" s="1" t="n">
        <v>45082</v>
      </c>
      <c r="C263" s="1" t="n">
        <v>45570</v>
      </c>
      <c r="D263" t="inlineStr">
        <is>
          <t>SKÅNE LÄN</t>
        </is>
      </c>
      <c r="E263" t="inlineStr">
        <is>
          <t>OSBY</t>
        </is>
      </c>
      <c r="G263" t="n">
        <v>4.1</v>
      </c>
      <c r="H263" t="n">
        <v>0</v>
      </c>
      <c r="I263" t="n">
        <v>1</v>
      </c>
      <c r="J263" t="n">
        <v>0</v>
      </c>
      <c r="K263" t="n">
        <v>0</v>
      </c>
      <c r="L263" t="n">
        <v>0</v>
      </c>
      <c r="M263" t="n">
        <v>0</v>
      </c>
      <c r="N263" t="n">
        <v>0</v>
      </c>
      <c r="O263" t="n">
        <v>0</v>
      </c>
      <c r="P263" t="n">
        <v>0</v>
      </c>
      <c r="Q263" t="n">
        <v>1</v>
      </c>
      <c r="R263" s="2" t="inlineStr">
        <is>
          <t>Havstulpanlav</t>
        </is>
      </c>
      <c r="S263">
        <f>HYPERLINK("https://klasma.github.io/Logging_1273/artfynd/A 24388-2023 artfynd.xlsx", "A 24388-2023")</f>
        <v/>
      </c>
      <c r="T263">
        <f>HYPERLINK("https://klasma.github.io/Logging_1273/kartor/A 24388-2023 karta.png", "A 24388-2023")</f>
        <v/>
      </c>
      <c r="V263">
        <f>HYPERLINK("https://klasma.github.io/Logging_1273/klagomål/A 24388-2023 FSC-klagomål.docx", "A 24388-2023")</f>
        <v/>
      </c>
      <c r="W263">
        <f>HYPERLINK("https://klasma.github.io/Logging_1273/klagomålsmail/A 24388-2023 FSC-klagomål mail.docx", "A 24388-2023")</f>
        <v/>
      </c>
      <c r="X263">
        <f>HYPERLINK("https://klasma.github.io/Logging_1273/tillsyn/A 24388-2023 tillsynsbegäran.docx", "A 24388-2023")</f>
        <v/>
      </c>
      <c r="Y263">
        <f>HYPERLINK("https://klasma.github.io/Logging_1273/tillsynsmail/A 24388-2023 tillsynsbegäran mail.docx", "A 24388-2023")</f>
        <v/>
      </c>
    </row>
    <row r="264" ht="15" customHeight="1">
      <c r="A264" t="inlineStr">
        <is>
          <t>A 24528-2023</t>
        </is>
      </c>
      <c r="B264" s="1" t="n">
        <v>45082</v>
      </c>
      <c r="C264" s="1" t="n">
        <v>45570</v>
      </c>
      <c r="D264" t="inlineStr">
        <is>
          <t>SKÅNE LÄN</t>
        </is>
      </c>
      <c r="E264" t="inlineStr">
        <is>
          <t>ÖSTRA GÖINGE</t>
        </is>
      </c>
      <c r="G264" t="n">
        <v>5.1</v>
      </c>
      <c r="H264" t="n">
        <v>0</v>
      </c>
      <c r="I264" t="n">
        <v>1</v>
      </c>
      <c r="J264" t="n">
        <v>0</v>
      </c>
      <c r="K264" t="n">
        <v>0</v>
      </c>
      <c r="L264" t="n">
        <v>0</v>
      </c>
      <c r="M264" t="n">
        <v>0</v>
      </c>
      <c r="N264" t="n">
        <v>0</v>
      </c>
      <c r="O264" t="n">
        <v>0</v>
      </c>
      <c r="P264" t="n">
        <v>0</v>
      </c>
      <c r="Q264" t="n">
        <v>1</v>
      </c>
      <c r="R264" s="2" t="inlineStr">
        <is>
          <t>Springkorn</t>
        </is>
      </c>
      <c r="S264">
        <f>HYPERLINK("https://klasma.github.io/Logging_1256/artfynd/A 24528-2023 artfynd.xlsx", "A 24528-2023")</f>
        <v/>
      </c>
      <c r="T264">
        <f>HYPERLINK("https://klasma.github.io/Logging_1256/kartor/A 24528-2023 karta.png", "A 24528-2023")</f>
        <v/>
      </c>
      <c r="V264">
        <f>HYPERLINK("https://klasma.github.io/Logging_1256/klagomål/A 24528-2023 FSC-klagomål.docx", "A 24528-2023")</f>
        <v/>
      </c>
      <c r="W264">
        <f>HYPERLINK("https://klasma.github.io/Logging_1256/klagomålsmail/A 24528-2023 FSC-klagomål mail.docx", "A 24528-2023")</f>
        <v/>
      </c>
      <c r="X264">
        <f>HYPERLINK("https://klasma.github.io/Logging_1256/tillsyn/A 24528-2023 tillsynsbegäran.docx", "A 24528-2023")</f>
        <v/>
      </c>
      <c r="Y264">
        <f>HYPERLINK("https://klasma.github.io/Logging_1256/tillsynsmail/A 24528-2023 tillsynsbegäran mail.docx", "A 24528-2023")</f>
        <v/>
      </c>
    </row>
    <row r="265" ht="15" customHeight="1">
      <c r="A265" t="inlineStr">
        <is>
          <t>A 24650-2023</t>
        </is>
      </c>
      <c r="B265" s="1" t="n">
        <v>45084</v>
      </c>
      <c r="C265" s="1" t="n">
        <v>45570</v>
      </c>
      <c r="D265" t="inlineStr">
        <is>
          <t>SKÅNE LÄN</t>
        </is>
      </c>
      <c r="E265" t="inlineStr">
        <is>
          <t>KLIPPAN</t>
        </is>
      </c>
      <c r="F265" t="inlineStr">
        <is>
          <t>Övriga Aktiebolag</t>
        </is>
      </c>
      <c r="G265" t="n">
        <v>10.1</v>
      </c>
      <c r="H265" t="n">
        <v>0</v>
      </c>
      <c r="I265" t="n">
        <v>1</v>
      </c>
      <c r="J265" t="n">
        <v>0</v>
      </c>
      <c r="K265" t="n">
        <v>0</v>
      </c>
      <c r="L265" t="n">
        <v>0</v>
      </c>
      <c r="M265" t="n">
        <v>0</v>
      </c>
      <c r="N265" t="n">
        <v>0</v>
      </c>
      <c r="O265" t="n">
        <v>0</v>
      </c>
      <c r="P265" t="n">
        <v>0</v>
      </c>
      <c r="Q265" t="n">
        <v>1</v>
      </c>
      <c r="R265" s="2" t="inlineStr">
        <is>
          <t>Kambräken</t>
        </is>
      </c>
      <c r="S265">
        <f>HYPERLINK("https://klasma.github.io/Logging_1276/artfynd/A 24650-2023 artfynd.xlsx", "A 24650-2023")</f>
        <v/>
      </c>
      <c r="T265">
        <f>HYPERLINK("https://klasma.github.io/Logging_1276/kartor/A 24650-2023 karta.png", "A 24650-2023")</f>
        <v/>
      </c>
      <c r="V265">
        <f>HYPERLINK("https://klasma.github.io/Logging_1276/klagomål/A 24650-2023 FSC-klagomål.docx", "A 24650-2023")</f>
        <v/>
      </c>
      <c r="W265">
        <f>HYPERLINK("https://klasma.github.io/Logging_1276/klagomålsmail/A 24650-2023 FSC-klagomål mail.docx", "A 24650-2023")</f>
        <v/>
      </c>
      <c r="X265">
        <f>HYPERLINK("https://klasma.github.io/Logging_1276/tillsyn/A 24650-2023 tillsynsbegäran.docx", "A 24650-2023")</f>
        <v/>
      </c>
      <c r="Y265">
        <f>HYPERLINK("https://klasma.github.io/Logging_1276/tillsynsmail/A 24650-2023 tillsynsbegäran mail.docx", "A 24650-2023")</f>
        <v/>
      </c>
    </row>
    <row r="266" ht="15" customHeight="1">
      <c r="A266" t="inlineStr">
        <is>
          <t>A 26965-2023</t>
        </is>
      </c>
      <c r="B266" s="1" t="n">
        <v>45093</v>
      </c>
      <c r="C266" s="1" t="n">
        <v>45570</v>
      </c>
      <c r="D266" t="inlineStr">
        <is>
          <t>SKÅNE LÄN</t>
        </is>
      </c>
      <c r="E266" t="inlineStr">
        <is>
          <t>KRISTIANSTAD</t>
        </is>
      </c>
      <c r="F266" t="inlineStr">
        <is>
          <t>Sveaskog</t>
        </is>
      </c>
      <c r="G266" t="n">
        <v>9.9</v>
      </c>
      <c r="H266" t="n">
        <v>0</v>
      </c>
      <c r="I266" t="n">
        <v>0</v>
      </c>
      <c r="J266" t="n">
        <v>0</v>
      </c>
      <c r="K266" t="n">
        <v>1</v>
      </c>
      <c r="L266" t="n">
        <v>0</v>
      </c>
      <c r="M266" t="n">
        <v>0</v>
      </c>
      <c r="N266" t="n">
        <v>0</v>
      </c>
      <c r="O266" t="n">
        <v>1</v>
      </c>
      <c r="P266" t="n">
        <v>1</v>
      </c>
      <c r="Q266" t="n">
        <v>1</v>
      </c>
      <c r="R266" s="2" t="inlineStr">
        <is>
          <t>Sjötåtel</t>
        </is>
      </c>
      <c r="S266">
        <f>HYPERLINK("https://klasma.github.io/Logging_1290/artfynd/A 26965-2023 artfynd.xlsx", "A 26965-2023")</f>
        <v/>
      </c>
      <c r="T266">
        <f>HYPERLINK("https://klasma.github.io/Logging_1290/kartor/A 26965-2023 karta.png", "A 26965-2023")</f>
        <v/>
      </c>
      <c r="V266">
        <f>HYPERLINK("https://klasma.github.io/Logging_1290/klagomål/A 26965-2023 FSC-klagomål.docx", "A 26965-2023")</f>
        <v/>
      </c>
      <c r="W266">
        <f>HYPERLINK("https://klasma.github.io/Logging_1290/klagomålsmail/A 26965-2023 FSC-klagomål mail.docx", "A 26965-2023")</f>
        <v/>
      </c>
      <c r="X266">
        <f>HYPERLINK("https://klasma.github.io/Logging_1290/tillsyn/A 26965-2023 tillsynsbegäran.docx", "A 26965-2023")</f>
        <v/>
      </c>
      <c r="Y266">
        <f>HYPERLINK("https://klasma.github.io/Logging_1290/tillsynsmail/A 26965-2023 tillsynsbegäran mail.docx", "A 26965-2023")</f>
        <v/>
      </c>
    </row>
    <row r="267" ht="15" customHeight="1">
      <c r="A267" t="inlineStr">
        <is>
          <t>A 29183-2023</t>
        </is>
      </c>
      <c r="B267" s="1" t="n">
        <v>45105</v>
      </c>
      <c r="C267" s="1" t="n">
        <v>45570</v>
      </c>
      <c r="D267" t="inlineStr">
        <is>
          <t>SKÅNE LÄN</t>
        </is>
      </c>
      <c r="E267" t="inlineStr">
        <is>
          <t>KRISTIANSTAD</t>
        </is>
      </c>
      <c r="G267" t="n">
        <v>3.2</v>
      </c>
      <c r="H267" t="n">
        <v>0</v>
      </c>
      <c r="I267" t="n">
        <v>0</v>
      </c>
      <c r="J267" t="n">
        <v>0</v>
      </c>
      <c r="K267" t="n">
        <v>1</v>
      </c>
      <c r="L267" t="n">
        <v>0</v>
      </c>
      <c r="M267" t="n">
        <v>0</v>
      </c>
      <c r="N267" t="n">
        <v>0</v>
      </c>
      <c r="O267" t="n">
        <v>1</v>
      </c>
      <c r="P267" t="n">
        <v>1</v>
      </c>
      <c r="Q267" t="n">
        <v>1</v>
      </c>
      <c r="R267" s="2" t="inlineStr">
        <is>
          <t>Småvänderot</t>
        </is>
      </c>
      <c r="S267">
        <f>HYPERLINK("https://klasma.github.io/Logging_1290/artfynd/A 29183-2023 artfynd.xlsx", "A 29183-2023")</f>
        <v/>
      </c>
      <c r="T267">
        <f>HYPERLINK("https://klasma.github.io/Logging_1290/kartor/A 29183-2023 karta.png", "A 29183-2023")</f>
        <v/>
      </c>
      <c r="V267">
        <f>HYPERLINK("https://klasma.github.io/Logging_1290/klagomål/A 29183-2023 FSC-klagomål.docx", "A 29183-2023")</f>
        <v/>
      </c>
      <c r="W267">
        <f>HYPERLINK("https://klasma.github.io/Logging_1290/klagomålsmail/A 29183-2023 FSC-klagomål mail.docx", "A 29183-2023")</f>
        <v/>
      </c>
      <c r="X267">
        <f>HYPERLINK("https://klasma.github.io/Logging_1290/tillsyn/A 29183-2023 tillsynsbegäran.docx", "A 29183-2023")</f>
        <v/>
      </c>
      <c r="Y267">
        <f>HYPERLINK("https://klasma.github.io/Logging_1290/tillsynsmail/A 29183-2023 tillsynsbegäran mail.docx", "A 29183-2023")</f>
        <v/>
      </c>
    </row>
    <row r="268" ht="15" customHeight="1">
      <c r="A268" t="inlineStr">
        <is>
          <t>A 29272-2023</t>
        </is>
      </c>
      <c r="B268" s="1" t="n">
        <v>45105</v>
      </c>
      <c r="C268" s="1" t="n">
        <v>45570</v>
      </c>
      <c r="D268" t="inlineStr">
        <is>
          <t>SKÅNE LÄN</t>
        </is>
      </c>
      <c r="E268" t="inlineStr">
        <is>
          <t>HÄSSLEHOLM</t>
        </is>
      </c>
      <c r="G268" t="n">
        <v>2.2</v>
      </c>
      <c r="H268" t="n">
        <v>0</v>
      </c>
      <c r="I268" t="n">
        <v>1</v>
      </c>
      <c r="J268" t="n">
        <v>0</v>
      </c>
      <c r="K268" t="n">
        <v>0</v>
      </c>
      <c r="L268" t="n">
        <v>0</v>
      </c>
      <c r="M268" t="n">
        <v>0</v>
      </c>
      <c r="N268" t="n">
        <v>0</v>
      </c>
      <c r="O268" t="n">
        <v>0</v>
      </c>
      <c r="P268" t="n">
        <v>0</v>
      </c>
      <c r="Q268" t="n">
        <v>1</v>
      </c>
      <c r="R268" s="2" t="inlineStr">
        <is>
          <t>Sotlav</t>
        </is>
      </c>
      <c r="S268">
        <f>HYPERLINK("https://klasma.github.io/Logging_1293/artfynd/A 29272-2023 artfynd.xlsx", "A 29272-2023")</f>
        <v/>
      </c>
      <c r="T268">
        <f>HYPERLINK("https://klasma.github.io/Logging_1293/kartor/A 29272-2023 karta.png", "A 29272-2023")</f>
        <v/>
      </c>
      <c r="V268">
        <f>HYPERLINK("https://klasma.github.io/Logging_1293/klagomål/A 29272-2023 FSC-klagomål.docx", "A 29272-2023")</f>
        <v/>
      </c>
      <c r="W268">
        <f>HYPERLINK("https://klasma.github.io/Logging_1293/klagomålsmail/A 29272-2023 FSC-klagomål mail.docx", "A 29272-2023")</f>
        <v/>
      </c>
      <c r="X268">
        <f>HYPERLINK("https://klasma.github.io/Logging_1293/tillsyn/A 29272-2023 tillsynsbegäran.docx", "A 29272-2023")</f>
        <v/>
      </c>
      <c r="Y268">
        <f>HYPERLINK("https://klasma.github.io/Logging_1293/tillsynsmail/A 29272-2023 tillsynsbegäran mail.docx", "A 29272-2023")</f>
        <v/>
      </c>
    </row>
    <row r="269" ht="15" customHeight="1">
      <c r="A269" t="inlineStr">
        <is>
          <t>A 29683-2023</t>
        </is>
      </c>
      <c r="B269" s="1" t="n">
        <v>45107</v>
      </c>
      <c r="C269" s="1" t="n">
        <v>45570</v>
      </c>
      <c r="D269" t="inlineStr">
        <is>
          <t>SKÅNE LÄN</t>
        </is>
      </c>
      <c r="E269" t="inlineStr">
        <is>
          <t>KRISTIANSTAD</t>
        </is>
      </c>
      <c r="G269" t="n">
        <v>7.4</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29683-2023 artfynd.xlsx", "A 29683-2023")</f>
        <v/>
      </c>
      <c r="T269">
        <f>HYPERLINK("https://klasma.github.io/Logging_1290/kartor/A 29683-2023 karta.png", "A 29683-2023")</f>
        <v/>
      </c>
      <c r="V269">
        <f>HYPERLINK("https://klasma.github.io/Logging_1290/klagomål/A 29683-2023 FSC-klagomål.docx", "A 29683-2023")</f>
        <v/>
      </c>
      <c r="W269">
        <f>HYPERLINK("https://klasma.github.io/Logging_1290/klagomålsmail/A 29683-2023 FSC-klagomål mail.docx", "A 29683-2023")</f>
        <v/>
      </c>
      <c r="X269">
        <f>HYPERLINK("https://klasma.github.io/Logging_1290/tillsyn/A 29683-2023 tillsynsbegäran.docx", "A 29683-2023")</f>
        <v/>
      </c>
      <c r="Y269">
        <f>HYPERLINK("https://klasma.github.io/Logging_1290/tillsynsmail/A 29683-2023 tillsynsbegäran mail.docx", "A 29683-2023")</f>
        <v/>
      </c>
    </row>
    <row r="270" ht="15" customHeight="1">
      <c r="A270" t="inlineStr">
        <is>
          <t>A 31181-2023</t>
        </is>
      </c>
      <c r="B270" s="1" t="n">
        <v>45113</v>
      </c>
      <c r="C270" s="1" t="n">
        <v>45570</v>
      </c>
      <c r="D270" t="inlineStr">
        <is>
          <t>SKÅNE LÄN</t>
        </is>
      </c>
      <c r="E270" t="inlineStr">
        <is>
          <t>ESLÖV</t>
        </is>
      </c>
      <c r="G270" t="n">
        <v>3.1</v>
      </c>
      <c r="H270" t="n">
        <v>0</v>
      </c>
      <c r="I270" t="n">
        <v>1</v>
      </c>
      <c r="J270" t="n">
        <v>0</v>
      </c>
      <c r="K270" t="n">
        <v>0</v>
      </c>
      <c r="L270" t="n">
        <v>0</v>
      </c>
      <c r="M270" t="n">
        <v>0</v>
      </c>
      <c r="N270" t="n">
        <v>0</v>
      </c>
      <c r="O270" t="n">
        <v>0</v>
      </c>
      <c r="P270" t="n">
        <v>0</v>
      </c>
      <c r="Q270" t="n">
        <v>1</v>
      </c>
      <c r="R270" s="2" t="inlineStr">
        <is>
          <t>Springkorn</t>
        </is>
      </c>
      <c r="S270">
        <f>HYPERLINK("https://klasma.github.io/Logging_1285/artfynd/A 31181-2023 artfynd.xlsx", "A 31181-2023")</f>
        <v/>
      </c>
      <c r="T270">
        <f>HYPERLINK("https://klasma.github.io/Logging_1285/kartor/A 31181-2023 karta.png", "A 31181-2023")</f>
        <v/>
      </c>
      <c r="V270">
        <f>HYPERLINK("https://klasma.github.io/Logging_1285/klagomål/A 31181-2023 FSC-klagomål.docx", "A 31181-2023")</f>
        <v/>
      </c>
      <c r="W270">
        <f>HYPERLINK("https://klasma.github.io/Logging_1285/klagomålsmail/A 31181-2023 FSC-klagomål mail.docx", "A 31181-2023")</f>
        <v/>
      </c>
      <c r="X270">
        <f>HYPERLINK("https://klasma.github.io/Logging_1285/tillsyn/A 31181-2023 tillsynsbegäran.docx", "A 31181-2023")</f>
        <v/>
      </c>
      <c r="Y270">
        <f>HYPERLINK("https://klasma.github.io/Logging_1285/tillsynsmail/A 31181-2023 tillsynsbegäran mail.docx", "A 31181-2023")</f>
        <v/>
      </c>
    </row>
    <row r="271" ht="15" customHeight="1">
      <c r="A271" t="inlineStr">
        <is>
          <t>A 31213-2023</t>
        </is>
      </c>
      <c r="B271" s="1" t="n">
        <v>45113</v>
      </c>
      <c r="C271" s="1" t="n">
        <v>45570</v>
      </c>
      <c r="D271" t="inlineStr">
        <is>
          <t>SKÅNE LÄN</t>
        </is>
      </c>
      <c r="E271" t="inlineStr">
        <is>
          <t>YSTAD</t>
        </is>
      </c>
      <c r="G271" t="n">
        <v>6.5</v>
      </c>
      <c r="H271" t="n">
        <v>0</v>
      </c>
      <c r="I271" t="n">
        <v>0</v>
      </c>
      <c r="J271" t="n">
        <v>1</v>
      </c>
      <c r="K271" t="n">
        <v>0</v>
      </c>
      <c r="L271" t="n">
        <v>0</v>
      </c>
      <c r="M271" t="n">
        <v>0</v>
      </c>
      <c r="N271" t="n">
        <v>0</v>
      </c>
      <c r="O271" t="n">
        <v>1</v>
      </c>
      <c r="P271" t="n">
        <v>0</v>
      </c>
      <c r="Q271" t="n">
        <v>1</v>
      </c>
      <c r="R271" s="2" t="inlineStr">
        <is>
          <t>Skogsveronika</t>
        </is>
      </c>
      <c r="S271">
        <f>HYPERLINK("https://klasma.github.io/Logging_1286/artfynd/A 31213-2023 artfynd.xlsx", "A 31213-2023")</f>
        <v/>
      </c>
      <c r="T271">
        <f>HYPERLINK("https://klasma.github.io/Logging_1286/kartor/A 31213-2023 karta.png", "A 31213-2023")</f>
        <v/>
      </c>
      <c r="V271">
        <f>HYPERLINK("https://klasma.github.io/Logging_1286/klagomål/A 31213-2023 FSC-klagomål.docx", "A 31213-2023")</f>
        <v/>
      </c>
      <c r="W271">
        <f>HYPERLINK("https://klasma.github.io/Logging_1286/klagomålsmail/A 31213-2023 FSC-klagomål mail.docx", "A 31213-2023")</f>
        <v/>
      </c>
      <c r="X271">
        <f>HYPERLINK("https://klasma.github.io/Logging_1286/tillsyn/A 31213-2023 tillsynsbegäran.docx", "A 31213-2023")</f>
        <v/>
      </c>
      <c r="Y271">
        <f>HYPERLINK("https://klasma.github.io/Logging_1286/tillsynsmail/A 31213-2023 tillsynsbegäran mail.docx", "A 31213-2023")</f>
        <v/>
      </c>
    </row>
    <row r="272" ht="15" customHeight="1">
      <c r="A272" t="inlineStr">
        <is>
          <t>A 31700-2023</t>
        </is>
      </c>
      <c r="B272" s="1" t="n">
        <v>45117</v>
      </c>
      <c r="C272" s="1" t="n">
        <v>45570</v>
      </c>
      <c r="D272" t="inlineStr">
        <is>
          <t>SKÅNE LÄN</t>
        </is>
      </c>
      <c r="E272" t="inlineStr">
        <is>
          <t>SVEDALA</t>
        </is>
      </c>
      <c r="G272" t="n">
        <v>1.1</v>
      </c>
      <c r="H272" t="n">
        <v>0</v>
      </c>
      <c r="I272" t="n">
        <v>0</v>
      </c>
      <c r="J272" t="n">
        <v>0</v>
      </c>
      <c r="K272" t="n">
        <v>1</v>
      </c>
      <c r="L272" t="n">
        <v>0</v>
      </c>
      <c r="M272" t="n">
        <v>0</v>
      </c>
      <c r="N272" t="n">
        <v>0</v>
      </c>
      <c r="O272" t="n">
        <v>1</v>
      </c>
      <c r="P272" t="n">
        <v>1</v>
      </c>
      <c r="Q272" t="n">
        <v>1</v>
      </c>
      <c r="R272" s="2" t="inlineStr">
        <is>
          <t>Revig blodrot</t>
        </is>
      </c>
      <c r="S272">
        <f>HYPERLINK("https://klasma.github.io/Logging_1263/artfynd/A 31700-2023 artfynd.xlsx", "A 31700-2023")</f>
        <v/>
      </c>
      <c r="T272">
        <f>HYPERLINK("https://klasma.github.io/Logging_1263/kartor/A 31700-2023 karta.png", "A 31700-2023")</f>
        <v/>
      </c>
      <c r="V272">
        <f>HYPERLINK("https://klasma.github.io/Logging_1263/klagomål/A 31700-2023 FSC-klagomål.docx", "A 31700-2023")</f>
        <v/>
      </c>
      <c r="W272">
        <f>HYPERLINK("https://klasma.github.io/Logging_1263/klagomålsmail/A 31700-2023 FSC-klagomål mail.docx", "A 31700-2023")</f>
        <v/>
      </c>
      <c r="X272">
        <f>HYPERLINK("https://klasma.github.io/Logging_1263/tillsyn/A 31700-2023 tillsynsbegäran.docx", "A 31700-2023")</f>
        <v/>
      </c>
      <c r="Y272">
        <f>HYPERLINK("https://klasma.github.io/Logging_1263/tillsynsmail/A 31700-2023 tillsynsbegäran mail.docx", "A 31700-2023")</f>
        <v/>
      </c>
    </row>
    <row r="273" ht="15" customHeight="1">
      <c r="A273" t="inlineStr">
        <is>
          <t>A 31722-2023</t>
        </is>
      </c>
      <c r="B273" s="1" t="n">
        <v>45117</v>
      </c>
      <c r="C273" s="1" t="n">
        <v>45570</v>
      </c>
      <c r="D273" t="inlineStr">
        <is>
          <t>SKÅNE LÄN</t>
        </is>
      </c>
      <c r="E273" t="inlineStr">
        <is>
          <t>OSBY</t>
        </is>
      </c>
      <c r="G273" t="n">
        <v>0.6</v>
      </c>
      <c r="H273" t="n">
        <v>1</v>
      </c>
      <c r="I273" t="n">
        <v>0</v>
      </c>
      <c r="J273" t="n">
        <v>0</v>
      </c>
      <c r="K273" t="n">
        <v>0</v>
      </c>
      <c r="L273" t="n">
        <v>1</v>
      </c>
      <c r="M273" t="n">
        <v>0</v>
      </c>
      <c r="N273" t="n">
        <v>0</v>
      </c>
      <c r="O273" t="n">
        <v>1</v>
      </c>
      <c r="P273" t="n">
        <v>1</v>
      </c>
      <c r="Q273" t="n">
        <v>1</v>
      </c>
      <c r="R273" s="2" t="inlineStr">
        <is>
          <t>Klockgentiana</t>
        </is>
      </c>
      <c r="S273">
        <f>HYPERLINK("https://klasma.github.io/Logging_1273/artfynd/A 31722-2023 artfynd.xlsx", "A 31722-2023")</f>
        <v/>
      </c>
      <c r="T273">
        <f>HYPERLINK("https://klasma.github.io/Logging_1273/kartor/A 31722-2023 karta.png", "A 31722-2023")</f>
        <v/>
      </c>
      <c r="V273">
        <f>HYPERLINK("https://klasma.github.io/Logging_1273/klagomål/A 31722-2023 FSC-klagomål.docx", "A 31722-2023")</f>
        <v/>
      </c>
      <c r="W273">
        <f>HYPERLINK("https://klasma.github.io/Logging_1273/klagomålsmail/A 31722-2023 FSC-klagomål mail.docx", "A 31722-2023")</f>
        <v/>
      </c>
      <c r="X273">
        <f>HYPERLINK("https://klasma.github.io/Logging_1273/tillsyn/A 31722-2023 tillsynsbegäran.docx", "A 31722-2023")</f>
        <v/>
      </c>
      <c r="Y273">
        <f>HYPERLINK("https://klasma.github.io/Logging_1273/tillsynsmail/A 31722-2023 tillsynsbegäran mail.docx", "A 31722-2023")</f>
        <v/>
      </c>
    </row>
    <row r="274" ht="15" customHeight="1">
      <c r="A274" t="inlineStr">
        <is>
          <t>A 31764-2023</t>
        </is>
      </c>
      <c r="B274" s="1" t="n">
        <v>45118</v>
      </c>
      <c r="C274" s="1" t="n">
        <v>45570</v>
      </c>
      <c r="D274" t="inlineStr">
        <is>
          <t>SKÅNE LÄN</t>
        </is>
      </c>
      <c r="E274" t="inlineStr">
        <is>
          <t>LUND</t>
        </is>
      </c>
      <c r="F274" t="inlineStr">
        <is>
          <t>Kommuner</t>
        </is>
      </c>
      <c r="G274" t="n">
        <v>1.2</v>
      </c>
      <c r="H274" t="n">
        <v>0</v>
      </c>
      <c r="I274" t="n">
        <v>0</v>
      </c>
      <c r="J274" t="n">
        <v>0</v>
      </c>
      <c r="K274" t="n">
        <v>0</v>
      </c>
      <c r="L274" t="n">
        <v>0</v>
      </c>
      <c r="M274" t="n">
        <v>0</v>
      </c>
      <c r="N274" t="n">
        <v>0</v>
      </c>
      <c r="O274" t="n">
        <v>1</v>
      </c>
      <c r="P274" t="n">
        <v>0</v>
      </c>
      <c r="Q274" t="n">
        <v>1</v>
      </c>
      <c r="R274" s="2" t="inlineStr">
        <is>
          <t>Skorpdyna</t>
        </is>
      </c>
      <c r="S274">
        <f>HYPERLINK("https://klasma.github.io/Logging_1281/artfynd/A 31764-2023 artfynd.xlsx", "A 31764-2023")</f>
        <v/>
      </c>
      <c r="T274">
        <f>HYPERLINK("https://klasma.github.io/Logging_1281/kartor/A 31764-2023 karta.png", "A 31764-2023")</f>
        <v/>
      </c>
      <c r="V274">
        <f>HYPERLINK("https://klasma.github.io/Logging_1281/klagomål/A 31764-2023 FSC-klagomål.docx", "A 31764-2023")</f>
        <v/>
      </c>
      <c r="W274">
        <f>HYPERLINK("https://klasma.github.io/Logging_1281/klagomålsmail/A 31764-2023 FSC-klagomål mail.docx", "A 31764-2023")</f>
        <v/>
      </c>
      <c r="X274">
        <f>HYPERLINK("https://klasma.github.io/Logging_1281/tillsyn/A 31764-2023 tillsynsbegäran.docx", "A 31764-2023")</f>
        <v/>
      </c>
      <c r="Y274">
        <f>HYPERLINK("https://klasma.github.io/Logging_1281/tillsynsmail/A 31764-2023 tillsynsbegäran mail.docx", "A 31764-2023")</f>
        <v/>
      </c>
    </row>
    <row r="275" ht="15" customHeight="1">
      <c r="A275" t="inlineStr">
        <is>
          <t>A 34729-2023</t>
        </is>
      </c>
      <c r="B275" s="1" t="n">
        <v>45139</v>
      </c>
      <c r="C275" s="1" t="n">
        <v>45570</v>
      </c>
      <c r="D275" t="inlineStr">
        <is>
          <t>SKÅNE LÄN</t>
        </is>
      </c>
      <c r="E275" t="inlineStr">
        <is>
          <t>ÖSTRA GÖINGE</t>
        </is>
      </c>
      <c r="G275" t="n">
        <v>7.3</v>
      </c>
      <c r="H275" t="n">
        <v>0</v>
      </c>
      <c r="I275" t="n">
        <v>0</v>
      </c>
      <c r="J275" t="n">
        <v>1</v>
      </c>
      <c r="K275" t="n">
        <v>0</v>
      </c>
      <c r="L275" t="n">
        <v>0</v>
      </c>
      <c r="M275" t="n">
        <v>0</v>
      </c>
      <c r="N275" t="n">
        <v>0</v>
      </c>
      <c r="O275" t="n">
        <v>1</v>
      </c>
      <c r="P275" t="n">
        <v>0</v>
      </c>
      <c r="Q275" t="n">
        <v>1</v>
      </c>
      <c r="R275" s="2" t="inlineStr">
        <is>
          <t>Grynig filtlav</t>
        </is>
      </c>
      <c r="S275">
        <f>HYPERLINK("https://klasma.github.io/Logging_1256/artfynd/A 34729-2023 artfynd.xlsx", "A 34729-2023")</f>
        <v/>
      </c>
      <c r="T275">
        <f>HYPERLINK("https://klasma.github.io/Logging_1256/kartor/A 34729-2023 karta.png", "A 34729-2023")</f>
        <v/>
      </c>
      <c r="V275">
        <f>HYPERLINK("https://klasma.github.io/Logging_1256/klagomål/A 34729-2023 FSC-klagomål.docx", "A 34729-2023")</f>
        <v/>
      </c>
      <c r="W275">
        <f>HYPERLINK("https://klasma.github.io/Logging_1256/klagomålsmail/A 34729-2023 FSC-klagomål mail.docx", "A 34729-2023")</f>
        <v/>
      </c>
      <c r="X275">
        <f>HYPERLINK("https://klasma.github.io/Logging_1256/tillsyn/A 34729-2023 tillsynsbegäran.docx", "A 34729-2023")</f>
        <v/>
      </c>
      <c r="Y275">
        <f>HYPERLINK("https://klasma.github.io/Logging_1256/tillsynsmail/A 34729-2023 tillsynsbegäran mail.docx", "A 34729-2023")</f>
        <v/>
      </c>
    </row>
    <row r="276" ht="15" customHeight="1">
      <c r="A276" t="inlineStr">
        <is>
          <t>A 40376-2023</t>
        </is>
      </c>
      <c r="B276" s="1" t="n">
        <v>45169</v>
      </c>
      <c r="C276" s="1" t="n">
        <v>45570</v>
      </c>
      <c r="D276" t="inlineStr">
        <is>
          <t>SKÅNE LÄN</t>
        </is>
      </c>
      <c r="E276" t="inlineStr">
        <is>
          <t>HÖRBY</t>
        </is>
      </c>
      <c r="G276" t="n">
        <v>2.7</v>
      </c>
      <c r="H276" t="n">
        <v>1</v>
      </c>
      <c r="I276" t="n">
        <v>0</v>
      </c>
      <c r="J276" t="n">
        <v>1</v>
      </c>
      <c r="K276" t="n">
        <v>0</v>
      </c>
      <c r="L276" t="n">
        <v>0</v>
      </c>
      <c r="M276" t="n">
        <v>0</v>
      </c>
      <c r="N276" t="n">
        <v>0</v>
      </c>
      <c r="O276" t="n">
        <v>1</v>
      </c>
      <c r="P276" t="n">
        <v>0</v>
      </c>
      <c r="Q276" t="n">
        <v>1</v>
      </c>
      <c r="R276" s="2" t="inlineStr">
        <is>
          <t>Talltita</t>
        </is>
      </c>
      <c r="S276">
        <f>HYPERLINK("https://klasma.github.io/Logging_1266/artfynd/A 40376-2023 artfynd.xlsx", "A 40376-2023")</f>
        <v/>
      </c>
      <c r="T276">
        <f>HYPERLINK("https://klasma.github.io/Logging_1266/kartor/A 40376-2023 karta.png", "A 40376-2023")</f>
        <v/>
      </c>
      <c r="V276">
        <f>HYPERLINK("https://klasma.github.io/Logging_1266/klagomål/A 40376-2023 FSC-klagomål.docx", "A 40376-2023")</f>
        <v/>
      </c>
      <c r="W276">
        <f>HYPERLINK("https://klasma.github.io/Logging_1266/klagomålsmail/A 40376-2023 FSC-klagomål mail.docx", "A 40376-2023")</f>
        <v/>
      </c>
      <c r="X276">
        <f>HYPERLINK("https://klasma.github.io/Logging_1266/tillsyn/A 40376-2023 tillsynsbegäran.docx", "A 40376-2023")</f>
        <v/>
      </c>
      <c r="Y276">
        <f>HYPERLINK("https://klasma.github.io/Logging_1266/tillsynsmail/A 40376-2023 tillsynsbegäran mail.docx", "A 40376-2023")</f>
        <v/>
      </c>
      <c r="Z276">
        <f>HYPERLINK("https://klasma.github.io/Logging_1266/fåglar/A 40376-2023 prioriterade fågelarter.docx", "A 40376-2023")</f>
        <v/>
      </c>
    </row>
    <row r="277" ht="15" customHeight="1">
      <c r="A277" t="inlineStr">
        <is>
          <t>A 42027-2023</t>
        </is>
      </c>
      <c r="B277" s="1" t="n">
        <v>45177</v>
      </c>
      <c r="C277" s="1" t="n">
        <v>45570</v>
      </c>
      <c r="D277" t="inlineStr">
        <is>
          <t>SKÅNE LÄN</t>
        </is>
      </c>
      <c r="E277" t="inlineStr">
        <is>
          <t>OSBY</t>
        </is>
      </c>
      <c r="F277" t="inlineStr">
        <is>
          <t>Kommuner</t>
        </is>
      </c>
      <c r="G277" t="n">
        <v>2.2</v>
      </c>
      <c r="H277" t="n">
        <v>0</v>
      </c>
      <c r="I277" t="n">
        <v>1</v>
      </c>
      <c r="J277" t="n">
        <v>0</v>
      </c>
      <c r="K277" t="n">
        <v>0</v>
      </c>
      <c r="L277" t="n">
        <v>0</v>
      </c>
      <c r="M277" t="n">
        <v>0</v>
      </c>
      <c r="N277" t="n">
        <v>0</v>
      </c>
      <c r="O277" t="n">
        <v>0</v>
      </c>
      <c r="P277" t="n">
        <v>0</v>
      </c>
      <c r="Q277" t="n">
        <v>1</v>
      </c>
      <c r="R277" s="2" t="inlineStr">
        <is>
          <t>Grovticka</t>
        </is>
      </c>
      <c r="S277">
        <f>HYPERLINK("https://klasma.github.io/Logging_1273/artfynd/A 42027-2023 artfynd.xlsx", "A 42027-2023")</f>
        <v/>
      </c>
      <c r="T277">
        <f>HYPERLINK("https://klasma.github.io/Logging_1273/kartor/A 42027-2023 karta.png", "A 42027-2023")</f>
        <v/>
      </c>
      <c r="V277">
        <f>HYPERLINK("https://klasma.github.io/Logging_1273/klagomål/A 42027-2023 FSC-klagomål.docx", "A 42027-2023")</f>
        <v/>
      </c>
      <c r="W277">
        <f>HYPERLINK("https://klasma.github.io/Logging_1273/klagomålsmail/A 42027-2023 FSC-klagomål mail.docx", "A 42027-2023")</f>
        <v/>
      </c>
      <c r="X277">
        <f>HYPERLINK("https://klasma.github.io/Logging_1273/tillsyn/A 42027-2023 tillsynsbegäran.docx", "A 42027-2023")</f>
        <v/>
      </c>
      <c r="Y277">
        <f>HYPERLINK("https://klasma.github.io/Logging_1273/tillsynsmail/A 42027-2023 tillsynsbegäran mail.docx", "A 42027-2023")</f>
        <v/>
      </c>
    </row>
    <row r="278" ht="15" customHeight="1">
      <c r="A278" t="inlineStr">
        <is>
          <t>A 43335-2023</t>
        </is>
      </c>
      <c r="B278" s="1" t="n">
        <v>45183</v>
      </c>
      <c r="C278" s="1" t="n">
        <v>45570</v>
      </c>
      <c r="D278" t="inlineStr">
        <is>
          <t>SKÅNE LÄN</t>
        </is>
      </c>
      <c r="E278" t="inlineStr">
        <is>
          <t>SJÖBO</t>
        </is>
      </c>
      <c r="F278" t="inlineStr">
        <is>
          <t>Kommuner</t>
        </is>
      </c>
      <c r="G278" t="n">
        <v>4.9</v>
      </c>
      <c r="H278" t="n">
        <v>0</v>
      </c>
      <c r="I278" t="n">
        <v>0</v>
      </c>
      <c r="J278" t="n">
        <v>1</v>
      </c>
      <c r="K278" t="n">
        <v>0</v>
      </c>
      <c r="L278" t="n">
        <v>0</v>
      </c>
      <c r="M278" t="n">
        <v>0</v>
      </c>
      <c r="N278" t="n">
        <v>0</v>
      </c>
      <c r="O278" t="n">
        <v>1</v>
      </c>
      <c r="P278" t="n">
        <v>0</v>
      </c>
      <c r="Q278" t="n">
        <v>1</v>
      </c>
      <c r="R278" s="2" t="inlineStr">
        <is>
          <t>Igelkott</t>
        </is>
      </c>
      <c r="S278">
        <f>HYPERLINK("https://klasma.github.io/Logging_1265/artfynd/A 43335-2023 artfynd.xlsx", "A 43335-2023")</f>
        <v/>
      </c>
      <c r="T278">
        <f>HYPERLINK("https://klasma.github.io/Logging_1265/kartor/A 43335-2023 karta.png", "A 43335-2023")</f>
        <v/>
      </c>
      <c r="V278">
        <f>HYPERLINK("https://klasma.github.io/Logging_1265/klagomål/A 43335-2023 FSC-klagomål.docx", "A 43335-2023")</f>
        <v/>
      </c>
      <c r="W278">
        <f>HYPERLINK("https://klasma.github.io/Logging_1265/klagomålsmail/A 43335-2023 FSC-klagomål mail.docx", "A 43335-2023")</f>
        <v/>
      </c>
      <c r="X278">
        <f>HYPERLINK("https://klasma.github.io/Logging_1265/tillsyn/A 43335-2023 tillsynsbegäran.docx", "A 43335-2023")</f>
        <v/>
      </c>
      <c r="Y278">
        <f>HYPERLINK("https://klasma.github.io/Logging_1265/tillsynsmail/A 43335-2023 tillsynsbegäran mail.docx", "A 43335-2023")</f>
        <v/>
      </c>
    </row>
    <row r="279" ht="15" customHeight="1">
      <c r="A279" t="inlineStr">
        <is>
          <t>A 46602-2023</t>
        </is>
      </c>
      <c r="B279" s="1" t="n">
        <v>45194</v>
      </c>
      <c r="C279" s="1" t="n">
        <v>45570</v>
      </c>
      <c r="D279" t="inlineStr">
        <is>
          <t>SKÅNE LÄN</t>
        </is>
      </c>
      <c r="E279" t="inlineStr">
        <is>
          <t>HÄSSLEHOLM</t>
        </is>
      </c>
      <c r="G279" t="n">
        <v>7.3</v>
      </c>
      <c r="H279" t="n">
        <v>0</v>
      </c>
      <c r="I279" t="n">
        <v>0</v>
      </c>
      <c r="J279" t="n">
        <v>0</v>
      </c>
      <c r="K279" t="n">
        <v>1</v>
      </c>
      <c r="L279" t="n">
        <v>0</v>
      </c>
      <c r="M279" t="n">
        <v>0</v>
      </c>
      <c r="N279" t="n">
        <v>0</v>
      </c>
      <c r="O279" t="n">
        <v>1</v>
      </c>
      <c r="P279" t="n">
        <v>1</v>
      </c>
      <c r="Q279" t="n">
        <v>1</v>
      </c>
      <c r="R279" s="2" t="inlineStr">
        <is>
          <t>Lungrot</t>
        </is>
      </c>
      <c r="S279">
        <f>HYPERLINK("https://klasma.github.io/Logging_1293/artfynd/A 46602-2023 artfynd.xlsx", "A 46602-2023")</f>
        <v/>
      </c>
      <c r="T279">
        <f>HYPERLINK("https://klasma.github.io/Logging_1293/kartor/A 46602-2023 karta.png", "A 46602-2023")</f>
        <v/>
      </c>
      <c r="V279">
        <f>HYPERLINK("https://klasma.github.io/Logging_1293/klagomål/A 46602-2023 FSC-klagomål.docx", "A 46602-2023")</f>
        <v/>
      </c>
      <c r="W279">
        <f>HYPERLINK("https://klasma.github.io/Logging_1293/klagomålsmail/A 46602-2023 FSC-klagomål mail.docx", "A 46602-2023")</f>
        <v/>
      </c>
      <c r="X279">
        <f>HYPERLINK("https://klasma.github.io/Logging_1293/tillsyn/A 46602-2023 tillsynsbegäran.docx", "A 46602-2023")</f>
        <v/>
      </c>
      <c r="Y279">
        <f>HYPERLINK("https://klasma.github.io/Logging_1293/tillsynsmail/A 46602-2023 tillsynsbegäran mail.docx", "A 46602-2023")</f>
        <v/>
      </c>
    </row>
    <row r="280" ht="15" customHeight="1">
      <c r="A280" t="inlineStr">
        <is>
          <t>A 46870-2023</t>
        </is>
      </c>
      <c r="B280" s="1" t="n">
        <v>45200</v>
      </c>
      <c r="C280" s="1" t="n">
        <v>45570</v>
      </c>
      <c r="D280" t="inlineStr">
        <is>
          <t>SKÅNE LÄN</t>
        </is>
      </c>
      <c r="E280" t="inlineStr">
        <is>
          <t>KRISTIANSTAD</t>
        </is>
      </c>
      <c r="G280" t="n">
        <v>2.3</v>
      </c>
      <c r="H280" t="n">
        <v>0</v>
      </c>
      <c r="I280" t="n">
        <v>0</v>
      </c>
      <c r="J280" t="n">
        <v>1</v>
      </c>
      <c r="K280" t="n">
        <v>0</v>
      </c>
      <c r="L280" t="n">
        <v>0</v>
      </c>
      <c r="M280" t="n">
        <v>0</v>
      </c>
      <c r="N280" t="n">
        <v>0</v>
      </c>
      <c r="O280" t="n">
        <v>1</v>
      </c>
      <c r="P280" t="n">
        <v>0</v>
      </c>
      <c r="Q280" t="n">
        <v>1</v>
      </c>
      <c r="R280" s="2" t="inlineStr">
        <is>
          <t>Klasefibbla</t>
        </is>
      </c>
      <c r="S280">
        <f>HYPERLINK("https://klasma.github.io/Logging_1290/artfynd/A 46870-2023 artfynd.xlsx", "A 46870-2023")</f>
        <v/>
      </c>
      <c r="T280">
        <f>HYPERLINK("https://klasma.github.io/Logging_1290/kartor/A 46870-2023 karta.png", "A 46870-2023")</f>
        <v/>
      </c>
      <c r="V280">
        <f>HYPERLINK("https://klasma.github.io/Logging_1290/klagomål/A 46870-2023 FSC-klagomål.docx", "A 46870-2023")</f>
        <v/>
      </c>
      <c r="W280">
        <f>HYPERLINK("https://klasma.github.io/Logging_1290/klagomålsmail/A 46870-2023 FSC-klagomål mail.docx", "A 46870-2023")</f>
        <v/>
      </c>
      <c r="X280">
        <f>HYPERLINK("https://klasma.github.io/Logging_1290/tillsyn/A 46870-2023 tillsynsbegäran.docx", "A 46870-2023")</f>
        <v/>
      </c>
      <c r="Y280">
        <f>HYPERLINK("https://klasma.github.io/Logging_1290/tillsynsmail/A 46870-2023 tillsynsbegäran mail.docx", "A 46870-2023")</f>
        <v/>
      </c>
    </row>
    <row r="281" ht="15" customHeight="1">
      <c r="A281" t="inlineStr">
        <is>
          <t>A 48514-2023</t>
        </is>
      </c>
      <c r="B281" s="1" t="n">
        <v>45208</v>
      </c>
      <c r="C281" s="1" t="n">
        <v>45570</v>
      </c>
      <c r="D281" t="inlineStr">
        <is>
          <t>SKÅNE LÄN</t>
        </is>
      </c>
      <c r="E281" t="inlineStr">
        <is>
          <t>OSBY</t>
        </is>
      </c>
      <c r="G281" t="n">
        <v>3.3</v>
      </c>
      <c r="H281" t="n">
        <v>0</v>
      </c>
      <c r="I281" t="n">
        <v>1</v>
      </c>
      <c r="J281" t="n">
        <v>0</v>
      </c>
      <c r="K281" t="n">
        <v>0</v>
      </c>
      <c r="L281" t="n">
        <v>0</v>
      </c>
      <c r="M281" t="n">
        <v>0</v>
      </c>
      <c r="N281" t="n">
        <v>0</v>
      </c>
      <c r="O281" t="n">
        <v>0</v>
      </c>
      <c r="P281" t="n">
        <v>0</v>
      </c>
      <c r="Q281" t="n">
        <v>1</v>
      </c>
      <c r="R281" s="2" t="inlineStr">
        <is>
          <t>Blåmossa</t>
        </is>
      </c>
      <c r="S281">
        <f>HYPERLINK("https://klasma.github.io/Logging_1273/artfynd/A 48514-2023 artfynd.xlsx", "A 48514-2023")</f>
        <v/>
      </c>
      <c r="T281">
        <f>HYPERLINK("https://klasma.github.io/Logging_1273/kartor/A 48514-2023 karta.png", "A 48514-2023")</f>
        <v/>
      </c>
      <c r="V281">
        <f>HYPERLINK("https://klasma.github.io/Logging_1273/klagomål/A 48514-2023 FSC-klagomål.docx", "A 48514-2023")</f>
        <v/>
      </c>
      <c r="W281">
        <f>HYPERLINK("https://klasma.github.io/Logging_1273/klagomålsmail/A 48514-2023 FSC-klagomål mail.docx", "A 48514-2023")</f>
        <v/>
      </c>
      <c r="X281">
        <f>HYPERLINK("https://klasma.github.io/Logging_1273/tillsyn/A 48514-2023 tillsynsbegäran.docx", "A 48514-2023")</f>
        <v/>
      </c>
      <c r="Y281">
        <f>HYPERLINK("https://klasma.github.io/Logging_1273/tillsynsmail/A 48514-2023 tillsynsbegäran mail.docx", "A 48514-2023")</f>
        <v/>
      </c>
    </row>
    <row r="282" ht="15" customHeight="1">
      <c r="A282" t="inlineStr">
        <is>
          <t>A 50089-2023</t>
        </is>
      </c>
      <c r="B282" s="1" t="n">
        <v>45208</v>
      </c>
      <c r="C282" s="1" t="n">
        <v>45570</v>
      </c>
      <c r="D282" t="inlineStr">
        <is>
          <t>SKÅNE LÄN</t>
        </is>
      </c>
      <c r="E282" t="inlineStr">
        <is>
          <t>KLIPPAN</t>
        </is>
      </c>
      <c r="G282" t="n">
        <v>13.6</v>
      </c>
      <c r="H282" t="n">
        <v>1</v>
      </c>
      <c r="I282" t="n">
        <v>0</v>
      </c>
      <c r="J282" t="n">
        <v>1</v>
      </c>
      <c r="K282" t="n">
        <v>0</v>
      </c>
      <c r="L282" t="n">
        <v>0</v>
      </c>
      <c r="M282" t="n">
        <v>0</v>
      </c>
      <c r="N282" t="n">
        <v>0</v>
      </c>
      <c r="O282" t="n">
        <v>1</v>
      </c>
      <c r="P282" t="n">
        <v>0</v>
      </c>
      <c r="Q282" t="n">
        <v>1</v>
      </c>
      <c r="R282" s="2" t="inlineStr">
        <is>
          <t>Entita</t>
        </is>
      </c>
      <c r="S282">
        <f>HYPERLINK("https://klasma.github.io/Logging_1276/artfynd/A 50089-2023 artfynd.xlsx", "A 50089-2023")</f>
        <v/>
      </c>
      <c r="T282">
        <f>HYPERLINK("https://klasma.github.io/Logging_1276/kartor/A 50089-2023 karta.png", "A 50089-2023")</f>
        <v/>
      </c>
      <c r="V282">
        <f>HYPERLINK("https://klasma.github.io/Logging_1276/klagomål/A 50089-2023 FSC-klagomål.docx", "A 50089-2023")</f>
        <v/>
      </c>
      <c r="W282">
        <f>HYPERLINK("https://klasma.github.io/Logging_1276/klagomålsmail/A 50089-2023 FSC-klagomål mail.docx", "A 50089-2023")</f>
        <v/>
      </c>
      <c r="X282">
        <f>HYPERLINK("https://klasma.github.io/Logging_1276/tillsyn/A 50089-2023 tillsynsbegäran.docx", "A 50089-2023")</f>
        <v/>
      </c>
      <c r="Y282">
        <f>HYPERLINK("https://klasma.github.io/Logging_1276/tillsynsmail/A 50089-2023 tillsynsbegäran mail.docx", "A 50089-2023")</f>
        <v/>
      </c>
      <c r="Z282">
        <f>HYPERLINK("https://klasma.github.io/Logging_1276/fåglar/A 50089-2023 prioriterade fågelarter.docx", "A 50089-2023")</f>
        <v/>
      </c>
    </row>
    <row r="283" ht="15" customHeight="1">
      <c r="A283" t="inlineStr">
        <is>
          <t>A 50684-2023</t>
        </is>
      </c>
      <c r="B283" s="1" t="n">
        <v>45210</v>
      </c>
      <c r="C283" s="1" t="n">
        <v>45570</v>
      </c>
      <c r="D283" t="inlineStr">
        <is>
          <t>SKÅNE LÄN</t>
        </is>
      </c>
      <c r="E283" t="inlineStr">
        <is>
          <t>ÄNGELHOLM</t>
        </is>
      </c>
      <c r="G283" t="n">
        <v>1.6</v>
      </c>
      <c r="H283" t="n">
        <v>1</v>
      </c>
      <c r="I283" t="n">
        <v>0</v>
      </c>
      <c r="J283" t="n">
        <v>0</v>
      </c>
      <c r="K283" t="n">
        <v>0</v>
      </c>
      <c r="L283" t="n">
        <v>0</v>
      </c>
      <c r="M283" t="n">
        <v>0</v>
      </c>
      <c r="N283" t="n">
        <v>0</v>
      </c>
      <c r="O283" t="n">
        <v>0</v>
      </c>
      <c r="P283" t="n">
        <v>0</v>
      </c>
      <c r="Q283" t="n">
        <v>1</v>
      </c>
      <c r="R283" s="2" t="inlineStr">
        <is>
          <t>Kopparödla</t>
        </is>
      </c>
      <c r="S283">
        <f>HYPERLINK("https://klasma.github.io/Logging_1292/artfynd/A 50684-2023 artfynd.xlsx", "A 50684-2023")</f>
        <v/>
      </c>
      <c r="T283">
        <f>HYPERLINK("https://klasma.github.io/Logging_1292/kartor/A 50684-2023 karta.png", "A 50684-2023")</f>
        <v/>
      </c>
      <c r="V283">
        <f>HYPERLINK("https://klasma.github.io/Logging_1292/klagomål/A 50684-2023 FSC-klagomål.docx", "A 50684-2023")</f>
        <v/>
      </c>
      <c r="W283">
        <f>HYPERLINK("https://klasma.github.io/Logging_1292/klagomålsmail/A 50684-2023 FSC-klagomål mail.docx", "A 50684-2023")</f>
        <v/>
      </c>
      <c r="X283">
        <f>HYPERLINK("https://klasma.github.io/Logging_1292/tillsyn/A 50684-2023 tillsynsbegäran.docx", "A 50684-2023")</f>
        <v/>
      </c>
      <c r="Y283">
        <f>HYPERLINK("https://klasma.github.io/Logging_1292/tillsynsmail/A 50684-2023 tillsynsbegäran mail.docx", "A 50684-2023")</f>
        <v/>
      </c>
    </row>
    <row r="284" ht="15" customHeight="1">
      <c r="A284" t="inlineStr">
        <is>
          <t>A 50642-2023</t>
        </is>
      </c>
      <c r="B284" s="1" t="n">
        <v>45210</v>
      </c>
      <c r="C284" s="1" t="n">
        <v>45570</v>
      </c>
      <c r="D284" t="inlineStr">
        <is>
          <t>SKÅNE LÄN</t>
        </is>
      </c>
      <c r="E284" t="inlineStr">
        <is>
          <t>ÄNGELHOLM</t>
        </is>
      </c>
      <c r="G284" t="n">
        <v>0.8</v>
      </c>
      <c r="H284" t="n">
        <v>1</v>
      </c>
      <c r="I284" t="n">
        <v>0</v>
      </c>
      <c r="J284" t="n">
        <v>0</v>
      </c>
      <c r="K284" t="n">
        <v>0</v>
      </c>
      <c r="L284" t="n">
        <v>0</v>
      </c>
      <c r="M284" t="n">
        <v>0</v>
      </c>
      <c r="N284" t="n">
        <v>0</v>
      </c>
      <c r="O284" t="n">
        <v>0</v>
      </c>
      <c r="P284" t="n">
        <v>0</v>
      </c>
      <c r="Q284" t="n">
        <v>1</v>
      </c>
      <c r="R284" s="2" t="inlineStr">
        <is>
          <t>Vanlig padda</t>
        </is>
      </c>
      <c r="S284">
        <f>HYPERLINK("https://klasma.github.io/Logging_1292/artfynd/A 50642-2023 artfynd.xlsx", "A 50642-2023")</f>
        <v/>
      </c>
      <c r="T284">
        <f>HYPERLINK("https://klasma.github.io/Logging_1292/kartor/A 50642-2023 karta.png", "A 50642-2023")</f>
        <v/>
      </c>
      <c r="V284">
        <f>HYPERLINK("https://klasma.github.io/Logging_1292/klagomål/A 50642-2023 FSC-klagomål.docx", "A 50642-2023")</f>
        <v/>
      </c>
      <c r="W284">
        <f>HYPERLINK("https://klasma.github.io/Logging_1292/klagomålsmail/A 50642-2023 FSC-klagomål mail.docx", "A 50642-2023")</f>
        <v/>
      </c>
      <c r="X284">
        <f>HYPERLINK("https://klasma.github.io/Logging_1292/tillsyn/A 50642-2023 tillsynsbegäran.docx", "A 50642-2023")</f>
        <v/>
      </c>
      <c r="Y284">
        <f>HYPERLINK("https://klasma.github.io/Logging_1292/tillsynsmail/A 50642-2023 tillsynsbegäran mail.docx", "A 50642-2023")</f>
        <v/>
      </c>
    </row>
    <row r="285" ht="15" customHeight="1">
      <c r="A285" t="inlineStr">
        <is>
          <t>A 49505-2023</t>
        </is>
      </c>
      <c r="B285" s="1" t="n">
        <v>45211</v>
      </c>
      <c r="C285" s="1" t="n">
        <v>45570</v>
      </c>
      <c r="D285" t="inlineStr">
        <is>
          <t>SKÅNE LÄN</t>
        </is>
      </c>
      <c r="E285" t="inlineStr">
        <is>
          <t>OSBY</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HYPERLINK("https://klasma.github.io/Logging_1273/artfynd/A 49505-2023 artfynd.xlsx", "A 49505-2023")</f>
        <v/>
      </c>
      <c r="T285">
        <f>HYPERLINK("https://klasma.github.io/Logging_1273/kartor/A 49505-2023 karta.png", "A 49505-2023")</f>
        <v/>
      </c>
      <c r="V285">
        <f>HYPERLINK("https://klasma.github.io/Logging_1273/klagomål/A 49505-2023 FSC-klagomål.docx", "A 49505-2023")</f>
        <v/>
      </c>
      <c r="W285">
        <f>HYPERLINK("https://klasma.github.io/Logging_1273/klagomålsmail/A 49505-2023 FSC-klagomål mail.docx", "A 49505-2023")</f>
        <v/>
      </c>
      <c r="X285">
        <f>HYPERLINK("https://klasma.github.io/Logging_1273/tillsyn/A 49505-2023 tillsynsbegäran.docx", "A 49505-2023")</f>
        <v/>
      </c>
      <c r="Y285">
        <f>HYPERLINK("https://klasma.github.io/Logging_1273/tillsynsmail/A 49505-2023 tillsynsbegäran mail.docx", "A 49505-2023")</f>
        <v/>
      </c>
    </row>
    <row r="286" ht="15" customHeight="1">
      <c r="A286" t="inlineStr">
        <is>
          <t>A 54424-2023</t>
        </is>
      </c>
      <c r="B286" s="1" t="n">
        <v>45233</v>
      </c>
      <c r="C286" s="1" t="n">
        <v>45570</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55145-2023</t>
        </is>
      </c>
      <c r="B287" s="1" t="n">
        <v>45237</v>
      </c>
      <c r="C287" s="1" t="n">
        <v>45570</v>
      </c>
      <c r="D287" t="inlineStr">
        <is>
          <t>SKÅNE LÄN</t>
        </is>
      </c>
      <c r="E287" t="inlineStr">
        <is>
          <t>LUND</t>
        </is>
      </c>
      <c r="F287" t="inlineStr">
        <is>
          <t>Kommuner</t>
        </is>
      </c>
      <c r="G287" t="n">
        <v>4.5</v>
      </c>
      <c r="H287" t="n">
        <v>0</v>
      </c>
      <c r="I287" t="n">
        <v>1</v>
      </c>
      <c r="J287" t="n">
        <v>0</v>
      </c>
      <c r="K287" t="n">
        <v>0</v>
      </c>
      <c r="L287" t="n">
        <v>0</v>
      </c>
      <c r="M287" t="n">
        <v>0</v>
      </c>
      <c r="N287" t="n">
        <v>0</v>
      </c>
      <c r="O287" t="n">
        <v>0</v>
      </c>
      <c r="P287" t="n">
        <v>0</v>
      </c>
      <c r="Q287" t="n">
        <v>1</v>
      </c>
      <c r="R287" s="2" t="inlineStr">
        <is>
          <t>Grovticka</t>
        </is>
      </c>
      <c r="S287">
        <f>HYPERLINK("https://klasma.github.io/Logging_1281/artfynd/A 55145-2023 artfynd.xlsx", "A 55145-2023")</f>
        <v/>
      </c>
      <c r="T287">
        <f>HYPERLINK("https://klasma.github.io/Logging_1281/kartor/A 55145-2023 karta.png", "A 55145-2023")</f>
        <v/>
      </c>
      <c r="V287">
        <f>HYPERLINK("https://klasma.github.io/Logging_1281/klagomål/A 55145-2023 FSC-klagomål.docx", "A 55145-2023")</f>
        <v/>
      </c>
      <c r="W287">
        <f>HYPERLINK("https://klasma.github.io/Logging_1281/klagomålsmail/A 55145-2023 FSC-klagomål mail.docx", "A 55145-2023")</f>
        <v/>
      </c>
      <c r="X287">
        <f>HYPERLINK("https://klasma.github.io/Logging_1281/tillsyn/A 55145-2023 tillsynsbegäran.docx", "A 55145-2023")</f>
        <v/>
      </c>
      <c r="Y287">
        <f>HYPERLINK("https://klasma.github.io/Logging_1281/tillsynsmail/A 55145-2023 tillsynsbegäran mail.docx", "A 55145-2023")</f>
        <v/>
      </c>
    </row>
    <row r="288" ht="15" customHeight="1">
      <c r="A288" t="inlineStr">
        <is>
          <t>A 57035-2023</t>
        </is>
      </c>
      <c r="B288" s="1" t="n">
        <v>45244</v>
      </c>
      <c r="C288" s="1" t="n">
        <v>45570</v>
      </c>
      <c r="D288" t="inlineStr">
        <is>
          <t>SKÅNE LÄN</t>
        </is>
      </c>
      <c r="E288" t="inlineStr">
        <is>
          <t>OSBY</t>
        </is>
      </c>
      <c r="G288" t="n">
        <v>5.1</v>
      </c>
      <c r="H288" t="n">
        <v>1</v>
      </c>
      <c r="I288" t="n">
        <v>0</v>
      </c>
      <c r="J288" t="n">
        <v>0</v>
      </c>
      <c r="K288" t="n">
        <v>0</v>
      </c>
      <c r="L288" t="n">
        <v>0</v>
      </c>
      <c r="M288" t="n">
        <v>0</v>
      </c>
      <c r="N288" t="n">
        <v>0</v>
      </c>
      <c r="O288" t="n">
        <v>0</v>
      </c>
      <c r="P288" t="n">
        <v>0</v>
      </c>
      <c r="Q288" t="n">
        <v>1</v>
      </c>
      <c r="R288" s="2" t="inlineStr">
        <is>
          <t>Kungsfågel</t>
        </is>
      </c>
      <c r="S288">
        <f>HYPERLINK("https://klasma.github.io/Logging_1273/artfynd/A 57035-2023 artfynd.xlsx", "A 57035-2023")</f>
        <v/>
      </c>
      <c r="T288">
        <f>HYPERLINK("https://klasma.github.io/Logging_1273/kartor/A 57035-2023 karta.png", "A 57035-2023")</f>
        <v/>
      </c>
      <c r="V288">
        <f>HYPERLINK("https://klasma.github.io/Logging_1273/klagomål/A 57035-2023 FSC-klagomål.docx", "A 57035-2023")</f>
        <v/>
      </c>
      <c r="W288">
        <f>HYPERLINK("https://klasma.github.io/Logging_1273/klagomålsmail/A 57035-2023 FSC-klagomål mail.docx", "A 57035-2023")</f>
        <v/>
      </c>
      <c r="X288">
        <f>HYPERLINK("https://klasma.github.io/Logging_1273/tillsyn/A 57035-2023 tillsynsbegäran.docx", "A 57035-2023")</f>
        <v/>
      </c>
      <c r="Y288">
        <f>HYPERLINK("https://klasma.github.io/Logging_1273/tillsynsmail/A 57035-2023 tillsynsbegäran mail.docx", "A 57035-2023")</f>
        <v/>
      </c>
      <c r="Z288">
        <f>HYPERLINK("https://klasma.github.io/Logging_1273/fåglar/A 57035-2023 prioriterade fågelarter.docx", "A 57035-2023")</f>
        <v/>
      </c>
    </row>
    <row r="289" ht="15" customHeight="1">
      <c r="A289" t="inlineStr">
        <is>
          <t>A 59610-2023</t>
        </is>
      </c>
      <c r="B289" s="1" t="n">
        <v>45253</v>
      </c>
      <c r="C289" s="1" t="n">
        <v>45570</v>
      </c>
      <c r="D289" t="inlineStr">
        <is>
          <t>SKÅNE LÄN</t>
        </is>
      </c>
      <c r="E289" t="inlineStr">
        <is>
          <t>SJÖBO</t>
        </is>
      </c>
      <c r="G289" t="n">
        <v>2.4</v>
      </c>
      <c r="H289" t="n">
        <v>1</v>
      </c>
      <c r="I289" t="n">
        <v>1</v>
      </c>
      <c r="J289" t="n">
        <v>0</v>
      </c>
      <c r="K289" t="n">
        <v>0</v>
      </c>
      <c r="L289" t="n">
        <v>0</v>
      </c>
      <c r="M289" t="n">
        <v>0</v>
      </c>
      <c r="N289" t="n">
        <v>0</v>
      </c>
      <c r="O289" t="n">
        <v>0</v>
      </c>
      <c r="P289" t="n">
        <v>0</v>
      </c>
      <c r="Q289" t="n">
        <v>1</v>
      </c>
      <c r="R289" s="2" t="inlineStr">
        <is>
          <t>Ekoxe</t>
        </is>
      </c>
      <c r="S289">
        <f>HYPERLINK("https://klasma.github.io/Logging_1265/artfynd/A 59610-2023 artfynd.xlsx", "A 59610-2023")</f>
        <v/>
      </c>
      <c r="T289">
        <f>HYPERLINK("https://klasma.github.io/Logging_1265/kartor/A 59610-2023 karta.png", "A 59610-2023")</f>
        <v/>
      </c>
      <c r="V289">
        <f>HYPERLINK("https://klasma.github.io/Logging_1265/klagomål/A 59610-2023 FSC-klagomål.docx", "A 59610-2023")</f>
        <v/>
      </c>
      <c r="W289">
        <f>HYPERLINK("https://klasma.github.io/Logging_1265/klagomålsmail/A 59610-2023 FSC-klagomål mail.docx", "A 59610-2023")</f>
        <v/>
      </c>
      <c r="X289">
        <f>HYPERLINK("https://klasma.github.io/Logging_1265/tillsyn/A 59610-2023 tillsynsbegäran.docx", "A 59610-2023")</f>
        <v/>
      </c>
      <c r="Y289">
        <f>HYPERLINK("https://klasma.github.io/Logging_1265/tillsynsmail/A 59610-2023 tillsynsbegäran mail.docx", "A 59610-2023")</f>
        <v/>
      </c>
    </row>
    <row r="290" ht="15" customHeight="1">
      <c r="A290" t="inlineStr">
        <is>
          <t>A 60820-2023</t>
        </is>
      </c>
      <c r="B290" s="1" t="n">
        <v>45260</v>
      </c>
      <c r="C290" s="1" t="n">
        <v>45570</v>
      </c>
      <c r="D290" t="inlineStr">
        <is>
          <t>SKÅNE LÄN</t>
        </is>
      </c>
      <c r="E290" t="inlineStr">
        <is>
          <t>TOMELILLA</t>
        </is>
      </c>
      <c r="G290" t="n">
        <v>4.6</v>
      </c>
      <c r="H290" t="n">
        <v>0</v>
      </c>
      <c r="I290" t="n">
        <v>1</v>
      </c>
      <c r="J290" t="n">
        <v>0</v>
      </c>
      <c r="K290" t="n">
        <v>0</v>
      </c>
      <c r="L290" t="n">
        <v>0</v>
      </c>
      <c r="M290" t="n">
        <v>0</v>
      </c>
      <c r="N290" t="n">
        <v>0</v>
      </c>
      <c r="O290" t="n">
        <v>0</v>
      </c>
      <c r="P290" t="n">
        <v>0</v>
      </c>
      <c r="Q290" t="n">
        <v>1</v>
      </c>
      <c r="R290" s="2" t="inlineStr">
        <is>
          <t>Guldlockmossa</t>
        </is>
      </c>
      <c r="S290">
        <f>HYPERLINK("https://klasma.github.io/Logging_1270/artfynd/A 60820-2023 artfynd.xlsx", "A 60820-2023")</f>
        <v/>
      </c>
      <c r="T290">
        <f>HYPERLINK("https://klasma.github.io/Logging_1270/kartor/A 60820-2023 karta.png", "A 60820-2023")</f>
        <v/>
      </c>
      <c r="V290">
        <f>HYPERLINK("https://klasma.github.io/Logging_1270/klagomål/A 60820-2023 FSC-klagomål.docx", "A 60820-2023")</f>
        <v/>
      </c>
      <c r="W290">
        <f>HYPERLINK("https://klasma.github.io/Logging_1270/klagomålsmail/A 60820-2023 FSC-klagomål mail.docx", "A 60820-2023")</f>
        <v/>
      </c>
      <c r="X290">
        <f>HYPERLINK("https://klasma.github.io/Logging_1270/tillsyn/A 60820-2023 tillsynsbegäran.docx", "A 60820-2023")</f>
        <v/>
      </c>
      <c r="Y290">
        <f>HYPERLINK("https://klasma.github.io/Logging_1270/tillsynsmail/A 60820-2023 tillsynsbegäran mail.docx", "A 60820-2023")</f>
        <v/>
      </c>
    </row>
    <row r="291" ht="15" customHeight="1">
      <c r="A291" t="inlineStr">
        <is>
          <t>A 61558-2023</t>
        </is>
      </c>
      <c r="B291" s="1" t="n">
        <v>45265</v>
      </c>
      <c r="C291" s="1" t="n">
        <v>45570</v>
      </c>
      <c r="D291" t="inlineStr">
        <is>
          <t>SKÅNE LÄN</t>
        </is>
      </c>
      <c r="E291" t="inlineStr">
        <is>
          <t>YSTAD</t>
        </is>
      </c>
      <c r="F291" t="inlineStr">
        <is>
          <t>Övriga statliga verk och myndigheter</t>
        </is>
      </c>
      <c r="G291" t="n">
        <v>1.5</v>
      </c>
      <c r="H291" t="n">
        <v>0</v>
      </c>
      <c r="I291" t="n">
        <v>0</v>
      </c>
      <c r="J291" t="n">
        <v>0</v>
      </c>
      <c r="K291" t="n">
        <v>0</v>
      </c>
      <c r="L291" t="n">
        <v>1</v>
      </c>
      <c r="M291" t="n">
        <v>0</v>
      </c>
      <c r="N291" t="n">
        <v>0</v>
      </c>
      <c r="O291" t="n">
        <v>1</v>
      </c>
      <c r="P291" t="n">
        <v>1</v>
      </c>
      <c r="Q291" t="n">
        <v>1</v>
      </c>
      <c r="R291" s="2" t="inlineStr">
        <is>
          <t>Ask</t>
        </is>
      </c>
      <c r="S291">
        <f>HYPERLINK("https://klasma.github.io/Logging_1286/artfynd/A 61558-2023 artfynd.xlsx", "A 61558-2023")</f>
        <v/>
      </c>
      <c r="T291">
        <f>HYPERLINK("https://klasma.github.io/Logging_1286/kartor/A 61558-2023 karta.png", "A 61558-2023")</f>
        <v/>
      </c>
      <c r="V291">
        <f>HYPERLINK("https://klasma.github.io/Logging_1286/klagomål/A 61558-2023 FSC-klagomål.docx", "A 61558-2023")</f>
        <v/>
      </c>
      <c r="W291">
        <f>HYPERLINK("https://klasma.github.io/Logging_1286/klagomålsmail/A 61558-2023 FSC-klagomål mail.docx", "A 61558-2023")</f>
        <v/>
      </c>
      <c r="X291">
        <f>HYPERLINK("https://klasma.github.io/Logging_1286/tillsyn/A 61558-2023 tillsynsbegäran.docx", "A 61558-2023")</f>
        <v/>
      </c>
      <c r="Y291">
        <f>HYPERLINK("https://klasma.github.io/Logging_1286/tillsynsmail/A 61558-2023 tillsynsbegäran mail.docx", "A 61558-2023")</f>
        <v/>
      </c>
    </row>
    <row r="292" ht="15" customHeight="1">
      <c r="A292" t="inlineStr">
        <is>
          <t>A 62140-2023</t>
        </is>
      </c>
      <c r="B292" s="1" t="n">
        <v>45267</v>
      </c>
      <c r="C292" s="1" t="n">
        <v>45570</v>
      </c>
      <c r="D292" t="inlineStr">
        <is>
          <t>SKÅNE LÄN</t>
        </is>
      </c>
      <c r="E292" t="inlineStr">
        <is>
          <t>ÖSTRA GÖINGE</t>
        </is>
      </c>
      <c r="G292" t="n">
        <v>1.5</v>
      </c>
      <c r="H292" t="n">
        <v>1</v>
      </c>
      <c r="I292" t="n">
        <v>0</v>
      </c>
      <c r="J292" t="n">
        <v>0</v>
      </c>
      <c r="K292" t="n">
        <v>0</v>
      </c>
      <c r="L292" t="n">
        <v>0</v>
      </c>
      <c r="M292" t="n">
        <v>0</v>
      </c>
      <c r="N292" t="n">
        <v>0</v>
      </c>
      <c r="O292" t="n">
        <v>0</v>
      </c>
      <c r="P292" t="n">
        <v>0</v>
      </c>
      <c r="Q292" t="n">
        <v>1</v>
      </c>
      <c r="R292" s="2" t="inlineStr">
        <is>
          <t>Grönvit nattviol</t>
        </is>
      </c>
      <c r="S292">
        <f>HYPERLINK("https://klasma.github.io/Logging_1256/artfynd/A 62140-2023 artfynd.xlsx", "A 62140-2023")</f>
        <v/>
      </c>
      <c r="T292">
        <f>HYPERLINK("https://klasma.github.io/Logging_1256/kartor/A 62140-2023 karta.png", "A 62140-2023")</f>
        <v/>
      </c>
      <c r="V292">
        <f>HYPERLINK("https://klasma.github.io/Logging_1256/klagomål/A 62140-2023 FSC-klagomål.docx", "A 62140-2023")</f>
        <v/>
      </c>
      <c r="W292">
        <f>HYPERLINK("https://klasma.github.io/Logging_1256/klagomålsmail/A 62140-2023 FSC-klagomål mail.docx", "A 62140-2023")</f>
        <v/>
      </c>
      <c r="X292">
        <f>HYPERLINK("https://klasma.github.io/Logging_1256/tillsyn/A 62140-2023 tillsynsbegäran.docx", "A 62140-2023")</f>
        <v/>
      </c>
      <c r="Y292">
        <f>HYPERLINK("https://klasma.github.io/Logging_1256/tillsynsmail/A 62140-2023 tillsynsbegäran mail.docx", "A 62140-2023")</f>
        <v/>
      </c>
    </row>
    <row r="293" ht="15" customHeight="1">
      <c r="A293" t="inlineStr">
        <is>
          <t>A 62349-2023</t>
        </is>
      </c>
      <c r="B293" s="1" t="n">
        <v>45267</v>
      </c>
      <c r="C293" s="1" t="n">
        <v>45570</v>
      </c>
      <c r="D293" t="inlineStr">
        <is>
          <t>SKÅNE LÄN</t>
        </is>
      </c>
      <c r="E293" t="inlineStr">
        <is>
          <t>KRISTIANSTAD</t>
        </is>
      </c>
      <c r="F293" t="inlineStr">
        <is>
          <t>Sveaskog</t>
        </is>
      </c>
      <c r="G293" t="n">
        <v>5.3</v>
      </c>
      <c r="H293" t="n">
        <v>1</v>
      </c>
      <c r="I293" t="n">
        <v>0</v>
      </c>
      <c r="J293" t="n">
        <v>0</v>
      </c>
      <c r="K293" t="n">
        <v>0</v>
      </c>
      <c r="L293" t="n">
        <v>0</v>
      </c>
      <c r="M293" t="n">
        <v>0</v>
      </c>
      <c r="N293" t="n">
        <v>0</v>
      </c>
      <c r="O293" t="n">
        <v>0</v>
      </c>
      <c r="P293" t="n">
        <v>0</v>
      </c>
      <c r="Q293" t="n">
        <v>1</v>
      </c>
      <c r="R293" s="2" t="inlineStr">
        <is>
          <t>Nattskärra</t>
        </is>
      </c>
      <c r="S293">
        <f>HYPERLINK("https://klasma.github.io/Logging_1290/artfynd/A 62349-2023 artfynd.xlsx", "A 62349-2023")</f>
        <v/>
      </c>
      <c r="T293">
        <f>HYPERLINK("https://klasma.github.io/Logging_1290/kartor/A 62349-2023 karta.png", "A 62349-2023")</f>
        <v/>
      </c>
      <c r="V293">
        <f>HYPERLINK("https://klasma.github.io/Logging_1290/klagomål/A 62349-2023 FSC-klagomål.docx", "A 62349-2023")</f>
        <v/>
      </c>
      <c r="W293">
        <f>HYPERLINK("https://klasma.github.io/Logging_1290/klagomålsmail/A 62349-2023 FSC-klagomål mail.docx", "A 62349-2023")</f>
        <v/>
      </c>
      <c r="X293">
        <f>HYPERLINK("https://klasma.github.io/Logging_1290/tillsyn/A 62349-2023 tillsynsbegäran.docx", "A 62349-2023")</f>
        <v/>
      </c>
      <c r="Y293">
        <f>HYPERLINK("https://klasma.github.io/Logging_1290/tillsynsmail/A 62349-2023 tillsynsbegäran mail.docx", "A 62349-2023")</f>
        <v/>
      </c>
      <c r="Z293">
        <f>HYPERLINK("https://klasma.github.io/Logging_1290/fåglar/A 62349-2023 prioriterade fågelarter.docx", "A 62349-2023")</f>
        <v/>
      </c>
    </row>
    <row r="294" ht="15" customHeight="1">
      <c r="A294" t="inlineStr">
        <is>
          <t>A 561-2024</t>
        </is>
      </c>
      <c r="B294" s="1" t="n">
        <v>45299</v>
      </c>
      <c r="C294" s="1" t="n">
        <v>45570</v>
      </c>
      <c r="D294" t="inlineStr">
        <is>
          <t>SKÅNE LÄN</t>
        </is>
      </c>
      <c r="E294" t="inlineStr">
        <is>
          <t>TOMELILLA</t>
        </is>
      </c>
      <c r="F294" t="inlineStr">
        <is>
          <t>Övriga Aktiebolag</t>
        </is>
      </c>
      <c r="G294" t="n">
        <v>22.1</v>
      </c>
      <c r="H294" t="n">
        <v>1</v>
      </c>
      <c r="I294" t="n">
        <v>0</v>
      </c>
      <c r="J294" t="n">
        <v>0</v>
      </c>
      <c r="K294" t="n">
        <v>0</v>
      </c>
      <c r="L294" t="n">
        <v>0</v>
      </c>
      <c r="M294" t="n">
        <v>0</v>
      </c>
      <c r="N294" t="n">
        <v>0</v>
      </c>
      <c r="O294" t="n">
        <v>0</v>
      </c>
      <c r="P294" t="n">
        <v>0</v>
      </c>
      <c r="Q294" t="n">
        <v>1</v>
      </c>
      <c r="R294" s="2" t="inlineStr">
        <is>
          <t>Vanlig snok</t>
        </is>
      </c>
      <c r="S294">
        <f>HYPERLINK("https://klasma.github.io/Logging_1270/artfynd/A 561-2024 artfynd.xlsx", "A 561-2024")</f>
        <v/>
      </c>
      <c r="T294">
        <f>HYPERLINK("https://klasma.github.io/Logging_1270/kartor/A 561-2024 karta.png", "A 561-2024")</f>
        <v/>
      </c>
      <c r="V294">
        <f>HYPERLINK("https://klasma.github.io/Logging_1270/klagomål/A 561-2024 FSC-klagomål.docx", "A 561-2024")</f>
        <v/>
      </c>
      <c r="W294">
        <f>HYPERLINK("https://klasma.github.io/Logging_1270/klagomålsmail/A 561-2024 FSC-klagomål mail.docx", "A 561-2024")</f>
        <v/>
      </c>
      <c r="X294">
        <f>HYPERLINK("https://klasma.github.io/Logging_1270/tillsyn/A 561-2024 tillsynsbegäran.docx", "A 561-2024")</f>
        <v/>
      </c>
      <c r="Y294">
        <f>HYPERLINK("https://klasma.github.io/Logging_1270/tillsynsmail/A 561-2024 tillsynsbegäran mail.docx", "A 561-2024")</f>
        <v/>
      </c>
    </row>
    <row r="295" ht="15" customHeight="1">
      <c r="A295" t="inlineStr">
        <is>
          <t>A 756-2024</t>
        </is>
      </c>
      <c r="B295" s="1" t="n">
        <v>45300</v>
      </c>
      <c r="C295" s="1" t="n">
        <v>45570</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951-2024</t>
        </is>
      </c>
      <c r="B296" s="1" t="n">
        <v>45301</v>
      </c>
      <c r="C296" s="1" t="n">
        <v>45570</v>
      </c>
      <c r="D296" t="inlineStr">
        <is>
          <t>SKÅNE LÄN</t>
        </is>
      </c>
      <c r="E296" t="inlineStr">
        <is>
          <t>SIMRISHAMN</t>
        </is>
      </c>
      <c r="F296" t="inlineStr">
        <is>
          <t>Övriga Aktiebolag</t>
        </is>
      </c>
      <c r="G296" t="n">
        <v>28.1</v>
      </c>
      <c r="H296" t="n">
        <v>1</v>
      </c>
      <c r="I296" t="n">
        <v>0</v>
      </c>
      <c r="J296" t="n">
        <v>0</v>
      </c>
      <c r="K296" t="n">
        <v>0</v>
      </c>
      <c r="L296" t="n">
        <v>0</v>
      </c>
      <c r="M296" t="n">
        <v>0</v>
      </c>
      <c r="N296" t="n">
        <v>0</v>
      </c>
      <c r="O296" t="n">
        <v>0</v>
      </c>
      <c r="P296" t="n">
        <v>0</v>
      </c>
      <c r="Q296" t="n">
        <v>1</v>
      </c>
      <c r="R296" s="2" t="inlineStr">
        <is>
          <t>Dvärgpipistrell</t>
        </is>
      </c>
      <c r="S296">
        <f>HYPERLINK("https://klasma.github.io/Logging_1291/artfynd/A 951-2024 artfynd.xlsx", "A 951-2024")</f>
        <v/>
      </c>
      <c r="T296">
        <f>HYPERLINK("https://klasma.github.io/Logging_1291/kartor/A 951-2024 karta.png", "A 951-2024")</f>
        <v/>
      </c>
      <c r="V296">
        <f>HYPERLINK("https://klasma.github.io/Logging_1291/klagomål/A 951-2024 FSC-klagomål.docx", "A 951-2024")</f>
        <v/>
      </c>
      <c r="W296">
        <f>HYPERLINK("https://klasma.github.io/Logging_1291/klagomålsmail/A 951-2024 FSC-klagomål mail.docx", "A 951-2024")</f>
        <v/>
      </c>
      <c r="X296">
        <f>HYPERLINK("https://klasma.github.io/Logging_1291/tillsyn/A 951-2024 tillsynsbegäran.docx", "A 951-2024")</f>
        <v/>
      </c>
      <c r="Y296">
        <f>HYPERLINK("https://klasma.github.io/Logging_1291/tillsynsmail/A 951-2024 tillsynsbegäran mail.docx", "A 951-2024")</f>
        <v/>
      </c>
    </row>
    <row r="297" ht="15" customHeight="1">
      <c r="A297" t="inlineStr">
        <is>
          <t>A 1188-2024</t>
        </is>
      </c>
      <c r="B297" s="1" t="n">
        <v>45302</v>
      </c>
      <c r="C297" s="1" t="n">
        <v>45570</v>
      </c>
      <c r="D297" t="inlineStr">
        <is>
          <t>SKÅNE LÄN</t>
        </is>
      </c>
      <c r="E297" t="inlineStr">
        <is>
          <t>KRISTIANSTAD</t>
        </is>
      </c>
      <c r="G297" t="n">
        <v>6.1</v>
      </c>
      <c r="H297" t="n">
        <v>1</v>
      </c>
      <c r="I297" t="n">
        <v>0</v>
      </c>
      <c r="J297" t="n">
        <v>0</v>
      </c>
      <c r="K297" t="n">
        <v>1</v>
      </c>
      <c r="L297" t="n">
        <v>0</v>
      </c>
      <c r="M297" t="n">
        <v>0</v>
      </c>
      <c r="N297" t="n">
        <v>0</v>
      </c>
      <c r="O297" t="n">
        <v>1</v>
      </c>
      <c r="P297" t="n">
        <v>1</v>
      </c>
      <c r="Q297" t="n">
        <v>1</v>
      </c>
      <c r="R297" s="2" t="inlineStr">
        <is>
          <t>Backsippa</t>
        </is>
      </c>
      <c r="S297">
        <f>HYPERLINK("https://klasma.github.io/Logging_1290/artfynd/A 1188-2024 artfynd.xlsx", "A 1188-2024")</f>
        <v/>
      </c>
      <c r="T297">
        <f>HYPERLINK("https://klasma.github.io/Logging_1290/kartor/A 1188-2024 karta.png", "A 1188-2024")</f>
        <v/>
      </c>
      <c r="V297">
        <f>HYPERLINK("https://klasma.github.io/Logging_1290/klagomål/A 1188-2024 FSC-klagomål.docx", "A 1188-2024")</f>
        <v/>
      </c>
      <c r="W297">
        <f>HYPERLINK("https://klasma.github.io/Logging_1290/klagomålsmail/A 1188-2024 FSC-klagomål mail.docx", "A 1188-2024")</f>
        <v/>
      </c>
      <c r="X297">
        <f>HYPERLINK("https://klasma.github.io/Logging_1290/tillsyn/A 1188-2024 tillsynsbegäran.docx", "A 1188-2024")</f>
        <v/>
      </c>
      <c r="Y297">
        <f>HYPERLINK("https://klasma.github.io/Logging_1290/tillsynsmail/A 1188-2024 tillsynsbegäran mail.docx", "A 1188-2024")</f>
        <v/>
      </c>
    </row>
    <row r="298" ht="15" customHeight="1">
      <c r="A298" t="inlineStr">
        <is>
          <t>A 1418-2024</t>
        </is>
      </c>
      <c r="B298" s="1" t="n">
        <v>45303</v>
      </c>
      <c r="C298" s="1" t="n">
        <v>45570</v>
      </c>
      <c r="D298" t="inlineStr">
        <is>
          <t>SKÅNE LÄN</t>
        </is>
      </c>
      <c r="E298" t="inlineStr">
        <is>
          <t>KRISTIANSTAD</t>
        </is>
      </c>
      <c r="F298" t="inlineStr">
        <is>
          <t>Övriga Aktiebolag</t>
        </is>
      </c>
      <c r="G298" t="n">
        <v>0.7</v>
      </c>
      <c r="H298" t="n">
        <v>0</v>
      </c>
      <c r="I298" t="n">
        <v>0</v>
      </c>
      <c r="J298" t="n">
        <v>1</v>
      </c>
      <c r="K298" t="n">
        <v>0</v>
      </c>
      <c r="L298" t="n">
        <v>0</v>
      </c>
      <c r="M298" t="n">
        <v>0</v>
      </c>
      <c r="N298" t="n">
        <v>0</v>
      </c>
      <c r="O298" t="n">
        <v>1</v>
      </c>
      <c r="P298" t="n">
        <v>0</v>
      </c>
      <c r="Q298" t="n">
        <v>1</v>
      </c>
      <c r="R298" s="2" t="inlineStr">
        <is>
          <t>Gropticka</t>
        </is>
      </c>
      <c r="S298">
        <f>HYPERLINK("https://klasma.github.io/Logging_1290/artfynd/A 1418-2024 artfynd.xlsx", "A 1418-2024")</f>
        <v/>
      </c>
      <c r="T298">
        <f>HYPERLINK("https://klasma.github.io/Logging_1290/kartor/A 1418-2024 karta.png", "A 1418-2024")</f>
        <v/>
      </c>
      <c r="V298">
        <f>HYPERLINK("https://klasma.github.io/Logging_1290/klagomål/A 1418-2024 FSC-klagomål.docx", "A 1418-2024")</f>
        <v/>
      </c>
      <c r="W298">
        <f>HYPERLINK("https://klasma.github.io/Logging_1290/klagomålsmail/A 1418-2024 FSC-klagomål mail.docx", "A 1418-2024")</f>
        <v/>
      </c>
      <c r="X298">
        <f>HYPERLINK("https://klasma.github.io/Logging_1290/tillsyn/A 1418-2024 tillsynsbegäran.docx", "A 1418-2024")</f>
        <v/>
      </c>
      <c r="Y298">
        <f>HYPERLINK("https://klasma.github.io/Logging_1290/tillsynsmail/A 1418-2024 tillsynsbegäran mail.docx", "A 1418-2024")</f>
        <v/>
      </c>
    </row>
    <row r="299" ht="15" customHeight="1">
      <c r="A299" t="inlineStr">
        <is>
          <t>A 1510-2024</t>
        </is>
      </c>
      <c r="B299" s="1" t="n">
        <v>45306</v>
      </c>
      <c r="C299" s="1" t="n">
        <v>45570</v>
      </c>
      <c r="D299" t="inlineStr">
        <is>
          <t>SKÅNE LÄN</t>
        </is>
      </c>
      <c r="E299" t="inlineStr">
        <is>
          <t>ESLÖV</t>
        </is>
      </c>
      <c r="G299" t="n">
        <v>3.7</v>
      </c>
      <c r="H299" t="n">
        <v>1</v>
      </c>
      <c r="I299" t="n">
        <v>0</v>
      </c>
      <c r="J299" t="n">
        <v>0</v>
      </c>
      <c r="K299" t="n">
        <v>0</v>
      </c>
      <c r="L299" t="n">
        <v>0</v>
      </c>
      <c r="M299" t="n">
        <v>0</v>
      </c>
      <c r="N299" t="n">
        <v>1</v>
      </c>
      <c r="O299" t="n">
        <v>1</v>
      </c>
      <c r="P299" t="n">
        <v>0</v>
      </c>
      <c r="Q299" t="n">
        <v>1</v>
      </c>
      <c r="R299" s="2" t="inlineStr">
        <is>
          <t>Svart stork</t>
        </is>
      </c>
      <c r="S299">
        <f>HYPERLINK("https://klasma.github.io/Logging_1285/artfynd/A 1510-2024 artfynd.xlsx", "A 1510-2024")</f>
        <v/>
      </c>
      <c r="T299">
        <f>HYPERLINK("https://klasma.github.io/Logging_1285/kartor/A 1510-2024 karta.png", "A 1510-2024")</f>
        <v/>
      </c>
      <c r="V299">
        <f>HYPERLINK("https://klasma.github.io/Logging_1285/klagomål/A 1510-2024 FSC-klagomål.docx", "A 1510-2024")</f>
        <v/>
      </c>
      <c r="W299">
        <f>HYPERLINK("https://klasma.github.io/Logging_1285/klagomålsmail/A 1510-2024 FSC-klagomål mail.docx", "A 1510-2024")</f>
        <v/>
      </c>
      <c r="X299">
        <f>HYPERLINK("https://klasma.github.io/Logging_1285/tillsyn/A 1510-2024 tillsynsbegäran.docx", "A 1510-2024")</f>
        <v/>
      </c>
      <c r="Y299">
        <f>HYPERLINK("https://klasma.github.io/Logging_1285/tillsynsmail/A 1510-2024 tillsynsbegäran mail.docx", "A 1510-2024")</f>
        <v/>
      </c>
      <c r="Z299">
        <f>HYPERLINK("https://klasma.github.io/Logging_1285/fåglar/A 1510-2024 prioriterade fågelarter.docx", "A 1510-2024")</f>
        <v/>
      </c>
    </row>
    <row r="300" ht="15" customHeight="1">
      <c r="A300" t="inlineStr">
        <is>
          <t>A 1577-2024</t>
        </is>
      </c>
      <c r="B300" s="1" t="n">
        <v>45306</v>
      </c>
      <c r="C300" s="1" t="n">
        <v>45570</v>
      </c>
      <c r="D300" t="inlineStr">
        <is>
          <t>SKÅNE LÄN</t>
        </is>
      </c>
      <c r="E300" t="inlineStr">
        <is>
          <t>SVALÖV</t>
        </is>
      </c>
      <c r="G300" t="n">
        <v>21.2</v>
      </c>
      <c r="H300" t="n">
        <v>1</v>
      </c>
      <c r="I300" t="n">
        <v>0</v>
      </c>
      <c r="J300" t="n">
        <v>0</v>
      </c>
      <c r="K300" t="n">
        <v>0</v>
      </c>
      <c r="L300" t="n">
        <v>0</v>
      </c>
      <c r="M300" t="n">
        <v>0</v>
      </c>
      <c r="N300" t="n">
        <v>0</v>
      </c>
      <c r="O300" t="n">
        <v>0</v>
      </c>
      <c r="P300" t="n">
        <v>0</v>
      </c>
      <c r="Q300" t="n">
        <v>1</v>
      </c>
      <c r="R300" s="2" t="inlineStr">
        <is>
          <t>Större vattensalamander</t>
        </is>
      </c>
      <c r="S300">
        <f>HYPERLINK("https://klasma.github.io/Logging_1214/artfynd/A 1577-2024 artfynd.xlsx", "A 1577-2024")</f>
        <v/>
      </c>
      <c r="T300">
        <f>HYPERLINK("https://klasma.github.io/Logging_1214/kartor/A 1577-2024 karta.png", "A 1577-2024")</f>
        <v/>
      </c>
      <c r="V300">
        <f>HYPERLINK("https://klasma.github.io/Logging_1214/klagomål/A 1577-2024 FSC-klagomål.docx", "A 1577-2024")</f>
        <v/>
      </c>
      <c r="W300">
        <f>HYPERLINK("https://klasma.github.io/Logging_1214/klagomålsmail/A 1577-2024 FSC-klagomål mail.docx", "A 1577-2024")</f>
        <v/>
      </c>
      <c r="X300">
        <f>HYPERLINK("https://klasma.github.io/Logging_1214/tillsyn/A 1577-2024 tillsynsbegäran.docx", "A 1577-2024")</f>
        <v/>
      </c>
      <c r="Y300">
        <f>HYPERLINK("https://klasma.github.io/Logging_1214/tillsynsmail/A 1577-2024 tillsynsbegäran mail.docx", "A 1577-2024")</f>
        <v/>
      </c>
    </row>
    <row r="301" ht="15" customHeight="1">
      <c r="A301" t="inlineStr">
        <is>
          <t>A 1782-2024</t>
        </is>
      </c>
      <c r="B301" s="1" t="n">
        <v>45307</v>
      </c>
      <c r="C301" s="1" t="n">
        <v>45570</v>
      </c>
      <c r="D301" t="inlineStr">
        <is>
          <t>SKÅNE LÄN</t>
        </is>
      </c>
      <c r="E301" t="inlineStr">
        <is>
          <t>BÅSTAD</t>
        </is>
      </c>
      <c r="G301" t="n">
        <v>2.7</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1782-2024 artfynd.xlsx", "A 1782-2024")</f>
        <v/>
      </c>
      <c r="T301">
        <f>HYPERLINK("https://klasma.github.io/Logging_1278/kartor/A 1782-2024 karta.png", "A 1782-2024")</f>
        <v/>
      </c>
      <c r="V301">
        <f>HYPERLINK("https://klasma.github.io/Logging_1278/klagomål/A 1782-2024 FSC-klagomål.docx", "A 1782-2024")</f>
        <v/>
      </c>
      <c r="W301">
        <f>HYPERLINK("https://klasma.github.io/Logging_1278/klagomålsmail/A 1782-2024 FSC-klagomål mail.docx", "A 1782-2024")</f>
        <v/>
      </c>
      <c r="X301">
        <f>HYPERLINK("https://klasma.github.io/Logging_1278/tillsyn/A 1782-2024 tillsynsbegäran.docx", "A 1782-2024")</f>
        <v/>
      </c>
      <c r="Y301">
        <f>HYPERLINK("https://klasma.github.io/Logging_1278/tillsynsmail/A 1782-2024 tillsynsbegäran mail.docx", "A 1782-2024")</f>
        <v/>
      </c>
    </row>
    <row r="302" ht="15" customHeight="1">
      <c r="A302" t="inlineStr">
        <is>
          <t>A 2018-2024</t>
        </is>
      </c>
      <c r="B302" s="1" t="n">
        <v>45308</v>
      </c>
      <c r="C302" s="1" t="n">
        <v>45570</v>
      </c>
      <c r="D302" t="inlineStr">
        <is>
          <t>SKÅNE LÄN</t>
        </is>
      </c>
      <c r="E302" t="inlineStr">
        <is>
          <t>TOMELILLA</t>
        </is>
      </c>
      <c r="G302" t="n">
        <v>17.2</v>
      </c>
      <c r="H302" t="n">
        <v>0</v>
      </c>
      <c r="I302" t="n">
        <v>0</v>
      </c>
      <c r="J302" t="n">
        <v>1</v>
      </c>
      <c r="K302" t="n">
        <v>0</v>
      </c>
      <c r="L302" t="n">
        <v>0</v>
      </c>
      <c r="M302" t="n">
        <v>0</v>
      </c>
      <c r="N302" t="n">
        <v>0</v>
      </c>
      <c r="O302" t="n">
        <v>1</v>
      </c>
      <c r="P302" t="n">
        <v>0</v>
      </c>
      <c r="Q302" t="n">
        <v>1</v>
      </c>
      <c r="R302" s="2" t="inlineStr">
        <is>
          <t>Åkerkulla</t>
        </is>
      </c>
      <c r="S302">
        <f>HYPERLINK("https://klasma.github.io/Logging_1270/artfynd/A 2018-2024 artfynd.xlsx", "A 2018-2024")</f>
        <v/>
      </c>
      <c r="T302">
        <f>HYPERLINK("https://klasma.github.io/Logging_1270/kartor/A 2018-2024 karta.png", "A 2018-2024")</f>
        <v/>
      </c>
      <c r="V302">
        <f>HYPERLINK("https://klasma.github.io/Logging_1270/klagomål/A 2018-2024 FSC-klagomål.docx", "A 2018-2024")</f>
        <v/>
      </c>
      <c r="W302">
        <f>HYPERLINK("https://klasma.github.io/Logging_1270/klagomålsmail/A 2018-2024 FSC-klagomål mail.docx", "A 2018-2024")</f>
        <v/>
      </c>
      <c r="X302">
        <f>HYPERLINK("https://klasma.github.io/Logging_1270/tillsyn/A 2018-2024 tillsynsbegäran.docx", "A 2018-2024")</f>
        <v/>
      </c>
      <c r="Y302">
        <f>HYPERLINK("https://klasma.github.io/Logging_1270/tillsynsmail/A 2018-2024 tillsynsbegäran mail.docx", "A 2018-2024")</f>
        <v/>
      </c>
    </row>
    <row r="303" ht="15" customHeight="1">
      <c r="A303" t="inlineStr">
        <is>
          <t>A 2942-2024</t>
        </is>
      </c>
      <c r="B303" s="1" t="n">
        <v>45315</v>
      </c>
      <c r="C303" s="1" t="n">
        <v>45570</v>
      </c>
      <c r="D303" t="inlineStr">
        <is>
          <t>SKÅNE LÄN</t>
        </is>
      </c>
      <c r="E303" t="inlineStr">
        <is>
          <t>HÖÖR</t>
        </is>
      </c>
      <c r="G303" t="n">
        <v>11.2</v>
      </c>
      <c r="H303" t="n">
        <v>1</v>
      </c>
      <c r="I303" t="n">
        <v>0</v>
      </c>
      <c r="J303" t="n">
        <v>0</v>
      </c>
      <c r="K303" t="n">
        <v>0</v>
      </c>
      <c r="L303" t="n">
        <v>0</v>
      </c>
      <c r="M303" t="n">
        <v>0</v>
      </c>
      <c r="N303" t="n">
        <v>0</v>
      </c>
      <c r="O303" t="n">
        <v>0</v>
      </c>
      <c r="P303" t="n">
        <v>0</v>
      </c>
      <c r="Q303" t="n">
        <v>1</v>
      </c>
      <c r="R303" s="2" t="inlineStr">
        <is>
          <t>Revlummer</t>
        </is>
      </c>
      <c r="S303">
        <f>HYPERLINK("https://klasma.github.io/Logging_1267/artfynd/A 2942-2024 artfynd.xlsx", "A 2942-2024")</f>
        <v/>
      </c>
      <c r="T303">
        <f>HYPERLINK("https://klasma.github.io/Logging_1267/kartor/A 2942-2024 karta.png", "A 2942-2024")</f>
        <v/>
      </c>
      <c r="V303">
        <f>HYPERLINK("https://klasma.github.io/Logging_1267/klagomål/A 2942-2024 FSC-klagomål.docx", "A 2942-2024")</f>
        <v/>
      </c>
      <c r="W303">
        <f>HYPERLINK("https://klasma.github.io/Logging_1267/klagomålsmail/A 2942-2024 FSC-klagomål mail.docx", "A 2942-2024")</f>
        <v/>
      </c>
      <c r="X303">
        <f>HYPERLINK("https://klasma.github.io/Logging_1267/tillsyn/A 2942-2024 tillsynsbegäran.docx", "A 2942-2024")</f>
        <v/>
      </c>
      <c r="Y303">
        <f>HYPERLINK("https://klasma.github.io/Logging_1267/tillsynsmail/A 2942-2024 tillsynsbegäran mail.docx", "A 2942-2024")</f>
        <v/>
      </c>
    </row>
    <row r="304" ht="15" customHeight="1">
      <c r="A304" t="inlineStr">
        <is>
          <t>A 3401-2024</t>
        </is>
      </c>
      <c r="B304" s="1" t="n">
        <v>45318</v>
      </c>
      <c r="C304" s="1" t="n">
        <v>45570</v>
      </c>
      <c r="D304" t="inlineStr">
        <is>
          <t>SKÅNE LÄN</t>
        </is>
      </c>
      <c r="E304" t="inlineStr">
        <is>
          <t>SIMRISHAMN</t>
        </is>
      </c>
      <c r="G304" t="n">
        <v>6.8</v>
      </c>
      <c r="H304" t="n">
        <v>0</v>
      </c>
      <c r="I304" t="n">
        <v>0</v>
      </c>
      <c r="J304" t="n">
        <v>1</v>
      </c>
      <c r="K304" t="n">
        <v>0</v>
      </c>
      <c r="L304" t="n">
        <v>0</v>
      </c>
      <c r="M304" t="n">
        <v>0</v>
      </c>
      <c r="N304" t="n">
        <v>0</v>
      </c>
      <c r="O304" t="n">
        <v>1</v>
      </c>
      <c r="P304" t="n">
        <v>0</v>
      </c>
      <c r="Q304" t="n">
        <v>1</v>
      </c>
      <c r="R304" s="2" t="inlineStr">
        <is>
          <t>Borsttåg</t>
        </is>
      </c>
      <c r="S304">
        <f>HYPERLINK("https://klasma.github.io/Logging_1291/artfynd/A 3401-2024 artfynd.xlsx", "A 3401-2024")</f>
        <v/>
      </c>
      <c r="T304">
        <f>HYPERLINK("https://klasma.github.io/Logging_1291/kartor/A 3401-2024 karta.png", "A 3401-2024")</f>
        <v/>
      </c>
      <c r="V304">
        <f>HYPERLINK("https://klasma.github.io/Logging_1291/klagomål/A 3401-2024 FSC-klagomål.docx", "A 3401-2024")</f>
        <v/>
      </c>
      <c r="W304">
        <f>HYPERLINK("https://klasma.github.io/Logging_1291/klagomålsmail/A 3401-2024 FSC-klagomål mail.docx", "A 3401-2024")</f>
        <v/>
      </c>
      <c r="X304">
        <f>HYPERLINK("https://klasma.github.io/Logging_1291/tillsyn/A 3401-2024 tillsynsbegäran.docx", "A 3401-2024")</f>
        <v/>
      </c>
      <c r="Y304">
        <f>HYPERLINK("https://klasma.github.io/Logging_1291/tillsynsmail/A 3401-2024 tillsynsbegäran mail.docx", "A 3401-2024")</f>
        <v/>
      </c>
    </row>
    <row r="305" ht="15" customHeight="1">
      <c r="A305" t="inlineStr">
        <is>
          <t>A 3954-2024</t>
        </is>
      </c>
      <c r="B305" s="1" t="n">
        <v>45322</v>
      </c>
      <c r="C305" s="1" t="n">
        <v>45570</v>
      </c>
      <c r="D305" t="inlineStr">
        <is>
          <t>SKÅNE LÄN</t>
        </is>
      </c>
      <c r="E305" t="inlineStr">
        <is>
          <t>KRISTIANSTAD</t>
        </is>
      </c>
      <c r="G305" t="n">
        <v>1.2</v>
      </c>
      <c r="H305" t="n">
        <v>0</v>
      </c>
      <c r="I305" t="n">
        <v>0</v>
      </c>
      <c r="J305" t="n">
        <v>0</v>
      </c>
      <c r="K305" t="n">
        <v>1</v>
      </c>
      <c r="L305" t="n">
        <v>0</v>
      </c>
      <c r="M305" t="n">
        <v>0</v>
      </c>
      <c r="N305" t="n">
        <v>0</v>
      </c>
      <c r="O305" t="n">
        <v>1</v>
      </c>
      <c r="P305" t="n">
        <v>1</v>
      </c>
      <c r="Q305" t="n">
        <v>1</v>
      </c>
      <c r="R305" s="2" t="inlineStr">
        <is>
          <t>Slåttergubbe</t>
        </is>
      </c>
      <c r="S305">
        <f>HYPERLINK("https://klasma.github.io/Logging_1290/artfynd/A 3954-2024 artfynd.xlsx", "A 3954-2024")</f>
        <v/>
      </c>
      <c r="T305">
        <f>HYPERLINK("https://klasma.github.io/Logging_1290/kartor/A 3954-2024 karta.png", "A 3954-2024")</f>
        <v/>
      </c>
      <c r="V305">
        <f>HYPERLINK("https://klasma.github.io/Logging_1290/klagomål/A 3954-2024 FSC-klagomål.docx", "A 3954-2024")</f>
        <v/>
      </c>
      <c r="W305">
        <f>HYPERLINK("https://klasma.github.io/Logging_1290/klagomålsmail/A 3954-2024 FSC-klagomål mail.docx", "A 3954-2024")</f>
        <v/>
      </c>
      <c r="X305">
        <f>HYPERLINK("https://klasma.github.io/Logging_1290/tillsyn/A 3954-2024 tillsynsbegäran.docx", "A 3954-2024")</f>
        <v/>
      </c>
      <c r="Y305">
        <f>HYPERLINK("https://klasma.github.io/Logging_1290/tillsynsmail/A 3954-2024 tillsynsbegäran mail.docx", "A 3954-2024")</f>
        <v/>
      </c>
    </row>
    <row r="306" ht="15" customHeight="1">
      <c r="A306" t="inlineStr">
        <is>
          <t>A 5423-2024</t>
        </is>
      </c>
      <c r="B306" s="1" t="n">
        <v>45331</v>
      </c>
      <c r="C306" s="1" t="n">
        <v>45570</v>
      </c>
      <c r="D306" t="inlineStr">
        <is>
          <t>SKÅNE LÄN</t>
        </is>
      </c>
      <c r="E306" t="inlineStr">
        <is>
          <t>HÖÖR</t>
        </is>
      </c>
      <c r="G306" t="n">
        <v>6.2</v>
      </c>
      <c r="H306" t="n">
        <v>0</v>
      </c>
      <c r="I306" t="n">
        <v>0</v>
      </c>
      <c r="J306" t="n">
        <v>1</v>
      </c>
      <c r="K306" t="n">
        <v>0</v>
      </c>
      <c r="L306" t="n">
        <v>0</v>
      </c>
      <c r="M306" t="n">
        <v>0</v>
      </c>
      <c r="N306" t="n">
        <v>0</v>
      </c>
      <c r="O306" t="n">
        <v>1</v>
      </c>
      <c r="P306" t="n">
        <v>0</v>
      </c>
      <c r="Q306" t="n">
        <v>1</v>
      </c>
      <c r="R306" s="2" t="inlineStr">
        <is>
          <t>Igelkott</t>
        </is>
      </c>
      <c r="S306">
        <f>HYPERLINK("https://klasma.github.io/Logging_1267/artfynd/A 5423-2024 artfynd.xlsx", "A 5423-2024")</f>
        <v/>
      </c>
      <c r="T306">
        <f>HYPERLINK("https://klasma.github.io/Logging_1267/kartor/A 5423-2024 karta.png", "A 5423-2024")</f>
        <v/>
      </c>
      <c r="V306">
        <f>HYPERLINK("https://klasma.github.io/Logging_1267/klagomål/A 5423-2024 FSC-klagomål.docx", "A 5423-2024")</f>
        <v/>
      </c>
      <c r="W306">
        <f>HYPERLINK("https://klasma.github.io/Logging_1267/klagomålsmail/A 5423-2024 FSC-klagomål mail.docx", "A 5423-2024")</f>
        <v/>
      </c>
      <c r="X306">
        <f>HYPERLINK("https://klasma.github.io/Logging_1267/tillsyn/A 5423-2024 tillsynsbegäran.docx", "A 5423-2024")</f>
        <v/>
      </c>
      <c r="Y306">
        <f>HYPERLINK("https://klasma.github.io/Logging_1267/tillsynsmail/A 5423-2024 tillsynsbegäran mail.docx", "A 5423-2024")</f>
        <v/>
      </c>
    </row>
    <row r="307" ht="15" customHeight="1">
      <c r="A307" t="inlineStr">
        <is>
          <t>A 6245-2024</t>
        </is>
      </c>
      <c r="B307" s="1" t="n">
        <v>45337</v>
      </c>
      <c r="C307" s="1" t="n">
        <v>45570</v>
      </c>
      <c r="D307" t="inlineStr">
        <is>
          <t>SKÅNE LÄN</t>
        </is>
      </c>
      <c r="E307" t="inlineStr">
        <is>
          <t>KRISTIANSTAD</t>
        </is>
      </c>
      <c r="F307" t="inlineStr">
        <is>
          <t>Övriga Aktiebolag</t>
        </is>
      </c>
      <c r="G307" t="n">
        <v>8.699999999999999</v>
      </c>
      <c r="H307" t="n">
        <v>0</v>
      </c>
      <c r="I307" t="n">
        <v>0</v>
      </c>
      <c r="J307" t="n">
        <v>0</v>
      </c>
      <c r="K307" t="n">
        <v>1</v>
      </c>
      <c r="L307" t="n">
        <v>0</v>
      </c>
      <c r="M307" t="n">
        <v>0</v>
      </c>
      <c r="N307" t="n">
        <v>0</v>
      </c>
      <c r="O307" t="n">
        <v>1</v>
      </c>
      <c r="P307" t="n">
        <v>1</v>
      </c>
      <c r="Q307" t="n">
        <v>1</v>
      </c>
      <c r="R307" s="2" t="inlineStr">
        <is>
          <t>Flenörtskapuschongfly</t>
        </is>
      </c>
      <c r="S307">
        <f>HYPERLINK("https://klasma.github.io/Logging_1290/artfynd/A 6245-2024 artfynd.xlsx", "A 6245-2024")</f>
        <v/>
      </c>
      <c r="T307">
        <f>HYPERLINK("https://klasma.github.io/Logging_1290/kartor/A 6245-2024 karta.png", "A 6245-2024")</f>
        <v/>
      </c>
      <c r="V307">
        <f>HYPERLINK("https://klasma.github.io/Logging_1290/klagomål/A 6245-2024 FSC-klagomål.docx", "A 6245-2024")</f>
        <v/>
      </c>
      <c r="W307">
        <f>HYPERLINK("https://klasma.github.io/Logging_1290/klagomålsmail/A 6245-2024 FSC-klagomål mail.docx", "A 6245-2024")</f>
        <v/>
      </c>
      <c r="X307">
        <f>HYPERLINK("https://klasma.github.io/Logging_1290/tillsyn/A 6245-2024 tillsynsbegäran.docx", "A 6245-2024")</f>
        <v/>
      </c>
      <c r="Y307">
        <f>HYPERLINK("https://klasma.github.io/Logging_1290/tillsynsmail/A 6245-2024 tillsynsbegäran mail.docx", "A 6245-2024")</f>
        <v/>
      </c>
    </row>
    <row r="308" ht="15" customHeight="1">
      <c r="A308" t="inlineStr">
        <is>
          <t>A 6634-2024</t>
        </is>
      </c>
      <c r="B308" s="1" t="n">
        <v>45341</v>
      </c>
      <c r="C308" s="1" t="n">
        <v>45570</v>
      </c>
      <c r="D308" t="inlineStr">
        <is>
          <t>SKÅNE LÄN</t>
        </is>
      </c>
      <c r="E308" t="inlineStr">
        <is>
          <t>HÄSSLEHOLM</t>
        </is>
      </c>
      <c r="G308" t="n">
        <v>1.9</v>
      </c>
      <c r="H308" t="n">
        <v>0</v>
      </c>
      <c r="I308" t="n">
        <v>0</v>
      </c>
      <c r="J308" t="n">
        <v>0</v>
      </c>
      <c r="K308" t="n">
        <v>1</v>
      </c>
      <c r="L308" t="n">
        <v>0</v>
      </c>
      <c r="M308" t="n">
        <v>0</v>
      </c>
      <c r="N308" t="n">
        <v>0</v>
      </c>
      <c r="O308" t="n">
        <v>1</v>
      </c>
      <c r="P308" t="n">
        <v>1</v>
      </c>
      <c r="Q308" t="n">
        <v>1</v>
      </c>
      <c r="R308" s="2" t="inlineStr">
        <is>
          <t>Revig blodrot</t>
        </is>
      </c>
      <c r="S308">
        <f>HYPERLINK("https://klasma.github.io/Logging_1293/artfynd/A 6634-2024 artfynd.xlsx", "A 6634-2024")</f>
        <v/>
      </c>
      <c r="T308">
        <f>HYPERLINK("https://klasma.github.io/Logging_1293/kartor/A 6634-2024 karta.png", "A 6634-2024")</f>
        <v/>
      </c>
      <c r="V308">
        <f>HYPERLINK("https://klasma.github.io/Logging_1293/klagomål/A 6634-2024 FSC-klagomål.docx", "A 6634-2024")</f>
        <v/>
      </c>
      <c r="W308">
        <f>HYPERLINK("https://klasma.github.io/Logging_1293/klagomålsmail/A 6634-2024 FSC-klagomål mail.docx", "A 6634-2024")</f>
        <v/>
      </c>
      <c r="X308">
        <f>HYPERLINK("https://klasma.github.io/Logging_1293/tillsyn/A 6634-2024 tillsynsbegäran.docx", "A 6634-2024")</f>
        <v/>
      </c>
      <c r="Y308">
        <f>HYPERLINK("https://klasma.github.io/Logging_1293/tillsynsmail/A 6634-2024 tillsynsbegäran mail.docx", "A 6634-2024")</f>
        <v/>
      </c>
    </row>
    <row r="309" ht="15" customHeight="1">
      <c r="A309" t="inlineStr">
        <is>
          <t>A 7559-2024</t>
        </is>
      </c>
      <c r="B309" s="1" t="n">
        <v>45348</v>
      </c>
      <c r="C309" s="1" t="n">
        <v>45570</v>
      </c>
      <c r="D309" t="inlineStr">
        <is>
          <t>SKÅNE LÄN</t>
        </is>
      </c>
      <c r="E309" t="inlineStr">
        <is>
          <t>SVALÖV</t>
        </is>
      </c>
      <c r="G309" t="n">
        <v>10.2</v>
      </c>
      <c r="H309" t="n">
        <v>1</v>
      </c>
      <c r="I309" t="n">
        <v>0</v>
      </c>
      <c r="J309" t="n">
        <v>1</v>
      </c>
      <c r="K309" t="n">
        <v>0</v>
      </c>
      <c r="L309" t="n">
        <v>0</v>
      </c>
      <c r="M309" t="n">
        <v>0</v>
      </c>
      <c r="N309" t="n">
        <v>0</v>
      </c>
      <c r="O309" t="n">
        <v>1</v>
      </c>
      <c r="P309" t="n">
        <v>0</v>
      </c>
      <c r="Q309" t="n">
        <v>1</v>
      </c>
      <c r="R309" s="2" t="inlineStr">
        <is>
          <t>Entita</t>
        </is>
      </c>
      <c r="S309">
        <f>HYPERLINK("https://klasma.github.io/Logging_1214/artfynd/A 7559-2024 artfynd.xlsx", "A 7559-2024")</f>
        <v/>
      </c>
      <c r="T309">
        <f>HYPERLINK("https://klasma.github.io/Logging_1214/kartor/A 7559-2024 karta.png", "A 7559-2024")</f>
        <v/>
      </c>
      <c r="V309">
        <f>HYPERLINK("https://klasma.github.io/Logging_1214/klagomål/A 7559-2024 FSC-klagomål.docx", "A 7559-2024")</f>
        <v/>
      </c>
      <c r="W309">
        <f>HYPERLINK("https://klasma.github.io/Logging_1214/klagomålsmail/A 7559-2024 FSC-klagomål mail.docx", "A 7559-2024")</f>
        <v/>
      </c>
      <c r="X309">
        <f>HYPERLINK("https://klasma.github.io/Logging_1214/tillsyn/A 7559-2024 tillsynsbegäran.docx", "A 7559-2024")</f>
        <v/>
      </c>
      <c r="Y309">
        <f>HYPERLINK("https://klasma.github.io/Logging_1214/tillsynsmail/A 7559-2024 tillsynsbegäran mail.docx", "A 7559-2024")</f>
        <v/>
      </c>
      <c r="Z309">
        <f>HYPERLINK("https://klasma.github.io/Logging_1214/fåglar/A 7559-2024 prioriterade fågelarter.docx", "A 7559-2024")</f>
        <v/>
      </c>
    </row>
    <row r="310" ht="15" customHeight="1">
      <c r="A310" t="inlineStr">
        <is>
          <t>A 7862-2024</t>
        </is>
      </c>
      <c r="B310" s="1" t="n">
        <v>45348</v>
      </c>
      <c r="C310" s="1" t="n">
        <v>45570</v>
      </c>
      <c r="D310" t="inlineStr">
        <is>
          <t>SKÅNE LÄN</t>
        </is>
      </c>
      <c r="E310" t="inlineStr">
        <is>
          <t>HÄSSLEHOLM</t>
        </is>
      </c>
      <c r="G310" t="n">
        <v>5</v>
      </c>
      <c r="H310" t="n">
        <v>0</v>
      </c>
      <c r="I310" t="n">
        <v>1</v>
      </c>
      <c r="J310" t="n">
        <v>0</v>
      </c>
      <c r="K310" t="n">
        <v>0</v>
      </c>
      <c r="L310" t="n">
        <v>0</v>
      </c>
      <c r="M310" t="n">
        <v>0</v>
      </c>
      <c r="N310" t="n">
        <v>0</v>
      </c>
      <c r="O310" t="n">
        <v>0</v>
      </c>
      <c r="P310" t="n">
        <v>0</v>
      </c>
      <c r="Q310" t="n">
        <v>1</v>
      </c>
      <c r="R310" s="2" t="inlineStr">
        <is>
          <t>Stor revmossa</t>
        </is>
      </c>
      <c r="S310">
        <f>HYPERLINK("https://klasma.github.io/Logging_1293/artfynd/A 7862-2024 artfynd.xlsx", "A 7862-2024")</f>
        <v/>
      </c>
      <c r="T310">
        <f>HYPERLINK("https://klasma.github.io/Logging_1293/kartor/A 7862-2024 karta.png", "A 7862-2024")</f>
        <v/>
      </c>
      <c r="V310">
        <f>HYPERLINK("https://klasma.github.io/Logging_1293/klagomål/A 7862-2024 FSC-klagomål.docx", "A 7862-2024")</f>
        <v/>
      </c>
      <c r="W310">
        <f>HYPERLINK("https://klasma.github.io/Logging_1293/klagomålsmail/A 7862-2024 FSC-klagomål mail.docx", "A 7862-2024")</f>
        <v/>
      </c>
      <c r="X310">
        <f>HYPERLINK("https://klasma.github.io/Logging_1293/tillsyn/A 7862-2024 tillsynsbegäran.docx", "A 7862-2024")</f>
        <v/>
      </c>
      <c r="Y310">
        <f>HYPERLINK("https://klasma.github.io/Logging_1293/tillsynsmail/A 7862-2024 tillsynsbegäran mail.docx", "A 7862-2024")</f>
        <v/>
      </c>
    </row>
    <row r="311" ht="15" customHeight="1">
      <c r="A311" t="inlineStr">
        <is>
          <t>A 8150-2024</t>
        </is>
      </c>
      <c r="B311" s="1" t="n">
        <v>45351</v>
      </c>
      <c r="C311" s="1" t="n">
        <v>45570</v>
      </c>
      <c r="D311" t="inlineStr">
        <is>
          <t>SKÅNE LÄN</t>
        </is>
      </c>
      <c r="E311" t="inlineStr">
        <is>
          <t>SJÖBO</t>
        </is>
      </c>
      <c r="G311" t="n">
        <v>1.3</v>
      </c>
      <c r="H311" t="n">
        <v>0</v>
      </c>
      <c r="I311" t="n">
        <v>0</v>
      </c>
      <c r="J311" t="n">
        <v>0</v>
      </c>
      <c r="K311" t="n">
        <v>1</v>
      </c>
      <c r="L311" t="n">
        <v>0</v>
      </c>
      <c r="M311" t="n">
        <v>0</v>
      </c>
      <c r="N311" t="n">
        <v>0</v>
      </c>
      <c r="O311" t="n">
        <v>1</v>
      </c>
      <c r="P311" t="n">
        <v>1</v>
      </c>
      <c r="Q311" t="n">
        <v>1</v>
      </c>
      <c r="R311" s="2" t="inlineStr">
        <is>
          <t>Fläcklungört</t>
        </is>
      </c>
      <c r="S311">
        <f>HYPERLINK("https://klasma.github.io/Logging_1265/artfynd/A 8150-2024 artfynd.xlsx", "A 8150-2024")</f>
        <v/>
      </c>
      <c r="T311">
        <f>HYPERLINK("https://klasma.github.io/Logging_1265/kartor/A 8150-2024 karta.png", "A 8150-2024")</f>
        <v/>
      </c>
      <c r="V311">
        <f>HYPERLINK("https://klasma.github.io/Logging_1265/klagomål/A 8150-2024 FSC-klagomål.docx", "A 8150-2024")</f>
        <v/>
      </c>
      <c r="W311">
        <f>HYPERLINK("https://klasma.github.io/Logging_1265/klagomålsmail/A 8150-2024 FSC-klagomål mail.docx", "A 8150-2024")</f>
        <v/>
      </c>
      <c r="X311">
        <f>HYPERLINK("https://klasma.github.io/Logging_1265/tillsyn/A 8150-2024 tillsynsbegäran.docx", "A 8150-2024")</f>
        <v/>
      </c>
      <c r="Y311">
        <f>HYPERLINK("https://klasma.github.io/Logging_1265/tillsynsmail/A 8150-2024 tillsynsbegäran mail.docx", "A 8150-2024")</f>
        <v/>
      </c>
    </row>
    <row r="312" ht="15" customHeight="1">
      <c r="A312" t="inlineStr">
        <is>
          <t>A 8169-2024</t>
        </is>
      </c>
      <c r="B312" s="1" t="n">
        <v>45351</v>
      </c>
      <c r="C312" s="1" t="n">
        <v>45570</v>
      </c>
      <c r="D312" t="inlineStr">
        <is>
          <t>SKÅNE LÄN</t>
        </is>
      </c>
      <c r="E312" t="inlineStr">
        <is>
          <t>SVALÖV</t>
        </is>
      </c>
      <c r="G312" t="n">
        <v>3.1</v>
      </c>
      <c r="H312" t="n">
        <v>0</v>
      </c>
      <c r="I312" t="n">
        <v>0</v>
      </c>
      <c r="J312" t="n">
        <v>1</v>
      </c>
      <c r="K312" t="n">
        <v>0</v>
      </c>
      <c r="L312" t="n">
        <v>0</v>
      </c>
      <c r="M312" t="n">
        <v>0</v>
      </c>
      <c r="N312" t="n">
        <v>0</v>
      </c>
      <c r="O312" t="n">
        <v>1</v>
      </c>
      <c r="P312" t="n">
        <v>0</v>
      </c>
      <c r="Q312" t="n">
        <v>1</v>
      </c>
      <c r="R312" s="2" t="inlineStr">
        <is>
          <t>Mjukdån</t>
        </is>
      </c>
      <c r="S312">
        <f>HYPERLINK("https://klasma.github.io/Logging_1214/artfynd/A 8169-2024 artfynd.xlsx", "A 8169-2024")</f>
        <v/>
      </c>
      <c r="T312">
        <f>HYPERLINK("https://klasma.github.io/Logging_1214/kartor/A 8169-2024 karta.png", "A 8169-2024")</f>
        <v/>
      </c>
      <c r="V312">
        <f>HYPERLINK("https://klasma.github.io/Logging_1214/klagomål/A 8169-2024 FSC-klagomål.docx", "A 8169-2024")</f>
        <v/>
      </c>
      <c r="W312">
        <f>HYPERLINK("https://klasma.github.io/Logging_1214/klagomålsmail/A 8169-2024 FSC-klagomål mail.docx", "A 8169-2024")</f>
        <v/>
      </c>
      <c r="X312">
        <f>HYPERLINK("https://klasma.github.io/Logging_1214/tillsyn/A 8169-2024 tillsynsbegäran.docx", "A 8169-2024")</f>
        <v/>
      </c>
      <c r="Y312">
        <f>HYPERLINK("https://klasma.github.io/Logging_1214/tillsynsmail/A 8169-2024 tillsynsbegäran mail.docx", "A 8169-2024")</f>
        <v/>
      </c>
    </row>
    <row r="313" ht="15" customHeight="1">
      <c r="A313" t="inlineStr">
        <is>
          <t>A 9758-2024</t>
        </is>
      </c>
      <c r="B313" s="1" t="n">
        <v>45362</v>
      </c>
      <c r="C313" s="1" t="n">
        <v>45570</v>
      </c>
      <c r="D313" t="inlineStr">
        <is>
          <t>SKÅNE LÄN</t>
        </is>
      </c>
      <c r="E313" t="inlineStr">
        <is>
          <t>LUND</t>
        </is>
      </c>
      <c r="G313" t="n">
        <v>12.4</v>
      </c>
      <c r="H313" t="n">
        <v>1</v>
      </c>
      <c r="I313" t="n">
        <v>0</v>
      </c>
      <c r="J313" t="n">
        <v>0</v>
      </c>
      <c r="K313" t="n">
        <v>0</v>
      </c>
      <c r="L313" t="n">
        <v>0</v>
      </c>
      <c r="M313" t="n">
        <v>0</v>
      </c>
      <c r="N313" t="n">
        <v>0</v>
      </c>
      <c r="O313" t="n">
        <v>0</v>
      </c>
      <c r="P313" t="n">
        <v>0</v>
      </c>
      <c r="Q313" t="n">
        <v>1</v>
      </c>
      <c r="R313" s="2" t="inlineStr">
        <is>
          <t>Grönvit nattviol</t>
        </is>
      </c>
      <c r="S313">
        <f>HYPERLINK("https://klasma.github.io/Logging_1281/artfynd/A 9758-2024 artfynd.xlsx", "A 9758-2024")</f>
        <v/>
      </c>
      <c r="T313">
        <f>HYPERLINK("https://klasma.github.io/Logging_1281/kartor/A 9758-2024 karta.png", "A 9758-2024")</f>
        <v/>
      </c>
      <c r="V313">
        <f>HYPERLINK("https://klasma.github.io/Logging_1281/klagomål/A 9758-2024 FSC-klagomål.docx", "A 9758-2024")</f>
        <v/>
      </c>
      <c r="W313">
        <f>HYPERLINK("https://klasma.github.io/Logging_1281/klagomålsmail/A 9758-2024 FSC-klagomål mail.docx", "A 9758-2024")</f>
        <v/>
      </c>
      <c r="X313">
        <f>HYPERLINK("https://klasma.github.io/Logging_1281/tillsyn/A 9758-2024 tillsynsbegäran.docx", "A 9758-2024")</f>
        <v/>
      </c>
      <c r="Y313">
        <f>HYPERLINK("https://klasma.github.io/Logging_1281/tillsynsmail/A 9758-2024 tillsynsbegäran mail.docx", "A 9758-2024")</f>
        <v/>
      </c>
    </row>
    <row r="314" ht="15" customHeight="1">
      <c r="A314" t="inlineStr">
        <is>
          <t>A 10056-2024</t>
        </is>
      </c>
      <c r="B314" s="1" t="n">
        <v>45364</v>
      </c>
      <c r="C314" s="1" t="n">
        <v>45570</v>
      </c>
      <c r="D314" t="inlineStr">
        <is>
          <t>SKÅNE LÄN</t>
        </is>
      </c>
      <c r="E314" t="inlineStr">
        <is>
          <t>OSBY</t>
        </is>
      </c>
      <c r="G314" t="n">
        <v>6</v>
      </c>
      <c r="H314" t="n">
        <v>1</v>
      </c>
      <c r="I314" t="n">
        <v>0</v>
      </c>
      <c r="J314" t="n">
        <v>0</v>
      </c>
      <c r="K314" t="n">
        <v>0</v>
      </c>
      <c r="L314" t="n">
        <v>0</v>
      </c>
      <c r="M314" t="n">
        <v>0</v>
      </c>
      <c r="N314" t="n">
        <v>0</v>
      </c>
      <c r="O314" t="n">
        <v>0</v>
      </c>
      <c r="P314" t="n">
        <v>0</v>
      </c>
      <c r="Q314" t="n">
        <v>1</v>
      </c>
      <c r="R314" s="2" t="inlineStr">
        <is>
          <t>Grönvit nattviol</t>
        </is>
      </c>
      <c r="S314">
        <f>HYPERLINK("https://klasma.github.io/Logging_1273/artfynd/A 10056-2024 artfynd.xlsx", "A 10056-2024")</f>
        <v/>
      </c>
      <c r="T314">
        <f>HYPERLINK("https://klasma.github.io/Logging_1273/kartor/A 10056-2024 karta.png", "A 10056-2024")</f>
        <v/>
      </c>
      <c r="V314">
        <f>HYPERLINK("https://klasma.github.io/Logging_1273/klagomål/A 10056-2024 FSC-klagomål.docx", "A 10056-2024")</f>
        <v/>
      </c>
      <c r="W314">
        <f>HYPERLINK("https://klasma.github.io/Logging_1273/klagomålsmail/A 10056-2024 FSC-klagomål mail.docx", "A 10056-2024")</f>
        <v/>
      </c>
      <c r="X314">
        <f>HYPERLINK("https://klasma.github.io/Logging_1273/tillsyn/A 10056-2024 tillsynsbegäran.docx", "A 10056-2024")</f>
        <v/>
      </c>
      <c r="Y314">
        <f>HYPERLINK("https://klasma.github.io/Logging_1273/tillsynsmail/A 10056-2024 tillsynsbegäran mail.docx", "A 10056-2024")</f>
        <v/>
      </c>
    </row>
    <row r="315" ht="15" customHeight="1">
      <c r="A315" t="inlineStr">
        <is>
          <t>A 11731-2024</t>
        </is>
      </c>
      <c r="B315" s="1" t="n">
        <v>45373</v>
      </c>
      <c r="C315" s="1" t="n">
        <v>45570</v>
      </c>
      <c r="D315" t="inlineStr">
        <is>
          <t>SKÅNE LÄN</t>
        </is>
      </c>
      <c r="E315" t="inlineStr">
        <is>
          <t>LUND</t>
        </is>
      </c>
      <c r="G315" t="n">
        <v>14.5</v>
      </c>
      <c r="H315" t="n">
        <v>0</v>
      </c>
      <c r="I315" t="n">
        <v>1</v>
      </c>
      <c r="J315" t="n">
        <v>0</v>
      </c>
      <c r="K315" t="n">
        <v>0</v>
      </c>
      <c r="L315" t="n">
        <v>0</v>
      </c>
      <c r="M315" t="n">
        <v>0</v>
      </c>
      <c r="N315" t="n">
        <v>0</v>
      </c>
      <c r="O315" t="n">
        <v>0</v>
      </c>
      <c r="P315" t="n">
        <v>0</v>
      </c>
      <c r="Q315" t="n">
        <v>1</v>
      </c>
      <c r="R315" s="2" t="inlineStr">
        <is>
          <t>Skogsbräsma</t>
        </is>
      </c>
      <c r="S315">
        <f>HYPERLINK("https://klasma.github.io/Logging_1281/artfynd/A 11731-2024 artfynd.xlsx", "A 11731-2024")</f>
        <v/>
      </c>
      <c r="T315">
        <f>HYPERLINK("https://klasma.github.io/Logging_1281/kartor/A 11731-2024 karta.png", "A 11731-2024")</f>
        <v/>
      </c>
      <c r="V315">
        <f>HYPERLINK("https://klasma.github.io/Logging_1281/klagomål/A 11731-2024 FSC-klagomål.docx", "A 11731-2024")</f>
        <v/>
      </c>
      <c r="W315">
        <f>HYPERLINK("https://klasma.github.io/Logging_1281/klagomålsmail/A 11731-2024 FSC-klagomål mail.docx", "A 11731-2024")</f>
        <v/>
      </c>
      <c r="X315">
        <f>HYPERLINK("https://klasma.github.io/Logging_1281/tillsyn/A 11731-2024 tillsynsbegäran.docx", "A 11731-2024")</f>
        <v/>
      </c>
      <c r="Y315">
        <f>HYPERLINK("https://klasma.github.io/Logging_1281/tillsynsmail/A 11731-2024 tillsynsbegäran mail.docx", "A 11731-2024")</f>
        <v/>
      </c>
    </row>
    <row r="316" ht="15" customHeight="1">
      <c r="A316" t="inlineStr">
        <is>
          <t>A 12892-2024</t>
        </is>
      </c>
      <c r="B316" s="1" t="n">
        <v>45385</v>
      </c>
      <c r="C316" s="1" t="n">
        <v>45570</v>
      </c>
      <c r="D316" t="inlineStr">
        <is>
          <t>SKÅNE LÄN</t>
        </is>
      </c>
      <c r="E316" t="inlineStr">
        <is>
          <t>HÖRBY</t>
        </is>
      </c>
      <c r="G316" t="n">
        <v>1.5</v>
      </c>
      <c r="H316" t="n">
        <v>0</v>
      </c>
      <c r="I316" t="n">
        <v>1</v>
      </c>
      <c r="J316" t="n">
        <v>0</v>
      </c>
      <c r="K316" t="n">
        <v>0</v>
      </c>
      <c r="L316" t="n">
        <v>0</v>
      </c>
      <c r="M316" t="n">
        <v>0</v>
      </c>
      <c r="N316" t="n">
        <v>0</v>
      </c>
      <c r="O316" t="n">
        <v>0</v>
      </c>
      <c r="P316" t="n">
        <v>0</v>
      </c>
      <c r="Q316" t="n">
        <v>1</v>
      </c>
      <c r="R316" s="2" t="inlineStr">
        <is>
          <t>Blåmossa</t>
        </is>
      </c>
      <c r="S316">
        <f>HYPERLINK("https://klasma.github.io/Logging_1266/artfynd/A 12892-2024 artfynd.xlsx", "A 12892-2024")</f>
        <v/>
      </c>
      <c r="T316">
        <f>HYPERLINK("https://klasma.github.io/Logging_1266/kartor/A 12892-2024 karta.png", "A 12892-2024")</f>
        <v/>
      </c>
      <c r="V316">
        <f>HYPERLINK("https://klasma.github.io/Logging_1266/klagomål/A 12892-2024 FSC-klagomål.docx", "A 12892-2024")</f>
        <v/>
      </c>
      <c r="W316">
        <f>HYPERLINK("https://klasma.github.io/Logging_1266/klagomålsmail/A 12892-2024 FSC-klagomål mail.docx", "A 12892-2024")</f>
        <v/>
      </c>
      <c r="X316">
        <f>HYPERLINK("https://klasma.github.io/Logging_1266/tillsyn/A 12892-2024 tillsynsbegäran.docx", "A 12892-2024")</f>
        <v/>
      </c>
      <c r="Y316">
        <f>HYPERLINK("https://klasma.github.io/Logging_1266/tillsynsmail/A 12892-2024 tillsynsbegäran mail.docx", "A 12892-2024")</f>
        <v/>
      </c>
    </row>
    <row r="317" ht="15" customHeight="1">
      <c r="A317" t="inlineStr">
        <is>
          <t>A 12934-2024</t>
        </is>
      </c>
      <c r="B317" s="1" t="n">
        <v>45385</v>
      </c>
      <c r="C317" s="1" t="n">
        <v>45570</v>
      </c>
      <c r="D317" t="inlineStr">
        <is>
          <t>SKÅNE LÄN</t>
        </is>
      </c>
      <c r="E317" t="inlineStr">
        <is>
          <t>TOMELILLA</t>
        </is>
      </c>
      <c r="F317" t="inlineStr">
        <is>
          <t>Övriga Aktiebolag</t>
        </is>
      </c>
      <c r="G317" t="n">
        <v>22</v>
      </c>
      <c r="H317" t="n">
        <v>0</v>
      </c>
      <c r="I317" t="n">
        <v>0</v>
      </c>
      <c r="J317" t="n">
        <v>1</v>
      </c>
      <c r="K317" t="n">
        <v>0</v>
      </c>
      <c r="L317" t="n">
        <v>0</v>
      </c>
      <c r="M317" t="n">
        <v>0</v>
      </c>
      <c r="N317" t="n">
        <v>0</v>
      </c>
      <c r="O317" t="n">
        <v>1</v>
      </c>
      <c r="P317" t="n">
        <v>0</v>
      </c>
      <c r="Q317" t="n">
        <v>1</v>
      </c>
      <c r="R317" s="2" t="inlineStr">
        <is>
          <t>Mindre bastardsvärmare</t>
        </is>
      </c>
      <c r="S317">
        <f>HYPERLINK("https://klasma.github.io/Logging_1270/artfynd/A 12934-2024 artfynd.xlsx", "A 12934-2024")</f>
        <v/>
      </c>
      <c r="T317">
        <f>HYPERLINK("https://klasma.github.io/Logging_1270/kartor/A 12934-2024 karta.png", "A 12934-2024")</f>
        <v/>
      </c>
      <c r="V317">
        <f>HYPERLINK("https://klasma.github.io/Logging_1270/klagomål/A 12934-2024 FSC-klagomål.docx", "A 12934-2024")</f>
        <v/>
      </c>
      <c r="W317">
        <f>HYPERLINK("https://klasma.github.io/Logging_1270/klagomålsmail/A 12934-2024 FSC-klagomål mail.docx", "A 12934-2024")</f>
        <v/>
      </c>
      <c r="X317">
        <f>HYPERLINK("https://klasma.github.io/Logging_1270/tillsyn/A 12934-2024 tillsynsbegäran.docx", "A 12934-2024")</f>
        <v/>
      </c>
      <c r="Y317">
        <f>HYPERLINK("https://klasma.github.io/Logging_1270/tillsynsmail/A 12934-2024 tillsynsbegäran mail.docx", "A 12934-2024")</f>
        <v/>
      </c>
    </row>
    <row r="318" ht="15" customHeight="1">
      <c r="A318" t="inlineStr">
        <is>
          <t>A 15456-2024</t>
        </is>
      </c>
      <c r="B318" s="1" t="n">
        <v>45401</v>
      </c>
      <c r="C318" s="1" t="n">
        <v>45570</v>
      </c>
      <c r="D318" t="inlineStr">
        <is>
          <t>SKÅNE LÄN</t>
        </is>
      </c>
      <c r="E318" t="inlineStr">
        <is>
          <t>SVALÖV</t>
        </is>
      </c>
      <c r="G318" t="n">
        <v>2.5</v>
      </c>
      <c r="H318" t="n">
        <v>0</v>
      </c>
      <c r="I318" t="n">
        <v>0</v>
      </c>
      <c r="J318" t="n">
        <v>0</v>
      </c>
      <c r="K318" t="n">
        <v>1</v>
      </c>
      <c r="L318" t="n">
        <v>0</v>
      </c>
      <c r="M318" t="n">
        <v>0</v>
      </c>
      <c r="N318" t="n">
        <v>0</v>
      </c>
      <c r="O318" t="n">
        <v>1</v>
      </c>
      <c r="P318" t="n">
        <v>1</v>
      </c>
      <c r="Q318" t="n">
        <v>1</v>
      </c>
      <c r="R318" s="2" t="inlineStr">
        <is>
          <t>Lundticka</t>
        </is>
      </c>
      <c r="S318">
        <f>HYPERLINK("https://klasma.github.io/Logging_1214/artfynd/A 15456-2024 artfynd.xlsx", "A 15456-2024")</f>
        <v/>
      </c>
      <c r="T318">
        <f>HYPERLINK("https://klasma.github.io/Logging_1214/kartor/A 15456-2024 karta.png", "A 15456-2024")</f>
        <v/>
      </c>
      <c r="V318">
        <f>HYPERLINK("https://klasma.github.io/Logging_1214/klagomål/A 15456-2024 FSC-klagomål.docx", "A 15456-2024")</f>
        <v/>
      </c>
      <c r="W318">
        <f>HYPERLINK("https://klasma.github.io/Logging_1214/klagomålsmail/A 15456-2024 FSC-klagomål mail.docx", "A 15456-2024")</f>
        <v/>
      </c>
      <c r="X318">
        <f>HYPERLINK("https://klasma.github.io/Logging_1214/tillsyn/A 15456-2024 tillsynsbegäran.docx", "A 15456-2024")</f>
        <v/>
      </c>
      <c r="Y318">
        <f>HYPERLINK("https://klasma.github.io/Logging_1214/tillsynsmail/A 15456-2024 tillsynsbegäran mail.docx", "A 15456-2024")</f>
        <v/>
      </c>
    </row>
    <row r="319" ht="15" customHeight="1">
      <c r="A319" t="inlineStr">
        <is>
          <t>A 15475-2024</t>
        </is>
      </c>
      <c r="B319" s="1" t="n">
        <v>45401</v>
      </c>
      <c r="C319" s="1" t="n">
        <v>45570</v>
      </c>
      <c r="D319" t="inlineStr">
        <is>
          <t>SKÅNE LÄN</t>
        </is>
      </c>
      <c r="E319" t="inlineStr">
        <is>
          <t>SVALÖV</t>
        </is>
      </c>
      <c r="G319" t="n">
        <v>4.7</v>
      </c>
      <c r="H319" t="n">
        <v>0</v>
      </c>
      <c r="I319" t="n">
        <v>1</v>
      </c>
      <c r="J319" t="n">
        <v>0</v>
      </c>
      <c r="K319" t="n">
        <v>0</v>
      </c>
      <c r="L319" t="n">
        <v>0</v>
      </c>
      <c r="M319" t="n">
        <v>0</v>
      </c>
      <c r="N319" t="n">
        <v>0</v>
      </c>
      <c r="O319" t="n">
        <v>0</v>
      </c>
      <c r="P319" t="n">
        <v>0</v>
      </c>
      <c r="Q319" t="n">
        <v>1</v>
      </c>
      <c r="R319" s="2" t="inlineStr">
        <is>
          <t>Strutbräken</t>
        </is>
      </c>
      <c r="S319">
        <f>HYPERLINK("https://klasma.github.io/Logging_1214/artfynd/A 15475-2024 artfynd.xlsx", "A 15475-2024")</f>
        <v/>
      </c>
      <c r="T319">
        <f>HYPERLINK("https://klasma.github.io/Logging_1214/kartor/A 15475-2024 karta.png", "A 15475-2024")</f>
        <v/>
      </c>
      <c r="V319">
        <f>HYPERLINK("https://klasma.github.io/Logging_1214/klagomål/A 15475-2024 FSC-klagomål.docx", "A 15475-2024")</f>
        <v/>
      </c>
      <c r="W319">
        <f>HYPERLINK("https://klasma.github.io/Logging_1214/klagomålsmail/A 15475-2024 FSC-klagomål mail.docx", "A 15475-2024")</f>
        <v/>
      </c>
      <c r="X319">
        <f>HYPERLINK("https://klasma.github.io/Logging_1214/tillsyn/A 15475-2024 tillsynsbegäran.docx", "A 15475-2024")</f>
        <v/>
      </c>
      <c r="Y319">
        <f>HYPERLINK("https://klasma.github.io/Logging_1214/tillsynsmail/A 15475-2024 tillsynsbegäran mail.docx", "A 15475-2024")</f>
        <v/>
      </c>
    </row>
    <row r="320" ht="15" customHeight="1">
      <c r="A320" t="inlineStr">
        <is>
          <t>A 17396-2024</t>
        </is>
      </c>
      <c r="B320" s="1" t="n">
        <v>45414</v>
      </c>
      <c r="C320" s="1" t="n">
        <v>45570</v>
      </c>
      <c r="D320" t="inlineStr">
        <is>
          <t>SKÅNE LÄN</t>
        </is>
      </c>
      <c r="E320" t="inlineStr">
        <is>
          <t>BROMÖLLA</t>
        </is>
      </c>
      <c r="G320" t="n">
        <v>1.8</v>
      </c>
      <c r="H320" t="n">
        <v>0</v>
      </c>
      <c r="I320" t="n">
        <v>1</v>
      </c>
      <c r="J320" t="n">
        <v>0</v>
      </c>
      <c r="K320" t="n">
        <v>0</v>
      </c>
      <c r="L320" t="n">
        <v>0</v>
      </c>
      <c r="M320" t="n">
        <v>0</v>
      </c>
      <c r="N320" t="n">
        <v>0</v>
      </c>
      <c r="O320" t="n">
        <v>0</v>
      </c>
      <c r="P320" t="n">
        <v>0</v>
      </c>
      <c r="Q320" t="n">
        <v>1</v>
      </c>
      <c r="R320" s="2" t="inlineStr">
        <is>
          <t>Safsa</t>
        </is>
      </c>
      <c r="S320">
        <f>HYPERLINK("https://klasma.github.io/Logging_1272/artfynd/A 17396-2024 artfynd.xlsx", "A 17396-2024")</f>
        <v/>
      </c>
      <c r="T320">
        <f>HYPERLINK("https://klasma.github.io/Logging_1272/kartor/A 17396-2024 karta.png", "A 17396-2024")</f>
        <v/>
      </c>
      <c r="V320">
        <f>HYPERLINK("https://klasma.github.io/Logging_1272/klagomål/A 17396-2024 FSC-klagomål.docx", "A 17396-2024")</f>
        <v/>
      </c>
      <c r="W320">
        <f>HYPERLINK("https://klasma.github.io/Logging_1272/klagomålsmail/A 17396-2024 FSC-klagomål mail.docx", "A 17396-2024")</f>
        <v/>
      </c>
      <c r="X320">
        <f>HYPERLINK("https://klasma.github.io/Logging_1272/tillsyn/A 17396-2024 tillsynsbegäran.docx", "A 17396-2024")</f>
        <v/>
      </c>
      <c r="Y320">
        <f>HYPERLINK("https://klasma.github.io/Logging_1272/tillsynsmail/A 17396-2024 tillsynsbegäran mail.docx", "A 17396-2024")</f>
        <v/>
      </c>
    </row>
    <row r="321" ht="15" customHeight="1">
      <c r="A321" t="inlineStr">
        <is>
          <t>A 18969-2024</t>
        </is>
      </c>
      <c r="B321" s="1" t="n">
        <v>45427</v>
      </c>
      <c r="C321" s="1" t="n">
        <v>45570</v>
      </c>
      <c r="D321" t="inlineStr">
        <is>
          <t>SKÅNE LÄN</t>
        </is>
      </c>
      <c r="E321" t="inlineStr">
        <is>
          <t>HÄSSLEHOLM</t>
        </is>
      </c>
      <c r="G321" t="n">
        <v>3.2</v>
      </c>
      <c r="H321" t="n">
        <v>1</v>
      </c>
      <c r="I321" t="n">
        <v>0</v>
      </c>
      <c r="J321" t="n">
        <v>0</v>
      </c>
      <c r="K321" t="n">
        <v>0</v>
      </c>
      <c r="L321" t="n">
        <v>0</v>
      </c>
      <c r="M321" t="n">
        <v>0</v>
      </c>
      <c r="N321" t="n">
        <v>0</v>
      </c>
      <c r="O321" t="n">
        <v>0</v>
      </c>
      <c r="P321" t="n">
        <v>0</v>
      </c>
      <c r="Q321" t="n">
        <v>1</v>
      </c>
      <c r="R321" s="2" t="inlineStr">
        <is>
          <t>Vanlig snok</t>
        </is>
      </c>
      <c r="S321">
        <f>HYPERLINK("https://klasma.github.io/Logging_1293/artfynd/A 18969-2024 artfynd.xlsx", "A 18969-2024")</f>
        <v/>
      </c>
      <c r="T321">
        <f>HYPERLINK("https://klasma.github.io/Logging_1293/kartor/A 18969-2024 karta.png", "A 18969-2024")</f>
        <v/>
      </c>
      <c r="V321">
        <f>HYPERLINK("https://klasma.github.io/Logging_1293/klagomål/A 18969-2024 FSC-klagomål.docx", "A 18969-2024")</f>
        <v/>
      </c>
      <c r="W321">
        <f>HYPERLINK("https://klasma.github.io/Logging_1293/klagomålsmail/A 18969-2024 FSC-klagomål mail.docx", "A 18969-2024")</f>
        <v/>
      </c>
      <c r="X321">
        <f>HYPERLINK("https://klasma.github.io/Logging_1293/tillsyn/A 18969-2024 tillsynsbegäran.docx", "A 18969-2024")</f>
        <v/>
      </c>
      <c r="Y321">
        <f>HYPERLINK("https://klasma.github.io/Logging_1293/tillsynsmail/A 18969-2024 tillsynsbegäran mail.docx", "A 18969-2024")</f>
        <v/>
      </c>
    </row>
    <row r="322" ht="15" customHeight="1">
      <c r="A322" t="inlineStr">
        <is>
          <t>A 20090-2024</t>
        </is>
      </c>
      <c r="B322" s="1" t="n">
        <v>45434</v>
      </c>
      <c r="C322" s="1" t="n">
        <v>45570</v>
      </c>
      <c r="D322" t="inlineStr">
        <is>
          <t>SKÅNE LÄN</t>
        </is>
      </c>
      <c r="E322" t="inlineStr">
        <is>
          <t>SIMRISHAMN</t>
        </is>
      </c>
      <c r="G322" t="n">
        <v>2.4</v>
      </c>
      <c r="H322" t="n">
        <v>1</v>
      </c>
      <c r="I322" t="n">
        <v>0</v>
      </c>
      <c r="J322" t="n">
        <v>0</v>
      </c>
      <c r="K322" t="n">
        <v>0</v>
      </c>
      <c r="L322" t="n">
        <v>0</v>
      </c>
      <c r="M322" t="n">
        <v>0</v>
      </c>
      <c r="N322" t="n">
        <v>0</v>
      </c>
      <c r="O322" t="n">
        <v>0</v>
      </c>
      <c r="P322" t="n">
        <v>0</v>
      </c>
      <c r="Q322" t="n">
        <v>1</v>
      </c>
      <c r="R322" s="2" t="inlineStr">
        <is>
          <t>Hasselmus</t>
        </is>
      </c>
      <c r="S322">
        <f>HYPERLINK("https://klasma.github.io/Logging_1291/artfynd/A 20090-2024 artfynd.xlsx", "A 20090-2024")</f>
        <v/>
      </c>
      <c r="T322">
        <f>HYPERLINK("https://klasma.github.io/Logging_1291/kartor/A 20090-2024 karta.png", "A 20090-2024")</f>
        <v/>
      </c>
      <c r="V322">
        <f>HYPERLINK("https://klasma.github.io/Logging_1291/klagomål/A 20090-2024 FSC-klagomål.docx", "A 20090-2024")</f>
        <v/>
      </c>
      <c r="W322">
        <f>HYPERLINK("https://klasma.github.io/Logging_1291/klagomålsmail/A 20090-2024 FSC-klagomål mail.docx", "A 20090-2024")</f>
        <v/>
      </c>
      <c r="X322">
        <f>HYPERLINK("https://klasma.github.io/Logging_1291/tillsyn/A 20090-2024 tillsynsbegäran.docx", "A 20090-2024")</f>
        <v/>
      </c>
      <c r="Y322">
        <f>HYPERLINK("https://klasma.github.io/Logging_1291/tillsynsmail/A 20090-2024 tillsynsbegäran mail.docx", "A 20090-2024")</f>
        <v/>
      </c>
    </row>
    <row r="323" ht="15" customHeight="1">
      <c r="A323" t="inlineStr">
        <is>
          <t>A 20179-2024</t>
        </is>
      </c>
      <c r="B323" s="1" t="n">
        <v>45434</v>
      </c>
      <c r="C323" s="1" t="n">
        <v>45570</v>
      </c>
      <c r="D323" t="inlineStr">
        <is>
          <t>SKÅNE LÄN</t>
        </is>
      </c>
      <c r="E323" t="inlineStr">
        <is>
          <t>ESLÖV</t>
        </is>
      </c>
      <c r="G323" t="n">
        <v>1.8</v>
      </c>
      <c r="H323" t="n">
        <v>0</v>
      </c>
      <c r="I323" t="n">
        <v>0</v>
      </c>
      <c r="J323" t="n">
        <v>1</v>
      </c>
      <c r="K323" t="n">
        <v>0</v>
      </c>
      <c r="L323" t="n">
        <v>0</v>
      </c>
      <c r="M323" t="n">
        <v>0</v>
      </c>
      <c r="N323" t="n">
        <v>0</v>
      </c>
      <c r="O323" t="n">
        <v>1</v>
      </c>
      <c r="P323" t="n">
        <v>0</v>
      </c>
      <c r="Q323" t="n">
        <v>1</v>
      </c>
      <c r="R323" s="2" t="inlineStr">
        <is>
          <t>Stiftklotterlav</t>
        </is>
      </c>
      <c r="S323">
        <f>HYPERLINK("https://klasma.github.io/Logging_1285/artfynd/A 20179-2024 artfynd.xlsx", "A 20179-2024")</f>
        <v/>
      </c>
      <c r="T323">
        <f>HYPERLINK("https://klasma.github.io/Logging_1285/kartor/A 20179-2024 karta.png", "A 20179-2024")</f>
        <v/>
      </c>
      <c r="V323">
        <f>HYPERLINK("https://klasma.github.io/Logging_1285/klagomål/A 20179-2024 FSC-klagomål.docx", "A 20179-2024")</f>
        <v/>
      </c>
      <c r="W323">
        <f>HYPERLINK("https://klasma.github.io/Logging_1285/klagomålsmail/A 20179-2024 FSC-klagomål mail.docx", "A 20179-2024")</f>
        <v/>
      </c>
      <c r="X323">
        <f>HYPERLINK("https://klasma.github.io/Logging_1285/tillsyn/A 20179-2024 tillsynsbegäran.docx", "A 20179-2024")</f>
        <v/>
      </c>
      <c r="Y323">
        <f>HYPERLINK("https://klasma.github.io/Logging_1285/tillsynsmail/A 20179-2024 tillsynsbegäran mail.docx", "A 20179-2024")</f>
        <v/>
      </c>
    </row>
    <row r="324" ht="15" customHeight="1">
      <c r="A324" t="inlineStr">
        <is>
          <t>A 20679-2024</t>
        </is>
      </c>
      <c r="B324" s="1" t="n">
        <v>45436</v>
      </c>
      <c r="C324" s="1" t="n">
        <v>45570</v>
      </c>
      <c r="D324" t="inlineStr">
        <is>
          <t>SKÅNE LÄN</t>
        </is>
      </c>
      <c r="E324" t="inlineStr">
        <is>
          <t>HÄSSLEHOLM</t>
        </is>
      </c>
      <c r="G324" t="n">
        <v>1.1</v>
      </c>
      <c r="H324" t="n">
        <v>0</v>
      </c>
      <c r="I324" t="n">
        <v>1</v>
      </c>
      <c r="J324" t="n">
        <v>0</v>
      </c>
      <c r="K324" t="n">
        <v>0</v>
      </c>
      <c r="L324" t="n">
        <v>0</v>
      </c>
      <c r="M324" t="n">
        <v>0</v>
      </c>
      <c r="N324" t="n">
        <v>0</v>
      </c>
      <c r="O324" t="n">
        <v>0</v>
      </c>
      <c r="P324" t="n">
        <v>0</v>
      </c>
      <c r="Q324" t="n">
        <v>1</v>
      </c>
      <c r="R324" s="2" t="inlineStr">
        <is>
          <t>Blodticka</t>
        </is>
      </c>
      <c r="S324">
        <f>HYPERLINK("https://klasma.github.io/Logging_1293/artfynd/A 20679-2024 artfynd.xlsx", "A 20679-2024")</f>
        <v/>
      </c>
      <c r="T324">
        <f>HYPERLINK("https://klasma.github.io/Logging_1293/kartor/A 20679-2024 karta.png", "A 20679-2024")</f>
        <v/>
      </c>
      <c r="V324">
        <f>HYPERLINK("https://klasma.github.io/Logging_1293/klagomål/A 20679-2024 FSC-klagomål.docx", "A 20679-2024")</f>
        <v/>
      </c>
      <c r="W324">
        <f>HYPERLINK("https://klasma.github.io/Logging_1293/klagomålsmail/A 20679-2024 FSC-klagomål mail.docx", "A 20679-2024")</f>
        <v/>
      </c>
      <c r="X324">
        <f>HYPERLINK("https://klasma.github.io/Logging_1293/tillsyn/A 20679-2024 tillsynsbegäran.docx", "A 20679-2024")</f>
        <v/>
      </c>
      <c r="Y324">
        <f>HYPERLINK("https://klasma.github.io/Logging_1293/tillsynsmail/A 20679-2024 tillsynsbegäran mail.docx", "A 20679-2024")</f>
        <v/>
      </c>
    </row>
    <row r="325" ht="15" customHeight="1">
      <c r="A325" t="inlineStr">
        <is>
          <t>A 20987-2024</t>
        </is>
      </c>
      <c r="B325" s="1" t="n">
        <v>45439</v>
      </c>
      <c r="C325" s="1" t="n">
        <v>45570</v>
      </c>
      <c r="D325" t="inlineStr">
        <is>
          <t>SKÅNE LÄN</t>
        </is>
      </c>
      <c r="E325" t="inlineStr">
        <is>
          <t>HÖÖR</t>
        </is>
      </c>
      <c r="G325" t="n">
        <v>5</v>
      </c>
      <c r="H325" t="n">
        <v>0</v>
      </c>
      <c r="I325" t="n">
        <v>1</v>
      </c>
      <c r="J325" t="n">
        <v>0</v>
      </c>
      <c r="K325" t="n">
        <v>0</v>
      </c>
      <c r="L325" t="n">
        <v>0</v>
      </c>
      <c r="M325" t="n">
        <v>0</v>
      </c>
      <c r="N325" t="n">
        <v>0</v>
      </c>
      <c r="O325" t="n">
        <v>0</v>
      </c>
      <c r="P325" t="n">
        <v>0</v>
      </c>
      <c r="Q325" t="n">
        <v>1</v>
      </c>
      <c r="R325" s="2" t="inlineStr">
        <is>
          <t>Västlig hakmossa</t>
        </is>
      </c>
      <c r="S325">
        <f>HYPERLINK("https://klasma.github.io/Logging_1267/artfynd/A 20987-2024 artfynd.xlsx", "A 20987-2024")</f>
        <v/>
      </c>
      <c r="T325">
        <f>HYPERLINK("https://klasma.github.io/Logging_1267/kartor/A 20987-2024 karta.png", "A 20987-2024")</f>
        <v/>
      </c>
      <c r="V325">
        <f>HYPERLINK("https://klasma.github.io/Logging_1267/klagomål/A 20987-2024 FSC-klagomål.docx", "A 20987-2024")</f>
        <v/>
      </c>
      <c r="W325">
        <f>HYPERLINK("https://klasma.github.io/Logging_1267/klagomålsmail/A 20987-2024 FSC-klagomål mail.docx", "A 20987-2024")</f>
        <v/>
      </c>
      <c r="X325">
        <f>HYPERLINK("https://klasma.github.io/Logging_1267/tillsyn/A 20987-2024 tillsynsbegäran.docx", "A 20987-2024")</f>
        <v/>
      </c>
      <c r="Y325">
        <f>HYPERLINK("https://klasma.github.io/Logging_1267/tillsynsmail/A 20987-2024 tillsynsbegäran mail.docx", "A 20987-2024")</f>
        <v/>
      </c>
    </row>
    <row r="326" ht="15" customHeight="1">
      <c r="A326" t="inlineStr">
        <is>
          <t>A 20975-2024</t>
        </is>
      </c>
      <c r="B326" s="1" t="n">
        <v>45439</v>
      </c>
      <c r="C326" s="1" t="n">
        <v>45570</v>
      </c>
      <c r="D326" t="inlineStr">
        <is>
          <t>SKÅNE LÄN</t>
        </is>
      </c>
      <c r="E326" t="inlineStr">
        <is>
          <t>HÖÖR</t>
        </is>
      </c>
      <c r="G326" t="n">
        <v>2</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20975-2024 artfynd.xlsx", "A 20975-2024")</f>
        <v/>
      </c>
      <c r="T326">
        <f>HYPERLINK("https://klasma.github.io/Logging_1267/kartor/A 20975-2024 karta.png", "A 20975-2024")</f>
        <v/>
      </c>
      <c r="V326">
        <f>HYPERLINK("https://klasma.github.io/Logging_1267/klagomål/A 20975-2024 FSC-klagomål.docx", "A 20975-2024")</f>
        <v/>
      </c>
      <c r="W326">
        <f>HYPERLINK("https://klasma.github.io/Logging_1267/klagomålsmail/A 20975-2024 FSC-klagomål mail.docx", "A 20975-2024")</f>
        <v/>
      </c>
      <c r="X326">
        <f>HYPERLINK("https://klasma.github.io/Logging_1267/tillsyn/A 20975-2024 tillsynsbegäran.docx", "A 20975-2024")</f>
        <v/>
      </c>
      <c r="Y326">
        <f>HYPERLINK("https://klasma.github.io/Logging_1267/tillsynsmail/A 20975-2024 tillsynsbegäran mail.docx", "A 20975-2024")</f>
        <v/>
      </c>
    </row>
    <row r="327" ht="15" customHeight="1">
      <c r="A327" t="inlineStr">
        <is>
          <t>A 21313-2024</t>
        </is>
      </c>
      <c r="B327" s="1" t="n">
        <v>45440</v>
      </c>
      <c r="C327" s="1" t="n">
        <v>45570</v>
      </c>
      <c r="D327" t="inlineStr">
        <is>
          <t>SKÅNE LÄN</t>
        </is>
      </c>
      <c r="E327" t="inlineStr">
        <is>
          <t>OSBY</t>
        </is>
      </c>
      <c r="G327" t="n">
        <v>3.2</v>
      </c>
      <c r="H327" t="n">
        <v>0</v>
      </c>
      <c r="I327" t="n">
        <v>1</v>
      </c>
      <c r="J327" t="n">
        <v>0</v>
      </c>
      <c r="K327" t="n">
        <v>0</v>
      </c>
      <c r="L327" t="n">
        <v>0</v>
      </c>
      <c r="M327" t="n">
        <v>0</v>
      </c>
      <c r="N327" t="n">
        <v>0</v>
      </c>
      <c r="O327" t="n">
        <v>0</v>
      </c>
      <c r="P327" t="n">
        <v>0</v>
      </c>
      <c r="Q327" t="n">
        <v>1</v>
      </c>
      <c r="R327" s="2" t="inlineStr">
        <is>
          <t>Blåmossa</t>
        </is>
      </c>
      <c r="S327">
        <f>HYPERLINK("https://klasma.github.io/Logging_1273/artfynd/A 21313-2024 artfynd.xlsx", "A 21313-2024")</f>
        <v/>
      </c>
      <c r="T327">
        <f>HYPERLINK("https://klasma.github.io/Logging_1273/kartor/A 21313-2024 karta.png", "A 21313-2024")</f>
        <v/>
      </c>
      <c r="V327">
        <f>HYPERLINK("https://klasma.github.io/Logging_1273/klagomål/A 21313-2024 FSC-klagomål.docx", "A 21313-2024")</f>
        <v/>
      </c>
      <c r="W327">
        <f>HYPERLINK("https://klasma.github.io/Logging_1273/klagomålsmail/A 21313-2024 FSC-klagomål mail.docx", "A 21313-2024")</f>
        <v/>
      </c>
      <c r="X327">
        <f>HYPERLINK("https://klasma.github.io/Logging_1273/tillsyn/A 21313-2024 tillsynsbegäran.docx", "A 21313-2024")</f>
        <v/>
      </c>
      <c r="Y327">
        <f>HYPERLINK("https://klasma.github.io/Logging_1273/tillsynsmail/A 21313-2024 tillsynsbegäran mail.docx", "A 21313-2024")</f>
        <v/>
      </c>
    </row>
    <row r="328" ht="15" customHeight="1">
      <c r="A328" t="inlineStr">
        <is>
          <t>A 22569-2024</t>
        </is>
      </c>
      <c r="B328" s="1" t="n">
        <v>45447</v>
      </c>
      <c r="C328" s="1" t="n">
        <v>45570</v>
      </c>
      <c r="D328" t="inlineStr">
        <is>
          <t>SKÅNE LÄN</t>
        </is>
      </c>
      <c r="E328" t="inlineStr">
        <is>
          <t>HÖÖR</t>
        </is>
      </c>
      <c r="G328" t="n">
        <v>2.2</v>
      </c>
      <c r="H328" t="n">
        <v>1</v>
      </c>
      <c r="I328" t="n">
        <v>0</v>
      </c>
      <c r="J328" t="n">
        <v>1</v>
      </c>
      <c r="K328" t="n">
        <v>0</v>
      </c>
      <c r="L328" t="n">
        <v>0</v>
      </c>
      <c r="M328" t="n">
        <v>0</v>
      </c>
      <c r="N328" t="n">
        <v>0</v>
      </c>
      <c r="O328" t="n">
        <v>1</v>
      </c>
      <c r="P328" t="n">
        <v>0</v>
      </c>
      <c r="Q328" t="n">
        <v>1</v>
      </c>
      <c r="R328" s="2" t="inlineStr">
        <is>
          <t>Spillkråka</t>
        </is>
      </c>
      <c r="S328">
        <f>HYPERLINK("https://klasma.github.io/Logging_1267/artfynd/A 22569-2024 artfynd.xlsx", "A 22569-2024")</f>
        <v/>
      </c>
      <c r="T328">
        <f>HYPERLINK("https://klasma.github.io/Logging_1267/kartor/A 22569-2024 karta.png", "A 22569-2024")</f>
        <v/>
      </c>
      <c r="V328">
        <f>HYPERLINK("https://klasma.github.io/Logging_1267/klagomål/A 22569-2024 FSC-klagomål.docx", "A 22569-2024")</f>
        <v/>
      </c>
      <c r="W328">
        <f>HYPERLINK("https://klasma.github.io/Logging_1267/klagomålsmail/A 22569-2024 FSC-klagomål mail.docx", "A 22569-2024")</f>
        <v/>
      </c>
      <c r="X328">
        <f>HYPERLINK("https://klasma.github.io/Logging_1267/tillsyn/A 22569-2024 tillsynsbegäran.docx", "A 22569-2024")</f>
        <v/>
      </c>
      <c r="Y328">
        <f>HYPERLINK("https://klasma.github.io/Logging_1267/tillsynsmail/A 22569-2024 tillsynsbegäran mail.docx", "A 22569-2024")</f>
        <v/>
      </c>
      <c r="Z328">
        <f>HYPERLINK("https://klasma.github.io/Logging_1267/fåglar/A 22569-2024 prioriterade fågelarter.docx", "A 22569-2024")</f>
        <v/>
      </c>
    </row>
    <row r="329" ht="15" customHeight="1">
      <c r="A329" t="inlineStr">
        <is>
          <t>A 23403-2024</t>
        </is>
      </c>
      <c r="B329" s="1" t="n">
        <v>45453</v>
      </c>
      <c r="C329" s="1" t="n">
        <v>45570</v>
      </c>
      <c r="D329" t="inlineStr">
        <is>
          <t>SKÅNE LÄN</t>
        </is>
      </c>
      <c r="E329" t="inlineStr">
        <is>
          <t>KLIPPAN</t>
        </is>
      </c>
      <c r="G329" t="n">
        <v>9.1</v>
      </c>
      <c r="H329" t="n">
        <v>0</v>
      </c>
      <c r="I329" t="n">
        <v>0</v>
      </c>
      <c r="J329" t="n">
        <v>1</v>
      </c>
      <c r="K329" t="n">
        <v>0</v>
      </c>
      <c r="L329" t="n">
        <v>0</v>
      </c>
      <c r="M329" t="n">
        <v>0</v>
      </c>
      <c r="N329" t="n">
        <v>0</v>
      </c>
      <c r="O329" t="n">
        <v>1</v>
      </c>
      <c r="P329" t="n">
        <v>0</v>
      </c>
      <c r="Q329" t="n">
        <v>1</v>
      </c>
      <c r="R329" s="2" t="inlineStr">
        <is>
          <t>Vårstarr</t>
        </is>
      </c>
      <c r="S329">
        <f>HYPERLINK("https://klasma.github.io/Logging_1276/artfynd/A 23403-2024 artfynd.xlsx", "A 23403-2024")</f>
        <v/>
      </c>
      <c r="T329">
        <f>HYPERLINK("https://klasma.github.io/Logging_1276/kartor/A 23403-2024 karta.png", "A 23403-2024")</f>
        <v/>
      </c>
      <c r="V329">
        <f>HYPERLINK("https://klasma.github.io/Logging_1276/klagomål/A 23403-2024 FSC-klagomål.docx", "A 23403-2024")</f>
        <v/>
      </c>
      <c r="W329">
        <f>HYPERLINK("https://klasma.github.io/Logging_1276/klagomålsmail/A 23403-2024 FSC-klagomål mail.docx", "A 23403-2024")</f>
        <v/>
      </c>
      <c r="X329">
        <f>HYPERLINK("https://klasma.github.io/Logging_1276/tillsyn/A 23403-2024 tillsynsbegäran.docx", "A 23403-2024")</f>
        <v/>
      </c>
      <c r="Y329">
        <f>HYPERLINK("https://klasma.github.io/Logging_1276/tillsynsmail/A 23403-2024 tillsynsbegäran mail.docx", "A 23403-2024")</f>
        <v/>
      </c>
    </row>
    <row r="330" ht="15" customHeight="1">
      <c r="A330" t="inlineStr">
        <is>
          <t>A 23694-2024</t>
        </is>
      </c>
      <c r="B330" s="1" t="n">
        <v>45454</v>
      </c>
      <c r="C330" s="1" t="n">
        <v>45570</v>
      </c>
      <c r="D330" t="inlineStr">
        <is>
          <t>SKÅNE LÄN</t>
        </is>
      </c>
      <c r="E330" t="inlineStr">
        <is>
          <t>OSBY</t>
        </is>
      </c>
      <c r="G330" t="n">
        <v>6</v>
      </c>
      <c r="H330" t="n">
        <v>0</v>
      </c>
      <c r="I330" t="n">
        <v>0</v>
      </c>
      <c r="J330" t="n">
        <v>0</v>
      </c>
      <c r="K330" t="n">
        <v>1</v>
      </c>
      <c r="L330" t="n">
        <v>0</v>
      </c>
      <c r="M330" t="n">
        <v>0</v>
      </c>
      <c r="N330" t="n">
        <v>0</v>
      </c>
      <c r="O330" t="n">
        <v>1</v>
      </c>
      <c r="P330" t="n">
        <v>1</v>
      </c>
      <c r="Q330" t="n">
        <v>1</v>
      </c>
      <c r="R330" s="2" t="inlineStr">
        <is>
          <t>Slåttergubbe</t>
        </is>
      </c>
      <c r="S330">
        <f>HYPERLINK("https://klasma.github.io/Logging_1273/artfynd/A 23694-2024 artfynd.xlsx", "A 23694-2024")</f>
        <v/>
      </c>
      <c r="T330">
        <f>HYPERLINK("https://klasma.github.io/Logging_1273/kartor/A 23694-2024 karta.png", "A 23694-2024")</f>
        <v/>
      </c>
      <c r="V330">
        <f>HYPERLINK("https://klasma.github.io/Logging_1273/klagomål/A 23694-2024 FSC-klagomål.docx", "A 23694-2024")</f>
        <v/>
      </c>
      <c r="W330">
        <f>HYPERLINK("https://klasma.github.io/Logging_1273/klagomålsmail/A 23694-2024 FSC-klagomål mail.docx", "A 23694-2024")</f>
        <v/>
      </c>
      <c r="X330">
        <f>HYPERLINK("https://klasma.github.io/Logging_1273/tillsyn/A 23694-2024 tillsynsbegäran.docx", "A 23694-2024")</f>
        <v/>
      </c>
      <c r="Y330">
        <f>HYPERLINK("https://klasma.github.io/Logging_1273/tillsynsmail/A 23694-2024 tillsynsbegäran mail.docx", "A 23694-2024")</f>
        <v/>
      </c>
    </row>
    <row r="331" ht="15" customHeight="1">
      <c r="A331" t="inlineStr">
        <is>
          <t>A 25761-2024</t>
        </is>
      </c>
      <c r="B331" s="1" t="n">
        <v>45465</v>
      </c>
      <c r="C331" s="1" t="n">
        <v>45570</v>
      </c>
      <c r="D331" t="inlineStr">
        <is>
          <t>SKÅNE LÄN</t>
        </is>
      </c>
      <c r="E331" t="inlineStr">
        <is>
          <t>KRISTIANSTAD</t>
        </is>
      </c>
      <c r="G331" t="n">
        <v>2.8</v>
      </c>
      <c r="H331" t="n">
        <v>1</v>
      </c>
      <c r="I331" t="n">
        <v>0</v>
      </c>
      <c r="J331" t="n">
        <v>0</v>
      </c>
      <c r="K331" t="n">
        <v>0</v>
      </c>
      <c r="L331" t="n">
        <v>0</v>
      </c>
      <c r="M331" t="n">
        <v>0</v>
      </c>
      <c r="N331" t="n">
        <v>0</v>
      </c>
      <c r="O331" t="n">
        <v>0</v>
      </c>
      <c r="P331" t="n">
        <v>0</v>
      </c>
      <c r="Q331" t="n">
        <v>1</v>
      </c>
      <c r="R331" s="2" t="inlineStr">
        <is>
          <t>Gullviva</t>
        </is>
      </c>
      <c r="S331">
        <f>HYPERLINK("https://klasma.github.io/Logging_1290/artfynd/A 25761-2024 artfynd.xlsx", "A 25761-2024")</f>
        <v/>
      </c>
      <c r="T331">
        <f>HYPERLINK("https://klasma.github.io/Logging_1290/kartor/A 25761-2024 karta.png", "A 25761-2024")</f>
        <v/>
      </c>
      <c r="V331">
        <f>HYPERLINK("https://klasma.github.io/Logging_1290/klagomål/A 25761-2024 FSC-klagomål.docx", "A 25761-2024")</f>
        <v/>
      </c>
      <c r="W331">
        <f>HYPERLINK("https://klasma.github.io/Logging_1290/klagomålsmail/A 25761-2024 FSC-klagomål mail.docx", "A 25761-2024")</f>
        <v/>
      </c>
      <c r="X331">
        <f>HYPERLINK("https://klasma.github.io/Logging_1290/tillsyn/A 25761-2024 tillsynsbegäran.docx", "A 25761-2024")</f>
        <v/>
      </c>
      <c r="Y331">
        <f>HYPERLINK("https://klasma.github.io/Logging_1290/tillsynsmail/A 25761-2024 tillsynsbegäran mail.docx", "A 25761-2024")</f>
        <v/>
      </c>
    </row>
    <row r="332" ht="15" customHeight="1">
      <c r="A332" t="inlineStr">
        <is>
          <t>A 27230-2024</t>
        </is>
      </c>
      <c r="B332" s="1" t="n">
        <v>45471</v>
      </c>
      <c r="C332" s="1" t="n">
        <v>45570</v>
      </c>
      <c r="D332" t="inlineStr">
        <is>
          <t>SKÅNE LÄN</t>
        </is>
      </c>
      <c r="E332" t="inlineStr">
        <is>
          <t>SJÖBO</t>
        </is>
      </c>
      <c r="G332" t="n">
        <v>1.5</v>
      </c>
      <c r="H332" t="n">
        <v>1</v>
      </c>
      <c r="I332" t="n">
        <v>0</v>
      </c>
      <c r="J332" t="n">
        <v>1</v>
      </c>
      <c r="K332" t="n">
        <v>0</v>
      </c>
      <c r="L332" t="n">
        <v>0</v>
      </c>
      <c r="M332" t="n">
        <v>0</v>
      </c>
      <c r="N332" t="n">
        <v>0</v>
      </c>
      <c r="O332" t="n">
        <v>1</v>
      </c>
      <c r="P332" t="n">
        <v>0</v>
      </c>
      <c r="Q332" t="n">
        <v>1</v>
      </c>
      <c r="R332" s="2" t="inlineStr">
        <is>
          <t>Havsörn</t>
        </is>
      </c>
      <c r="S332">
        <f>HYPERLINK("https://klasma.github.io/Logging_1265/artfynd/A 27230-2024 artfynd.xlsx", "A 27230-2024")</f>
        <v/>
      </c>
      <c r="T332">
        <f>HYPERLINK("https://klasma.github.io/Logging_1265/kartor/A 27230-2024 karta.png", "A 27230-2024")</f>
        <v/>
      </c>
      <c r="V332">
        <f>HYPERLINK("https://klasma.github.io/Logging_1265/klagomål/A 27230-2024 FSC-klagomål.docx", "A 27230-2024")</f>
        <v/>
      </c>
      <c r="W332">
        <f>HYPERLINK("https://klasma.github.io/Logging_1265/klagomålsmail/A 27230-2024 FSC-klagomål mail.docx", "A 27230-2024")</f>
        <v/>
      </c>
      <c r="X332">
        <f>HYPERLINK("https://klasma.github.io/Logging_1265/tillsyn/A 27230-2024 tillsynsbegäran.docx", "A 27230-2024")</f>
        <v/>
      </c>
      <c r="Y332">
        <f>HYPERLINK("https://klasma.github.io/Logging_1265/tillsynsmail/A 27230-2024 tillsynsbegäran mail.docx", "A 27230-2024")</f>
        <v/>
      </c>
      <c r="Z332">
        <f>HYPERLINK("https://klasma.github.io/Logging_1265/fåglar/A 27230-2024 prioriterade fågelarter.docx", "A 27230-2024")</f>
        <v/>
      </c>
    </row>
    <row r="333" ht="15" customHeight="1">
      <c r="A333" t="inlineStr">
        <is>
          <t>A 28429-2024</t>
        </is>
      </c>
      <c r="B333" s="1" t="n">
        <v>45477</v>
      </c>
      <c r="C333" s="1" t="n">
        <v>45570</v>
      </c>
      <c r="D333" t="inlineStr">
        <is>
          <t>SKÅNE LÄN</t>
        </is>
      </c>
      <c r="E333" t="inlineStr">
        <is>
          <t>KRISTIANSTAD</t>
        </is>
      </c>
      <c r="G333" t="n">
        <v>0.4</v>
      </c>
      <c r="H333" t="n">
        <v>0</v>
      </c>
      <c r="I333" t="n">
        <v>0</v>
      </c>
      <c r="J333" t="n">
        <v>1</v>
      </c>
      <c r="K333" t="n">
        <v>0</v>
      </c>
      <c r="L333" t="n">
        <v>0</v>
      </c>
      <c r="M333" t="n">
        <v>0</v>
      </c>
      <c r="N333" t="n">
        <v>0</v>
      </c>
      <c r="O333" t="n">
        <v>1</v>
      </c>
      <c r="P333" t="n">
        <v>0</v>
      </c>
      <c r="Q333" t="n">
        <v>1</v>
      </c>
      <c r="R333" s="2" t="inlineStr">
        <is>
          <t>Knölspindel</t>
        </is>
      </c>
      <c r="S333">
        <f>HYPERLINK("https://klasma.github.io/Logging_1290/artfynd/A 28429-2024 artfynd.xlsx", "A 28429-2024")</f>
        <v/>
      </c>
      <c r="T333">
        <f>HYPERLINK("https://klasma.github.io/Logging_1290/kartor/A 28429-2024 karta.png", "A 28429-2024")</f>
        <v/>
      </c>
      <c r="V333">
        <f>HYPERLINK("https://klasma.github.io/Logging_1290/klagomål/A 28429-2024 FSC-klagomål.docx", "A 28429-2024")</f>
        <v/>
      </c>
      <c r="W333">
        <f>HYPERLINK("https://klasma.github.io/Logging_1290/klagomålsmail/A 28429-2024 FSC-klagomål mail.docx", "A 28429-2024")</f>
        <v/>
      </c>
      <c r="X333">
        <f>HYPERLINK("https://klasma.github.io/Logging_1290/tillsyn/A 28429-2024 tillsynsbegäran.docx", "A 28429-2024")</f>
        <v/>
      </c>
      <c r="Y333">
        <f>HYPERLINK("https://klasma.github.io/Logging_1290/tillsynsmail/A 28429-2024 tillsynsbegäran mail.docx", "A 28429-2024")</f>
        <v/>
      </c>
    </row>
    <row r="334" ht="15" customHeight="1">
      <c r="A334" t="inlineStr">
        <is>
          <t>A 28342-2024</t>
        </is>
      </c>
      <c r="B334" s="1" t="n">
        <v>45477</v>
      </c>
      <c r="C334" s="1" t="n">
        <v>45570</v>
      </c>
      <c r="D334" t="inlineStr">
        <is>
          <t>SKÅNE LÄN</t>
        </is>
      </c>
      <c r="E334" t="inlineStr">
        <is>
          <t>KRISTIANSTAD</t>
        </is>
      </c>
      <c r="G334" t="n">
        <v>3.2</v>
      </c>
      <c r="H334" t="n">
        <v>0</v>
      </c>
      <c r="I334" t="n">
        <v>0</v>
      </c>
      <c r="J334" t="n">
        <v>1</v>
      </c>
      <c r="K334" t="n">
        <v>0</v>
      </c>
      <c r="L334" t="n">
        <v>0</v>
      </c>
      <c r="M334" t="n">
        <v>0</v>
      </c>
      <c r="N334" t="n">
        <v>0</v>
      </c>
      <c r="O334" t="n">
        <v>1</v>
      </c>
      <c r="P334" t="n">
        <v>0</v>
      </c>
      <c r="Q334" t="n">
        <v>1</v>
      </c>
      <c r="R334" s="2" t="inlineStr">
        <is>
          <t>Knölspindel</t>
        </is>
      </c>
      <c r="S334">
        <f>HYPERLINK("https://klasma.github.io/Logging_1290/artfynd/A 28342-2024 artfynd.xlsx", "A 28342-2024")</f>
        <v/>
      </c>
      <c r="T334">
        <f>HYPERLINK("https://klasma.github.io/Logging_1290/kartor/A 28342-2024 karta.png", "A 28342-2024")</f>
        <v/>
      </c>
      <c r="V334">
        <f>HYPERLINK("https://klasma.github.io/Logging_1290/klagomål/A 28342-2024 FSC-klagomål.docx", "A 28342-2024")</f>
        <v/>
      </c>
      <c r="W334">
        <f>HYPERLINK("https://klasma.github.io/Logging_1290/klagomålsmail/A 28342-2024 FSC-klagomål mail.docx", "A 28342-2024")</f>
        <v/>
      </c>
      <c r="X334">
        <f>HYPERLINK("https://klasma.github.io/Logging_1290/tillsyn/A 28342-2024 tillsynsbegäran.docx", "A 28342-2024")</f>
        <v/>
      </c>
      <c r="Y334">
        <f>HYPERLINK("https://klasma.github.io/Logging_1290/tillsynsmail/A 28342-2024 tillsynsbegäran mail.docx", "A 28342-2024")</f>
        <v/>
      </c>
    </row>
    <row r="335" ht="15" customHeight="1">
      <c r="A335" t="inlineStr">
        <is>
          <t>A 30000-2024</t>
        </is>
      </c>
      <c r="B335" s="1" t="n">
        <v>45488</v>
      </c>
      <c r="C335" s="1" t="n">
        <v>45570</v>
      </c>
      <c r="D335" t="inlineStr">
        <is>
          <t>SKÅNE LÄN</t>
        </is>
      </c>
      <c r="E335" t="inlineStr">
        <is>
          <t>PERSTORP</t>
        </is>
      </c>
      <c r="G335" t="n">
        <v>10.8</v>
      </c>
      <c r="H335" t="n">
        <v>1</v>
      </c>
      <c r="I335" t="n">
        <v>0</v>
      </c>
      <c r="J335" t="n">
        <v>0</v>
      </c>
      <c r="K335" t="n">
        <v>0</v>
      </c>
      <c r="L335" t="n">
        <v>0</v>
      </c>
      <c r="M335" t="n">
        <v>0</v>
      </c>
      <c r="N335" t="n">
        <v>0</v>
      </c>
      <c r="O335" t="n">
        <v>0</v>
      </c>
      <c r="P335" t="n">
        <v>0</v>
      </c>
      <c r="Q335" t="n">
        <v>1</v>
      </c>
      <c r="R335" s="2" t="inlineStr">
        <is>
          <t>Revlummer</t>
        </is>
      </c>
      <c r="S335">
        <f>HYPERLINK("https://klasma.github.io/Logging_1275/artfynd/A 30000-2024 artfynd.xlsx", "A 30000-2024")</f>
        <v/>
      </c>
      <c r="T335">
        <f>HYPERLINK("https://klasma.github.io/Logging_1275/kartor/A 30000-2024 karta.png", "A 30000-2024")</f>
        <v/>
      </c>
      <c r="V335">
        <f>HYPERLINK("https://klasma.github.io/Logging_1275/klagomål/A 30000-2024 FSC-klagomål.docx", "A 30000-2024")</f>
        <v/>
      </c>
      <c r="W335">
        <f>HYPERLINK("https://klasma.github.io/Logging_1275/klagomålsmail/A 30000-2024 FSC-klagomål mail.docx", "A 30000-2024")</f>
        <v/>
      </c>
      <c r="X335">
        <f>HYPERLINK("https://klasma.github.io/Logging_1275/tillsyn/A 30000-2024 tillsynsbegäran.docx", "A 30000-2024")</f>
        <v/>
      </c>
      <c r="Y335">
        <f>HYPERLINK("https://klasma.github.io/Logging_1275/tillsynsmail/A 30000-2024 tillsynsbegäran mail.docx", "A 30000-2024")</f>
        <v/>
      </c>
    </row>
    <row r="336" ht="15" customHeight="1">
      <c r="A336" t="inlineStr">
        <is>
          <t>A 30526-2024</t>
        </is>
      </c>
      <c r="B336" s="1" t="n">
        <v>45492</v>
      </c>
      <c r="C336" s="1" t="n">
        <v>45570</v>
      </c>
      <c r="D336" t="inlineStr">
        <is>
          <t>SKÅNE LÄN</t>
        </is>
      </c>
      <c r="E336" t="inlineStr">
        <is>
          <t>KRISTIANSTAD</t>
        </is>
      </c>
      <c r="G336" t="n">
        <v>2.3</v>
      </c>
      <c r="H336" t="n">
        <v>1</v>
      </c>
      <c r="I336" t="n">
        <v>0</v>
      </c>
      <c r="J336" t="n">
        <v>0</v>
      </c>
      <c r="K336" t="n">
        <v>0</v>
      </c>
      <c r="L336" t="n">
        <v>1</v>
      </c>
      <c r="M336" t="n">
        <v>0</v>
      </c>
      <c r="N336" t="n">
        <v>0</v>
      </c>
      <c r="O336" t="n">
        <v>1</v>
      </c>
      <c r="P336" t="n">
        <v>1</v>
      </c>
      <c r="Q336" t="n">
        <v>1</v>
      </c>
      <c r="R336" s="2" t="inlineStr">
        <is>
          <t>Dvärgjohannesört</t>
        </is>
      </c>
      <c r="S336">
        <f>HYPERLINK("https://klasma.github.io/Logging_1290/artfynd/A 30526-2024 artfynd.xlsx", "A 30526-2024")</f>
        <v/>
      </c>
      <c r="T336">
        <f>HYPERLINK("https://klasma.github.io/Logging_1290/kartor/A 30526-2024 karta.png", "A 30526-2024")</f>
        <v/>
      </c>
      <c r="V336">
        <f>HYPERLINK("https://klasma.github.io/Logging_1290/klagomål/A 30526-2024 FSC-klagomål.docx", "A 30526-2024")</f>
        <v/>
      </c>
      <c r="W336">
        <f>HYPERLINK("https://klasma.github.io/Logging_1290/klagomålsmail/A 30526-2024 FSC-klagomål mail.docx", "A 30526-2024")</f>
        <v/>
      </c>
      <c r="X336">
        <f>HYPERLINK("https://klasma.github.io/Logging_1290/tillsyn/A 30526-2024 tillsynsbegäran.docx", "A 30526-2024")</f>
        <v/>
      </c>
      <c r="Y336">
        <f>HYPERLINK("https://klasma.github.io/Logging_1290/tillsynsmail/A 30526-2024 tillsynsbegäran mail.docx", "A 30526-2024")</f>
        <v/>
      </c>
    </row>
    <row r="337" ht="15" customHeight="1">
      <c r="A337" t="inlineStr">
        <is>
          <t>A 31620-2024</t>
        </is>
      </c>
      <c r="B337" s="1" t="n">
        <v>45506</v>
      </c>
      <c r="C337" s="1" t="n">
        <v>45570</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32211-2024</t>
        </is>
      </c>
      <c r="B338" s="1" t="n">
        <v>45511</v>
      </c>
      <c r="C338" s="1" t="n">
        <v>45570</v>
      </c>
      <c r="D338" t="inlineStr">
        <is>
          <t>SKÅNE LÄN</t>
        </is>
      </c>
      <c r="E338" t="inlineStr">
        <is>
          <t>HÄSSLEHOLM</t>
        </is>
      </c>
      <c r="G338" t="n">
        <v>5.1</v>
      </c>
      <c r="H338" t="n">
        <v>1</v>
      </c>
      <c r="I338" t="n">
        <v>0</v>
      </c>
      <c r="J338" t="n">
        <v>0</v>
      </c>
      <c r="K338" t="n">
        <v>0</v>
      </c>
      <c r="L338" t="n">
        <v>0</v>
      </c>
      <c r="M338" t="n">
        <v>0</v>
      </c>
      <c r="N338" t="n">
        <v>0</v>
      </c>
      <c r="O338" t="n">
        <v>0</v>
      </c>
      <c r="P338" t="n">
        <v>0</v>
      </c>
      <c r="Q338" t="n">
        <v>1</v>
      </c>
      <c r="R338" s="2" t="inlineStr">
        <is>
          <t>Lopplummer</t>
        </is>
      </c>
      <c r="S338">
        <f>HYPERLINK("https://klasma.github.io/Logging_1293/artfynd/A 32211-2024 artfynd.xlsx", "A 32211-2024")</f>
        <v/>
      </c>
      <c r="T338">
        <f>HYPERLINK("https://klasma.github.io/Logging_1293/kartor/A 32211-2024 karta.png", "A 32211-2024")</f>
        <v/>
      </c>
      <c r="V338">
        <f>HYPERLINK("https://klasma.github.io/Logging_1293/klagomål/A 32211-2024 FSC-klagomål.docx", "A 32211-2024")</f>
        <v/>
      </c>
      <c r="W338">
        <f>HYPERLINK("https://klasma.github.io/Logging_1293/klagomålsmail/A 32211-2024 FSC-klagomål mail.docx", "A 32211-2024")</f>
        <v/>
      </c>
      <c r="X338">
        <f>HYPERLINK("https://klasma.github.io/Logging_1293/tillsyn/A 32211-2024 tillsynsbegäran.docx", "A 32211-2024")</f>
        <v/>
      </c>
      <c r="Y338">
        <f>HYPERLINK("https://klasma.github.io/Logging_1293/tillsynsmail/A 32211-2024 tillsynsbegäran mail.docx", "A 32211-2024")</f>
        <v/>
      </c>
    </row>
    <row r="339" ht="15" customHeight="1">
      <c r="A339" t="inlineStr">
        <is>
          <t>A 32101-2024</t>
        </is>
      </c>
      <c r="B339" s="1" t="n">
        <v>45511</v>
      </c>
      <c r="C339" s="1" t="n">
        <v>45570</v>
      </c>
      <c r="D339" t="inlineStr">
        <is>
          <t>SKÅNE LÄN</t>
        </is>
      </c>
      <c r="E339" t="inlineStr">
        <is>
          <t>KRISTIANSTAD</t>
        </is>
      </c>
      <c r="G339" t="n">
        <v>6.6</v>
      </c>
      <c r="H339" t="n">
        <v>1</v>
      </c>
      <c r="I339" t="n">
        <v>1</v>
      </c>
      <c r="J339" t="n">
        <v>0</v>
      </c>
      <c r="K339" t="n">
        <v>0</v>
      </c>
      <c r="L339" t="n">
        <v>0</v>
      </c>
      <c r="M339" t="n">
        <v>0</v>
      </c>
      <c r="N339" t="n">
        <v>0</v>
      </c>
      <c r="O339" t="n">
        <v>0</v>
      </c>
      <c r="P339" t="n">
        <v>0</v>
      </c>
      <c r="Q339" t="n">
        <v>1</v>
      </c>
      <c r="R339" s="2" t="inlineStr">
        <is>
          <t>Skogsknipprot</t>
        </is>
      </c>
      <c r="S339">
        <f>HYPERLINK("https://klasma.github.io/Logging_1290/artfynd/A 32101-2024 artfynd.xlsx", "A 32101-2024")</f>
        <v/>
      </c>
      <c r="T339">
        <f>HYPERLINK("https://klasma.github.io/Logging_1290/kartor/A 32101-2024 karta.png", "A 32101-2024")</f>
        <v/>
      </c>
      <c r="V339">
        <f>HYPERLINK("https://klasma.github.io/Logging_1290/klagomål/A 32101-2024 FSC-klagomål.docx", "A 32101-2024")</f>
        <v/>
      </c>
      <c r="W339">
        <f>HYPERLINK("https://klasma.github.io/Logging_1290/klagomålsmail/A 32101-2024 FSC-klagomål mail.docx", "A 32101-2024")</f>
        <v/>
      </c>
      <c r="X339">
        <f>HYPERLINK("https://klasma.github.io/Logging_1290/tillsyn/A 32101-2024 tillsynsbegäran.docx", "A 32101-2024")</f>
        <v/>
      </c>
      <c r="Y339">
        <f>HYPERLINK("https://klasma.github.io/Logging_1290/tillsynsmail/A 32101-2024 tillsynsbegäran mail.docx", "A 32101-2024")</f>
        <v/>
      </c>
    </row>
    <row r="340" ht="15" customHeight="1">
      <c r="A340" t="inlineStr">
        <is>
          <t>A 32367-2024</t>
        </is>
      </c>
      <c r="B340" s="1" t="n">
        <v>45512</v>
      </c>
      <c r="C340" s="1" t="n">
        <v>45570</v>
      </c>
      <c r="D340" t="inlineStr">
        <is>
          <t>SKÅNE LÄN</t>
        </is>
      </c>
      <c r="E340" t="inlineStr">
        <is>
          <t>ÖSTRA GÖINGE</t>
        </is>
      </c>
      <c r="G340" t="n">
        <v>5.4</v>
      </c>
      <c r="H340" t="n">
        <v>0</v>
      </c>
      <c r="I340" t="n">
        <v>1</v>
      </c>
      <c r="J340" t="n">
        <v>0</v>
      </c>
      <c r="K340" t="n">
        <v>0</v>
      </c>
      <c r="L340" t="n">
        <v>0</v>
      </c>
      <c r="M340" t="n">
        <v>0</v>
      </c>
      <c r="N340" t="n">
        <v>0</v>
      </c>
      <c r="O340" t="n">
        <v>0</v>
      </c>
      <c r="P340" t="n">
        <v>0</v>
      </c>
      <c r="Q340" t="n">
        <v>1</v>
      </c>
      <c r="R340" s="2" t="inlineStr">
        <is>
          <t>Blomkålssvamp</t>
        </is>
      </c>
      <c r="S340">
        <f>HYPERLINK("https://klasma.github.io/Logging_1256/artfynd/A 32367-2024 artfynd.xlsx", "A 32367-2024")</f>
        <v/>
      </c>
      <c r="T340">
        <f>HYPERLINK("https://klasma.github.io/Logging_1256/kartor/A 32367-2024 karta.png", "A 32367-2024")</f>
        <v/>
      </c>
      <c r="V340">
        <f>HYPERLINK("https://klasma.github.io/Logging_1256/klagomål/A 32367-2024 FSC-klagomål.docx", "A 32367-2024")</f>
        <v/>
      </c>
      <c r="W340">
        <f>HYPERLINK("https://klasma.github.io/Logging_1256/klagomålsmail/A 32367-2024 FSC-klagomål mail.docx", "A 32367-2024")</f>
        <v/>
      </c>
      <c r="X340">
        <f>HYPERLINK("https://klasma.github.io/Logging_1256/tillsyn/A 32367-2024 tillsynsbegäran.docx", "A 32367-2024")</f>
        <v/>
      </c>
      <c r="Y340">
        <f>HYPERLINK("https://klasma.github.io/Logging_1256/tillsynsmail/A 32367-2024 tillsynsbegäran mail.docx", "A 32367-2024")</f>
        <v/>
      </c>
    </row>
    <row r="341" ht="15" customHeight="1">
      <c r="A341" t="inlineStr">
        <is>
          <t>A 32842-2024</t>
        </is>
      </c>
      <c r="B341" s="1" t="n">
        <v>45516</v>
      </c>
      <c r="C341" s="1" t="n">
        <v>45570</v>
      </c>
      <c r="D341" t="inlineStr">
        <is>
          <t>SKÅNE LÄN</t>
        </is>
      </c>
      <c r="E341" t="inlineStr">
        <is>
          <t>PERSTORP</t>
        </is>
      </c>
      <c r="G341" t="n">
        <v>2.5</v>
      </c>
      <c r="H341" t="n">
        <v>0</v>
      </c>
      <c r="I341" t="n">
        <v>1</v>
      </c>
      <c r="J341" t="n">
        <v>0</v>
      </c>
      <c r="K341" t="n">
        <v>0</v>
      </c>
      <c r="L341" t="n">
        <v>0</v>
      </c>
      <c r="M341" t="n">
        <v>0</v>
      </c>
      <c r="N341" t="n">
        <v>0</v>
      </c>
      <c r="O341" t="n">
        <v>0</v>
      </c>
      <c r="P341" t="n">
        <v>0</v>
      </c>
      <c r="Q341" t="n">
        <v>1</v>
      </c>
      <c r="R341" s="2" t="inlineStr">
        <is>
          <t>Blåmossa</t>
        </is>
      </c>
      <c r="S341">
        <f>HYPERLINK("https://klasma.github.io/Logging_1275/artfynd/A 32842-2024 artfynd.xlsx", "A 32842-2024")</f>
        <v/>
      </c>
      <c r="T341">
        <f>HYPERLINK("https://klasma.github.io/Logging_1275/kartor/A 32842-2024 karta.png", "A 32842-2024")</f>
        <v/>
      </c>
      <c r="V341">
        <f>HYPERLINK("https://klasma.github.io/Logging_1275/klagomål/A 32842-2024 FSC-klagomål.docx", "A 32842-2024")</f>
        <v/>
      </c>
      <c r="W341">
        <f>HYPERLINK("https://klasma.github.io/Logging_1275/klagomålsmail/A 32842-2024 FSC-klagomål mail.docx", "A 32842-2024")</f>
        <v/>
      </c>
      <c r="X341">
        <f>HYPERLINK("https://klasma.github.io/Logging_1275/tillsyn/A 32842-2024 tillsynsbegäran.docx", "A 32842-2024")</f>
        <v/>
      </c>
      <c r="Y341">
        <f>HYPERLINK("https://klasma.github.io/Logging_1275/tillsynsmail/A 32842-2024 tillsynsbegäran mail.docx", "A 32842-2024")</f>
        <v/>
      </c>
    </row>
    <row r="342" ht="15" customHeight="1">
      <c r="A342" t="inlineStr">
        <is>
          <t>A 34341-2024</t>
        </is>
      </c>
      <c r="B342" s="1" t="n">
        <v>45525</v>
      </c>
      <c r="C342" s="1" t="n">
        <v>45570</v>
      </c>
      <c r="D342" t="inlineStr">
        <is>
          <t>SKÅNE LÄN</t>
        </is>
      </c>
      <c r="E342" t="inlineStr">
        <is>
          <t>YSTAD</t>
        </is>
      </c>
      <c r="F342" t="inlineStr">
        <is>
          <t>Övriga Aktiebolag</t>
        </is>
      </c>
      <c r="G342" t="n">
        <v>14.4</v>
      </c>
      <c r="H342" t="n">
        <v>0</v>
      </c>
      <c r="I342" t="n">
        <v>0</v>
      </c>
      <c r="J342" t="n">
        <v>1</v>
      </c>
      <c r="K342" t="n">
        <v>0</v>
      </c>
      <c r="L342" t="n">
        <v>0</v>
      </c>
      <c r="M342" t="n">
        <v>0</v>
      </c>
      <c r="N342" t="n">
        <v>0</v>
      </c>
      <c r="O342" t="n">
        <v>1</v>
      </c>
      <c r="P342" t="n">
        <v>0</v>
      </c>
      <c r="Q342" t="n">
        <v>1</v>
      </c>
      <c r="R342" s="2" t="inlineStr">
        <is>
          <t>Desmeknopp</t>
        </is>
      </c>
      <c r="S342">
        <f>HYPERLINK("https://klasma.github.io/Logging_1286/artfynd/A 34341-2024 artfynd.xlsx", "A 34341-2024")</f>
        <v/>
      </c>
      <c r="T342">
        <f>HYPERLINK("https://klasma.github.io/Logging_1286/kartor/A 34341-2024 karta.png", "A 34341-2024")</f>
        <v/>
      </c>
      <c r="V342">
        <f>HYPERLINK("https://klasma.github.io/Logging_1286/klagomål/A 34341-2024 FSC-klagomål.docx", "A 34341-2024")</f>
        <v/>
      </c>
      <c r="W342">
        <f>HYPERLINK("https://klasma.github.io/Logging_1286/klagomålsmail/A 34341-2024 FSC-klagomål mail.docx", "A 34341-2024")</f>
        <v/>
      </c>
      <c r="X342">
        <f>HYPERLINK("https://klasma.github.io/Logging_1286/tillsyn/A 34341-2024 tillsynsbegäran.docx", "A 34341-2024")</f>
        <v/>
      </c>
      <c r="Y342">
        <f>HYPERLINK("https://klasma.github.io/Logging_1286/tillsynsmail/A 34341-2024 tillsynsbegäran mail.docx", "A 34341-2024")</f>
        <v/>
      </c>
    </row>
    <row r="343" ht="15" customHeight="1">
      <c r="A343" t="inlineStr">
        <is>
          <t>A 35258-2024</t>
        </is>
      </c>
      <c r="B343" s="1" t="n">
        <v>45530</v>
      </c>
      <c r="C343" s="1" t="n">
        <v>45570</v>
      </c>
      <c r="D343" t="inlineStr">
        <is>
          <t>SKÅNE LÄN</t>
        </is>
      </c>
      <c r="E343" t="inlineStr">
        <is>
          <t>SJÖBO</t>
        </is>
      </c>
      <c r="G343" t="n">
        <v>16.6</v>
      </c>
      <c r="H343" t="n">
        <v>0</v>
      </c>
      <c r="I343" t="n">
        <v>0</v>
      </c>
      <c r="J343" t="n">
        <v>0</v>
      </c>
      <c r="K343" t="n">
        <v>0</v>
      </c>
      <c r="L343" t="n">
        <v>1</v>
      </c>
      <c r="M343" t="n">
        <v>0</v>
      </c>
      <c r="N343" t="n">
        <v>0</v>
      </c>
      <c r="O343" t="n">
        <v>1</v>
      </c>
      <c r="P343" t="n">
        <v>1</v>
      </c>
      <c r="Q343" t="n">
        <v>1</v>
      </c>
      <c r="R343" s="2" t="inlineStr">
        <is>
          <t>Ask</t>
        </is>
      </c>
      <c r="S343">
        <f>HYPERLINK("https://klasma.github.io/Logging_1265/artfynd/A 35258-2024 artfynd.xlsx", "A 35258-2024")</f>
        <v/>
      </c>
      <c r="T343">
        <f>HYPERLINK("https://klasma.github.io/Logging_1265/kartor/A 35258-2024 karta.png", "A 35258-2024")</f>
        <v/>
      </c>
      <c r="V343">
        <f>HYPERLINK("https://klasma.github.io/Logging_1265/klagomål/A 35258-2024 FSC-klagomål.docx", "A 35258-2024")</f>
        <v/>
      </c>
      <c r="W343">
        <f>HYPERLINK("https://klasma.github.io/Logging_1265/klagomålsmail/A 35258-2024 FSC-klagomål mail.docx", "A 35258-2024")</f>
        <v/>
      </c>
      <c r="X343">
        <f>HYPERLINK("https://klasma.github.io/Logging_1265/tillsyn/A 35258-2024 tillsynsbegäran.docx", "A 35258-2024")</f>
        <v/>
      </c>
      <c r="Y343">
        <f>HYPERLINK("https://klasma.github.io/Logging_1265/tillsynsmail/A 35258-2024 tillsynsbegäran mail.docx", "A 35258-2024")</f>
        <v/>
      </c>
    </row>
    <row r="344" ht="15" customHeight="1">
      <c r="A344" t="inlineStr">
        <is>
          <t>A 40192-2024</t>
        </is>
      </c>
      <c r="B344" s="1" t="n">
        <v>45554</v>
      </c>
      <c r="C344" s="1" t="n">
        <v>45570</v>
      </c>
      <c r="D344" t="inlineStr">
        <is>
          <t>SKÅNE LÄN</t>
        </is>
      </c>
      <c r="E344" t="inlineStr">
        <is>
          <t>OSBY</t>
        </is>
      </c>
      <c r="G344" t="n">
        <v>60.5</v>
      </c>
      <c r="H344" t="n">
        <v>0</v>
      </c>
      <c r="I344" t="n">
        <v>1</v>
      </c>
      <c r="J344" t="n">
        <v>0</v>
      </c>
      <c r="K344" t="n">
        <v>0</v>
      </c>
      <c r="L344" t="n">
        <v>0</v>
      </c>
      <c r="M344" t="n">
        <v>0</v>
      </c>
      <c r="N344" t="n">
        <v>0</v>
      </c>
      <c r="O344" t="n">
        <v>0</v>
      </c>
      <c r="P344" t="n">
        <v>0</v>
      </c>
      <c r="Q344" t="n">
        <v>1</v>
      </c>
      <c r="R344" s="2" t="inlineStr">
        <is>
          <t>Blåmossa</t>
        </is>
      </c>
      <c r="S344">
        <f>HYPERLINK("https://klasma.github.io/Logging_1273/artfynd/A 40192-2024 artfynd.xlsx", "A 40192-2024")</f>
        <v/>
      </c>
      <c r="T344">
        <f>HYPERLINK("https://klasma.github.io/Logging_1273/kartor/A 40192-2024 karta.png", "A 40192-2024")</f>
        <v/>
      </c>
      <c r="V344">
        <f>HYPERLINK("https://klasma.github.io/Logging_1273/klagomål/A 40192-2024 FSC-klagomål.docx", "A 40192-2024")</f>
        <v/>
      </c>
      <c r="W344">
        <f>HYPERLINK("https://klasma.github.io/Logging_1273/klagomålsmail/A 40192-2024 FSC-klagomål mail.docx", "A 40192-2024")</f>
        <v/>
      </c>
      <c r="X344">
        <f>HYPERLINK("https://klasma.github.io/Logging_1273/tillsyn/A 40192-2024 tillsynsbegäran.docx", "A 40192-2024")</f>
        <v/>
      </c>
      <c r="Y344">
        <f>HYPERLINK("https://klasma.github.io/Logging_1273/tillsynsmail/A 40192-2024 tillsynsbegäran mail.docx", "A 40192-2024")</f>
        <v/>
      </c>
    </row>
    <row r="345" ht="15" customHeight="1">
      <c r="A345" t="inlineStr">
        <is>
          <t>A 18175-2019</t>
        </is>
      </c>
      <c r="B345" s="1" t="n">
        <v>43556</v>
      </c>
      <c r="C345" s="1" t="n">
        <v>45570</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45570</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45570</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45570</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45570</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45570</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45570</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45570</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45570</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45570</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45570</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45570</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45570</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45570</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45570</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45570</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45570</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45570</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45570</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45570</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45570</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45570</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45570</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45570</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45570</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45570</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45570</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45570</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45570</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45570</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45570</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45570</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45570</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45570</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45570</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45570</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45570</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45570</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45570</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45570</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45570</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45570</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45570</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45570</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45570</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45570</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45570</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45570</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45570</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45570</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45570</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45570</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45570</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45570</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45570</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45570</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45570</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45570</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45570</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45570</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45570</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45570</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45570</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45570</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45570</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45570</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45570</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45570</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45570</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45570</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45570</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45570</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45570</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45570</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45570</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45570</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45570</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45570</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45570</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45570</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45570</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45570</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45570</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45570</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45570</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45570</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45570</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45570</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45570</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45570</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45570</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45570</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45570</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45570</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45570</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45570</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45570</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45570</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45570</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45570</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45570</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45570</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45570</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45570</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45570</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45570</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45570</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45570</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45570</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45570</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45570</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45570</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45570</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45570</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45570</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45570</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45570</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45570</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45570</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45570</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45570</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45570</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45570</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45570</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45570</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45570</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45570</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45570</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45570</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45570</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45570</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45570</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45570</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45570</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45570</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45570</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45570</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45570</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45570</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45570</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45570</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45570</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45570</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45570</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45570</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45570</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45570</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45570</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45570</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45570</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45570</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45570</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45570</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45570</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45570</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45570</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45570</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45570</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45570</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45570</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45570</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45570</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45570</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45570</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45570</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45570</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45570</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45570</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45570</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45570</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45570</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45570</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45570</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45570</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45570</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45570</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45570</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45570</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45570</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45570</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45570</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45570</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45570</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45570</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45570</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45570</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45570</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45570</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45570</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45570</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45570</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45570</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45570</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45570</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45570</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45570</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45570</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45570</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45570</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45570</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45570</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45570</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45570</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45570</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45570</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45570</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45570</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45570</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45570</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45570</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45570</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45570</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45570</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45570</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45570</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45570</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45570</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45570</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45570</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45570</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45570</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45570</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45570</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45570</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45570</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45570</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45570</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45570</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45570</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45570</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45570</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45570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45570</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45570</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45570</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45570</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45570</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45570</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45570</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45570</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45570</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45570</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45570</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45570</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45570</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45570</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45570</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45570</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45570</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45570</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45570</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45570</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45570</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45570</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45570</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45570</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45570</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45570</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45570</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45570</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45570</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45570</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45570</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45570</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45570</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45570</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45570</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45570</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45570</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45570</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45570</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45570</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45570</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45570</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45570</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45570</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45570</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45570</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45570</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45570</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45570</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45570</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45570</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45570</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45570</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45570</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45570</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45570</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45570</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45570</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45570</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45570</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45570</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45570</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45570</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45570</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45570</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45570</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45570</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45570</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45570</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45570</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45570</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45570</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45570</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45570</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45570</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45570</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45570</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45570</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45570</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45570</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45570</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45570</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45570</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45570</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45570</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45570</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45570</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45570</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45570</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45570</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45570</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45570</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45570</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45570</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45570</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45570</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45570</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45570</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45570</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45570</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45570</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45570</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45570</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45570</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45570</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45570</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45570</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45570</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45570</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45570</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45570</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45570</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45570</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45570</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45570</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45570</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45570</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45570</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45570</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45570</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45570</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45570</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45570</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45570</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45570</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45570</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45570</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45570</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45570</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45570</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45570</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45570</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45570</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45570</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45570</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45570</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45570</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45570</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45570</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45570</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45570</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45570</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45570</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45570</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45570</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45570</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45570</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45570</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45570</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45570</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45570</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45570</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45570</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45570</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45570</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45570</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45570</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45570</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45570</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45570</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45570</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45570</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45570</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45570</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45570</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45570</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45570</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45570</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45570</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45570</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45570</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45570</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45570</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45570</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45570</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45570</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45570</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45570</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45570</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45570</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45570</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45570</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45570</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45570</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45570</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45570</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45570</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45570</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45570</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45570</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45570</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45570</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45570</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45570</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45570</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45570</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45570</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45570</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45570</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45570</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45570</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45570</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45570</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45570</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45570</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45570</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45570</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45570</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45570</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45570</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45570</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45570</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45570</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45570</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45570</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45570</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45570</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45570</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45570</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45570</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45570</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45570</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45570</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45570</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45570</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45570</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45570</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45570</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45570</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45570</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45570</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45570</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45570</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45570</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45570</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45570</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45570</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45570</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45570</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45570</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45570</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45570</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45570</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45570</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45570</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45570</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45570</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45570</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45570</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45570</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45570</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45570</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45570</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45570</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45570</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45570</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45570</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45570</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45570</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45570</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45570</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45570</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45570</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45570</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45570</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45570</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45570</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45570</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45570</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45570</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45570</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45570</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45570</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45570</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45570</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45570</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45570</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45570</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45570</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45570</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45570</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45570</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45570</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45570</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45570</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45570</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45570</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45570</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45570</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45570</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45570</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45570</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45570</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45570</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45570</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45570</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45570</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45570</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45570</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45570</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45570</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45570</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45570</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45570</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45570</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45570</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45570</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45570</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45570</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45570</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45570</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45570</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45570</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45570</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45570</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45570</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45570</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45570</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45570</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45570</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45570</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45570</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45570</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45570</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45570</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45570</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45570</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45570</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45570</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45570</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45570</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45570</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45570</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45570</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45570</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45570</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45570</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45570</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45570</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45570</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45570</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45570</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45570</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45570</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45570</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45570</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45570</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45570</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45570</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45570</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45570</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45570</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45570</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45570</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45570</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45570</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45570</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45570</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45570</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45570</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45570</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45570</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45570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45570</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45570</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45570</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45570</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45570</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45570</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45570</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45570</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45570</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45570</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45570</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45570</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45570</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45570</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45570</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45570</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45570</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45570</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45570</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45570</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45570</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45570</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45570</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45570</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45570</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45570</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45570</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45570</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45570</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45570</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45570</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45570</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45570</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45570</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45570</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45570</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45570</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45570</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45570</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45570</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45570</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45570</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45570</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45570</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45570</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45570</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45570</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45570</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45570</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45570</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45570</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45570</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45570</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45570</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45570</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45570</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45570</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45570</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45570</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45570</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45570</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45570</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45570</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45570</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45570</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45570</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45570</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45570</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45570</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45570</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45570</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45570</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45570</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45570</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45570</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45570</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45570</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45570</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45570</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45570</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45570</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45570</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45570</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45570</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45570</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45570</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45570</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45570</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45570</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45570</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45570</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45570</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45570</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45570</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45570</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45570</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45570</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45570</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45570</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45570</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45570</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45570</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45570</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45570</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45570</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45570</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45570</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45570</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45570</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45570</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45570</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45570</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45570</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45570</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45570</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45570</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45570</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45570</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45570</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45570</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45570</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45570</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45570</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45570</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45570</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45570</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45570</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45570</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45570</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45570</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45570</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45570</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45570</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45570</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45570</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45570</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45570</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45570</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45570</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45570</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45570</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45570</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45570</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45570</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45570</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45570</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45570</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45570</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45570</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45570</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45570</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45570</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45570</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45570</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45570</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45570</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45570</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45570</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45570</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45570</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45570</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45570</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45570</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45570</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45570</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45570</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45570</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45570</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45570</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45570</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45570</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45570</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45570</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45570</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45570</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45570</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45570</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45570</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45570</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45570</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45570</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45570</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45570</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45570</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45570</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45570</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45570</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45570</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45570</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45570</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45570</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45570</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45570</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45570</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45570</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45570</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45570</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45570</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45570</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45570</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45570</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45570</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45570</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45570</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45570</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45570</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45570</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45570</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45570</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45570</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45570</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45570</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45570</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45570</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45570</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45570</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45570</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45570</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45570</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45570</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45570</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45570</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45570</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45570</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45570</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45570</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45570</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45570</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45570</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45570</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45570</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45570</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45570</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45570</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45570</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45570</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45570</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45570</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45570</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45570</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45570</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45570</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45570</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45570</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45570</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45570</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45570</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45570</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45570</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45570</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45570</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45570</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45570</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45570</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45570</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45570</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45570</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45570</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45570</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45570</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45570</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45570</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45570</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45570</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45570</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45570</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45570</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45570</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45570</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45570</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45570</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45570</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45570</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45570</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45570</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45570</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45570</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45570</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45570</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45570</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45570</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45570</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45570</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45570</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45570</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45570</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45570</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45570</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45570</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45570</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45570</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45570</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45570</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45570</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45570</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45570</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45570</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45570</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45570</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45570</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45570</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45570</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45570</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45570</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45570</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45570</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45570</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45570</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45570</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45570</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45570</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45570</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45570</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45570</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45570</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45570</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45570</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45570</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45570</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45570</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45570</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45570</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45570</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45570</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45570</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45570</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45570</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45570</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45570</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45570</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45570</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45570</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45570</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45570</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45570</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45570</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45570</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45570</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45570</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45570</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45570</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45570</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45570</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45570</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45570</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45570</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45570</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45570</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45570</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45570</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45570</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45570</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45570</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45570</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45570</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45570</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45570</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45570</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45570</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45570</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45570</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45570</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45570</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45570</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45570</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45570</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45570</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45570</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45570</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45570</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45570</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45570</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45570</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45570</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45570</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45570</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45570</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45570</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45570</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45570</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45570</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45570</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45570</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45570</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45570</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45570</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45570</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45570</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45570</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45570</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45570</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45570</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45570</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45570</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45570</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45570</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45570</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45570</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45570</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45570</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45570</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45570</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45570</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45570</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45570</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45570</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45570</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45570</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45570</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45570</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45570</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45570</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45570</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45570</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45570</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45570</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45570</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45570</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45570</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45570</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45570</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45570</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45570</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45570</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45570</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45570</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45570</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45570</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45570</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45570</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45570</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45570</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45570</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45570</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45570</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45570</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45570</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45570</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45570</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45570</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45570</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45570</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45570</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45570</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45570</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45570</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45570</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45570</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45570</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45570</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45570</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45570</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45570</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45570</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45570</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45570</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45570</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45570</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45570</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45570</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45570</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45570</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45570</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45570</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45570</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45570</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45570</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45570</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45570</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45570</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45570</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45570</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45570</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45570</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45570</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45570</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45570</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45570</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45570</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45570</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45570</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45570</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45570</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45570</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45570</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45570</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45570</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45570</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45570</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45570</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45570</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45570</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45570</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45570</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45570</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45570</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45570</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45570</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45570</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45570</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45570</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45570</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45570</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45570</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45570</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45570</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45570</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45570</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45570</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45570</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45570</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45570</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45570</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45570</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45570</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45570</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45570</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45570</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45570</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45570</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45570</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45570</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45570</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45570</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45570</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45570</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45570</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45570</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45570</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45570</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45570</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45570</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45570</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45570</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45570</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45570</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45570</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45570</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45570</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45570</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45570</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45570</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45570</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45570</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45570</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45570</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45570</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45570</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45570</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45570</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45570</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45570</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45570</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45570</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45570</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45570</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45570</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45570</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45570</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45570</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45570</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45570</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45570</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45570</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45570</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45570</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45570</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45570</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45570</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45570</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45570</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45570</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45570</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45570</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45570</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45570</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45570</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45570</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45570</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45570</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45570</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45570</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45570</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45570</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45570</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45570</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45570</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45570</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45570</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45570</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45570</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45570</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45570</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45570</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45570</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45570</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45570</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45570</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45570</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45570</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45570</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45570</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45570</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45570</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45570</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45570</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45570</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45570</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45570</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45570</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45570</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45570</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45570</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45570</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45570</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45570</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45570</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45570</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45570</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45570</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45570</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45570</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45570</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45570</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45570</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45570</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45570</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45570</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45570</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45570</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45570</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45570</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45570</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45570</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45570</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45570</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45570</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45570</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45570</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45570</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45570</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45570</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45570</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45570</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45570</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45570</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45570</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45570</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45570</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45570</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45570</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45570</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45570</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45570</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45570</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45570</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45570</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45570</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45570</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45570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45570</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45570</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45570</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45570</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45570</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45570</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45570</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45570</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45570</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45570</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45570</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45570</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45570</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45570</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45570</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45570</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45570</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45570</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45570</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45570</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45570</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45570</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45570</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45570</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45570</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45570</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45570</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45570</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45570</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45570</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45570</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45570</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45570</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45570</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45570</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45570</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45570</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45570</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45570</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45570</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45570</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45570</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45570</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45570</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45570</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45570</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45570</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45570</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45570</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45570</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45570</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45570</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45570</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45570</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45570</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45570</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45570</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45570</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45570</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45570</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45570</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45570</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45570</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45570</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45570</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45570</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45570</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45570</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45570</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45570</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45570</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45570</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45570</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45570</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45570</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45570</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45570</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45570</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45570</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45570</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45570</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45570</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45570</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45570</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45570</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45570</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45570</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45570</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45570</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45570</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45570</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45570</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45570</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45570</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45570</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45570</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45570</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45570</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45570</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45570</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45570</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45570</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45570</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45570</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45570</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45570</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45570</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45570</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45570</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45570</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45570</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45570</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45570</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45570</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45570</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45570</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45570</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45570</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45570</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45570</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45570</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45570</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45570</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45570</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45570</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45570</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45570</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45570</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45570</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45570</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45570</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45570</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45570</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45570</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45570</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45570</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45570</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45570</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45570</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45570</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45570</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45570</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45570</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45570</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45570</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45570</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45570</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45570</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45570</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45570</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45570</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45570</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45570</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45570</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45570</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45570</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45570</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45570</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45570</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45570</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45570</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45570</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45570</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45570</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45570</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45570</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45570</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45570</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45570</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45570</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45570</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45570</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45570</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45570</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45570</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45570</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45570</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45570</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45570</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45570</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45570</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45570</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45570</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45570</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45570</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45570</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45570</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45570</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45570</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45570</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45570</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45570</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45570</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45570</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45570</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45570</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45570</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45570</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45570</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45570</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45570</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45570</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45570</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45570</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45570</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45570</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45570</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45570</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45570</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45570</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45570</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45570</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45570</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45570</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45570</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45570</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45570</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45570</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45570</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45570</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45570</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45570</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45570</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45570</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45570</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45570</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45570</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45570</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45570</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45570</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45570</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45570</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45570</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45570</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45570</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45570</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45570</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45570</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45570</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45570</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45570</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45570</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45570</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45570</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45570</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45570</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45570</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45570</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45570</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45570</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45570</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45570</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45570</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45570</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45570</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45570</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45570</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45570</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45570</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45570</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45570</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45570</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45570</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45570</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45570</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45570</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45570</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45570</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45570</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45570</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45570</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45570</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45570</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45570</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45570</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45570</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45570</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45570</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45570</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45570</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45570</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45570</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45570</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45570</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45570</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45570</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45570</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45570</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45570</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45570</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45570</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45570</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45570</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45570</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45570</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45570</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45570</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45570</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45570</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45570</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45570</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45570</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45570</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45570</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45570</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45570</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45570</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45570</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45570</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45570</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45570</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45570</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45570</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45570</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45570</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45570</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45570</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45570</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45570</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45570</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45570</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45570</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45570</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45570</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45570</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45570</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45570</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45570</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45570</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45570</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45570</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45570</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45570</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45570</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45570</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45570</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45570</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45570</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45570</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45570</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45570</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45570</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45570</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45570</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45570</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45570</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45570</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45570</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45570</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45570</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45570</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45570</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45570</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45570</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45570</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45570</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45570</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45570</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45570</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45570</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45570</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45570</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45570</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45570</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45570</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45570</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45570</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45570</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45570</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45570</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45570</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45570</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45570</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45570</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45570</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45570</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45570</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45570</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45570</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45570</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45570</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45570</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45570</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45570</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45570</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45570</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45570</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45570</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45570</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45570</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45570</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45570</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45570</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45570</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45570</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45570</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45570</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45570</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45570</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45570</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45570</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45570</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45570</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45570</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45570</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45570</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45570</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45570</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45570</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45570</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45570</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45570</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45570</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45570</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45570</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45570</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45570</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45570</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45570</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45570</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45570</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45570</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45570</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45570</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45570</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45570</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45570</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45570</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45570</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45570</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45570</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45570</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45570</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45570</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45570</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45570</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45570</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45570</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45570</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45570</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45570</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45570</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45570</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45570</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45570</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45570</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45570</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45570</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45570</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45570</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45570</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45570</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45570</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45570</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45570</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45570</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45570</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45570</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45570</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45570</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45570</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45570</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45570</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45570</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45570</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45570</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45570</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45570</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45570</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45570</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45570</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45570</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45570</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45570</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45570</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45570</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45570</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45570</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45570</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45570</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45570</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45570</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45570</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45570</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45570</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45570</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45570</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45570</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45570</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45570</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45570</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45570</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45570</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45570</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45570</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45570</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45570</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45570</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45570</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45570</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45570</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45570</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45570</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45570</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45570</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45570</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45570</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45570</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45570</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45570</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45570</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45570</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45570</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45570</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45570</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45570</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45570</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45570</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45570</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45570</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45570</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45570</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45570</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45570</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45570</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45570</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45570</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45570</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45570</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45570</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45570</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45570</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45570</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45570</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45570</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45570</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45570</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45570</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45570</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45570</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45570</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45570</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45570</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45570</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45570</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45570</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45570</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45570</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45570</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45570</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45570</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45570</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45570</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45570</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45570</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45570</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45570</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45570</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45570</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45570</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45570</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45570</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45570</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45570</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45570</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45570</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45570</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45570</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45570</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45570</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45570</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45570</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45570</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45570</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45570</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45570</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45570</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45570</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45570</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45570</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45570</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45570</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45570</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45570</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45570</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45570</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45570</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45570</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45570</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45570</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45570</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45570</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45570</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45570</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45570</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45570</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45570</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45570</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45570</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45570</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45570</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45570</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45570</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45570</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45570</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45570</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45570</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45570</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45570</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45570</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45570</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45570</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45570</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45570</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45570</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45570</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45570</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45570</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45570</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45570</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45570</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45570</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45570</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45570</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45570</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45570</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45570</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45570</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45570</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45570</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45570</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45570</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45570</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45570</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45570</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45570</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45570</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45570</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45570</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45570</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45570</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45570</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45570</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45570</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45570</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45570</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45570</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45570</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45570</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45570</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45570</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45570</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45570</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45570</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45570</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45570</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45570</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45570</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45570</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45570</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45570</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45570</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45570</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45570</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45570</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45570</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45570</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45570</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45570</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45570</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45570</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45570</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45570</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45570</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45570</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45570</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45570</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45570</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45570</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45570</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45570</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45570</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45570</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45570</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45570</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45570</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45570</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45570</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45570</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45570</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45570</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45570</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45570</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45570</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45570</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45570</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45570</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45570</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45570</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45570</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45570</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45570</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45570</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45570</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45570</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45570</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45570</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45570</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45570</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45570</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45570</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45570</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45570</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45570</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45570</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45570</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45570</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45570</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45570</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45570</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45570</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45570</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45570</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45570</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45570</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45570</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45570</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45570</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45570</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45570</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45570</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45570</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45570</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45570</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45570</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45570</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45570</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45570</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45570</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45570</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45570</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45570</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45570</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45570</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45570</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45570</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45570</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45570</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45570</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45570</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45570</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45570</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45570</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45570</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45570</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45570</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45570</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45570</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45570</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45570</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45570</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45570</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45570</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45570</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45570</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45570</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45570</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45570</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45570</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45570</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45570</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45570</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45570</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45570</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45570</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45570</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45570</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45570</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45570</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45570</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45570</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45570</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45570</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45570</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45570</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45570</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45570</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45570</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45570</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45570</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45570</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45570</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45570</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45570</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45570</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45570</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45570</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45570</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45570</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45570</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45570</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45570</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45570</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45570</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45570</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45570</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45570</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45570</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45570</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45570</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45570</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45570</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45570</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45570</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45570</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45570</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45570</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45570</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45570</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45570</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45570</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45570</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45570</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45570</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45570</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45570</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45570</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45570</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45570</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45570</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45570</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45570</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45570</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45570</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45570</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45570</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45570</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45570</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45570</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45570</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45570</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45570</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45570</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45570</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45570</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45570</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45570</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45570</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45570</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45570</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45570</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45570</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45570</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45570</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45570</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45570</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45570</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45570</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45570</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45570</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45570</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45570</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45570</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45570</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45570</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45570</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45570</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45570</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45570</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45570</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45570</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45570</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45570</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45570</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45570</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45570</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45570</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45570</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45570</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45570</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45570</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45570</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45570</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45570</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45570</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45570</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45570</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45570</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45570</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45570</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45570</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45570</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45570</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45570</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45570</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45570</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45570</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45570</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45570</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45570</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45570</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45570</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45570</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45570</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45570</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45570</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45570</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45570</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45570</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45570</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45570</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45570</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45570</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45570</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45570</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45570</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45570</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45570</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45570</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45570</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45570</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45570</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45570</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45570</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45570</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45570</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45570</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45570</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45570</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45570</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45570</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45570</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45570</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45570</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45570</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45570</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45570</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45570</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45570</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45570</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45570</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45570</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45570</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45570</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45570</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45570</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45570</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45570</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45570</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45570</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45570</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45570</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45570</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45570</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45570</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45570</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45570</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45570</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45570</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45570</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45570</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45570</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45570</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45570</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45570</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45570</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45570</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45570</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45570</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45570</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45570</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45570</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45570</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45570</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45570</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45570</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45570</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45570</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45570</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45570</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45570</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45570</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45570</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45570</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45570</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45570</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45570</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45570</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45570</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45570</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45570</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45570</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45570</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45570</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45570</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45570</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45570</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45570</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45570</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45570</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45570</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45570</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45570</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45570</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45570</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45570</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45570</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45570</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45570</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45570</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45570</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45570</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45570</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45570</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45570</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45570</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45570</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45570</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45570</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45570</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45570</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45570</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45570</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45570</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45570</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45570</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45570</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45570</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45570</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45570</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45570</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45570</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45570</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45570</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45570</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45570</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45570</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45570</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45570</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45570</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45570</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45570</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45570</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45570</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45570</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45570</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45570</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45570</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45570</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45570</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45570</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45570</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45570</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45570</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45570</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45570</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45570</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45570</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45570</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45570</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45570</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45570</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45570</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45570</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45570</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45570</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45570</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45570</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45570</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45570</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45570</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45570</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45570</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45570</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45570</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45570</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45570</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45570</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45570</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45570</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45570</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45570</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45570</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45570</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45570</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45570</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45570</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45570</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45570</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45570</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45570</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45570</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45570</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45570</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45570</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45570</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45570</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45570</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45570</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45570</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45570</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45570</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45570</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45570</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45570</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45570</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45570</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45570</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45570</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45570</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45570</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45570</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45570</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45570</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45570</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45570</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45570</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45570</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45570</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45570</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45570</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45570</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45570</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45570</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45570</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45570</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45570</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45570</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45570</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45570</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45570</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45570</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45570</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45570</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45570</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45570</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45570</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45570</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45570</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45570</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45570</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45570</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45570</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45570</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45570</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45570</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45570</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45570</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45570</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45570</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45570</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45570</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45570</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45570</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45570</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45570</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45570</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45570</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45570</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45570</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45570</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45570</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45570</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45570</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45570</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45570</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45570</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45570</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45570</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45570</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45570</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45570</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45570</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45570</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45570</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45570</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45570</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45570</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45570</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45570</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45570</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45570</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45570</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45570</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45570</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45570</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45570</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45570</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45570</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45570</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45570</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45570</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45570</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45570</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45570</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45570</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45570</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45570</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45570</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45570</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45570</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45570</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45570</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45570</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45570</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45570</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45570</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45570</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45570</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45570</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45570</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45570</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45570</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45570</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45570</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45570</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45570</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45570</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45570</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45570</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45570</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45570</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45570</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45570</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45570</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45570</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45570</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45570</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45570</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45570</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45570</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45570</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45570</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45570</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45570</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45570</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45570</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45570</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45570</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45570</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45570</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45570</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45570</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45570</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45570</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45570</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45570</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45570</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45570</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45570</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45570</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45570</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45570</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45570</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45570</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45570</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45570</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45570</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45570</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45570</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45570</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45570</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45570</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45570</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45570</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45570</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45570</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45570</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45570</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45570</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45570</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45570</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45570</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45570</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45570</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45570</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45570</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45570</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45570</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45570</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45570</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45570</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45570</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45570</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45570</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45570</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45570</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45570</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45570</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45570</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45570</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45570</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45570</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45570</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45570</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45570</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45570</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45570</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45570</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45570</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45570</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45570</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45570</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45570</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45570</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45570</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45570</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45570</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45570</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45570</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45570</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45570</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45570</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45570</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45570</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45570</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45570</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45570</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45570</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45570</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45570</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45570</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45570</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45570</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45570</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45570</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45570</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45570</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45570</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45570</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45570</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45570</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45570</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45570</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45570</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45570</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45570</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45570</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45570</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45570</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45570</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45570</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45570</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45570</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45570</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45570</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45570</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45570</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45570</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45570</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45570</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45570</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45570</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45570</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45570</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45570</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45570</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45570</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45570</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45570</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45570</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45570</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45570</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45570</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45570</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45570</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45570</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45570</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45570</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45570</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45570</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45570</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45570</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45570</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45570</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45570</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45570</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45570</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45570</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45570</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45570</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45570</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45570</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45570</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45570</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45570</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45570</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45570</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45570</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45570</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45570</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45570</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45570</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45570</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45570</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45570</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45570</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45570</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45570</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45570</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45570</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45570</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45570</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45570</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45570</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45570</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45570</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45570</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45570</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45570</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45570</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45570</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45570</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45570</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45570</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45570</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45570</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45570</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45570</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45570</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45570</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45570</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45570</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45570</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45570</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45570</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45570</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45570</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45570</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45570</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45570</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45570</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45570</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45570</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45570</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45570</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45570</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45570</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45570</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45570</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45570</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45570</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45570</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45570</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45570</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45570</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45570</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45570</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45570</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45570</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45570</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45570</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45570</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45570</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45570</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45570</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45570</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45570</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45570</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45570</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45570</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45570</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45570</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45570</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45570</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45570</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45570</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45570</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45570</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45570</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45570</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45570</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45570</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45570</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45570</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45570</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45570</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45570</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45570</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45570</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45570</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45570</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45570</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45570</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45570</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45570</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45570</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45570</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45570</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45570</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45570</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45570</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45570</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45570</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45570</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45570</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45570</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45570</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45570</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45570</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45570</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45570</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45570</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45570</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45570</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45570</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45570</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45570</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45570</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45570</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45570</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45570</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45570</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45570</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45570</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45570</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45570</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45570</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45570</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45570</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45570</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45570</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45570</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45570</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45570</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45570</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45570</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45570</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45570</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45570</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45570</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45570</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45570</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45570</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45570</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45570</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45570</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45570</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45570</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45570</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45570</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45570</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45570</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45570</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45570</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45570</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45570</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45570</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45570</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45570</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45570</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45570</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45570</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45570</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45570</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45570</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45570</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45570</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45570</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45570</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45570</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45570</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45570</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45570</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45570</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45570</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45570</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45570</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45570</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45570</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45570</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45570</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45570</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45570</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45570</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45570</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45570</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45570</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45570</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45570</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45570</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45570</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45570</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45570</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45570</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45570</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45570</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45570</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45570</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45570</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45570</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45570</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45570</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45570</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45570</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45570</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45570</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45570</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45570</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45570</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45570</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45570</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45570</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45570</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45570</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45570</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45570</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45570</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45570</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45570</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45570</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45570</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45570</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45570</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45570</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45570</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45570</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45570</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45570</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45570</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45570</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45570</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45570</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45570</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45570</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45570</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45570</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45570</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45570</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45570</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45570</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45570</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45570</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45570</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45570</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45570</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45570</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45570</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45570</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45570</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45570</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45570</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45570</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45570</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45570</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45570</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45570</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45570</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45570</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45570</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45570</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45570</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45570</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45570</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45570</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45570</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45570</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45570</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45570</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45570</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45570</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45570</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45570</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45570</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45570</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45570</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45570</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45570</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45570</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45570</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45570</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45570</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45570</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45570</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45570</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45570</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45570</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45570</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45570</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45570</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45570</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45570</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45570</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45570</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45570</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45570</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45570</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45570</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45570</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45570</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45570</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45570</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45570</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45570</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45570</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45570</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45570</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45570</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45570</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45570</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45570</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45570</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45570</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45570</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45570</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45570</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45570</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45570</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45570</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45570</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45570</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45570</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45570</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45570</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45570</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45570</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45570</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45570</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45570</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45570</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45570</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45570</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45570</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45570</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45570</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45570</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45570</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45570</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45570</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45570</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45570</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45570</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45570</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45570</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45570</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45570</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45570</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45570</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45570</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45570</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45570</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45570</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45570</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45570</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45570</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45570</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45570</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45570</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45570</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45570</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45570</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45570</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45570</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45570</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45570</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45570</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45570</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45570</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45570</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45570</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45570</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45570</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45570</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45570</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45570</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45570</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45570</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45570</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45570</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45570</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45570</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45570</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45570</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45570</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45570</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45570</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45570</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45570</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45570</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45570</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45570</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45570</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45570</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45570</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45570</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45570</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45570</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45570</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45570</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45570</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45570</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45570</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45570</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45570</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45570</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45570</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45570</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45570</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45570</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45570</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45570</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45570</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45570</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45570</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45570</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45570</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45570</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45570</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45570</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45570</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45570</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45570</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45570</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45570</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45570</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45570</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45570</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45570</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45570</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45570</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45570</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45570</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45570</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45570</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45570</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45570</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45570</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45570</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45570</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45570</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45570</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45570</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45570</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45570</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45570</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45570</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45570</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45570</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45570</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45570</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45570</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45570</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45570</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45570</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45570</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45570</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45570</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45570</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45570</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45570</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45570</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45570</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45570</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45570</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45570</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45570</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45570</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45570</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45570</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45570</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45570</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45570</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45570</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45570</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45570</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45570</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45570</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45570</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45570</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45570</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45570</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45570</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45570</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45570</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45570</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45570</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45570</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45570</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45570</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45570</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45570</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45570</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45570</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45570</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45570</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45570</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45570</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45570</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45570</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45570</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45570</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45570</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45570</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45570</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45570</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45570</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45570</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45570</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45570</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45570</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45570</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45570</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45570</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45570</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45570</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45570</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45570</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45570</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45570</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45570</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45570</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45570</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45570</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45570</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45570</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45570</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45570</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45570</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45570</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45570</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45570</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45570</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45570</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45570</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45570</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45570</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45570</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45570</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45570</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45570</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45570</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45570</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45570</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45570</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45570</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45570</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45570</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45570</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45570</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45570</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45570</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45570</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45570</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45570</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45570</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45570</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45570</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45570</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45570</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45570</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45570</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45570</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45570</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45570</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45570</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45570</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45570</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45570</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45570</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45570</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45570</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45570</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45570</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45570</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45570</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45570</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45570</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45570</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45570</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45570</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45570</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45570</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45570</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45570</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45570</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45570</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45570</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45570</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45570</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45570</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45570</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45570</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45570</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45570</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45570</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45570</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45570</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45570</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45570</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45570</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45570</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45570</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45570</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45570</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45570</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45570</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45570</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45570</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45570</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45570</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45570</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45570</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45570</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45570</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45570</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45570</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45570</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45570</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45570</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45570</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45570</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45570</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45570</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45570</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45570</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45570</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45570</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45570</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45570</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45570</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45570</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45570</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45570</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45570</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45570</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45570</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45570</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45570</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45570</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45570</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45570</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45570</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45570</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45570</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45570</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45570</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45570</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45570</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45570</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45570</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45570</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45570</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45570</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45570</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45570</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45570</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45570</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45570</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45570</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45570</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45570</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45570</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45570</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45570</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45570</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45570</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45570</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45570</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45570</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45570</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45570</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45570</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45570</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45570</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45570</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45570</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45570</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45570</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45570</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45570</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45570</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45570</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45570</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45570</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45570</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45570</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45570</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45570</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45570</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45570</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45570</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45570</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45570</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45570</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45570</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45570</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45570</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45570</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45570</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45570</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45570</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45570</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45570</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45570</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45570</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45570</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45570</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45570</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45570</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45570</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45570</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45570</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45570</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45570</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45570</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45570</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45570</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45570</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45570</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45570</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45570</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45570</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45570</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45570</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45570</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45570</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45570</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45570</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45570</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45570</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45570</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45570</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45570</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45570</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45570</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45570</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45570</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45570</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45570</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45570</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45570</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45570</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45570</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45570</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45570</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45570</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45570</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45570</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45570</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45570</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45570</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45570</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45570</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45570</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45570</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45570</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45570</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45570</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45570</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45570</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45570</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45570</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45570</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45570</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45570</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45570</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45570</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45570</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45570</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45570</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45570</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45570</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45570</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45570</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45570</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45570</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45570</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45570</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45570</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45570</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45570</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45570</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45570</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45570</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45570</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45570</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45570</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45570</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45570</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45570</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45570</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45570</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45570</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45570</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45570</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45570</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45570</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45570</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45570</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45570</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45570</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45570</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45570</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45570</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45570</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45570</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45570</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45570</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45570</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45570</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45570</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45570</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45570</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45570</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45570</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45570</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45570</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45570</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45570</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45570</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45570</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45570</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45570</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45570</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45570</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45570</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45570</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45570</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45570</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45570</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45570</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45570</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45570</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45570</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45570</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45570</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45570</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45570</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45570</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45570</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45570</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45570</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45570</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45570</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45570</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45570</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45570</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45570</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45570</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45570</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45570</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45570</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45570</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45570</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45570</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45570</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45570</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45570</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45570</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45570</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45570</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45570</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45570</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45570</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45570</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45570</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45570</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45570</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45570</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45570</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45570</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45570</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45570</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45570</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45570</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45570</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45570</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45570</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45570</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45570</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45570</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45570</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45570</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45570</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45570</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45570</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45570</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45570</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45570</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45570</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45570</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45570</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45570</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45570</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45570</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45570</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45570</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45570</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45570</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45570</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45570</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45570</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45570</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45570</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45570</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45570</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45570</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45570</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45570</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45570</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45570</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45570</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45570</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45570</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45570</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45570</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45570</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45570</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45570</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45570</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45570</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45570</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45570</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45570</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45570</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45570</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45570</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45570</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45570</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45570</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45570</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45570</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45570</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45570</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45570</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45570</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45570</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45570</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45570</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45570</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45570</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45570</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45570</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45570</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45570</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45570</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45570</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45570</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45570</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45570</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45570</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45570</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45570</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45570</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45570</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45570</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45570</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45570</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45570</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45570</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45570</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45570</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45570</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45570</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45570</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45570</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45570</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45570</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45570</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45570</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45570</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45570</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45570</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45570</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45570</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45570</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45570</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45570</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45570</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45570</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45570</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45570</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45570</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45570</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45570</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45570</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45570</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45570</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45570</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45570</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45570</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45570</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45570</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45570</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45570</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45570</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45570</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45570</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45570</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45570</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45570</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45570</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45570</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45570</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45570</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45570</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45570</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45570</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45570</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45570</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45570</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45570</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45570</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45570</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45570</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45570</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45570</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45570</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45570</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45570</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45570</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45570</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45570</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45570</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45570</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45570</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45570</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45570</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45570</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45570</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45570</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45570</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45570</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45570</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45570</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45570</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45570</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45570</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45570</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45570</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45570</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45570</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45570</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45570</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45570</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45570</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45570</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45570</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45570</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45570</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45570</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45570</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45570</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45570</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45570</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45570</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45570</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45570</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45570</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45570</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45570</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45570</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45570</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45570</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45570</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45570</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45570</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45570</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45570</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45570</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45570</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45570</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45570</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45570</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45570</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45570</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45570</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45570</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45570</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45570</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45570</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45570</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45570</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45570</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45570</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45570</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45570</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45570</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45570</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45570</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45570</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45570</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45570</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45570</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45570</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45570</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45570</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45570</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45570</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45570</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45570</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45570</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45570</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45570</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45570</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45570</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45570</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45570</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45570</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45570</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45570</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45570</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45570</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45570</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45570</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45570</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45570</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45570</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45570</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45570</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45570</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45570</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45570</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45570</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45570</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45570</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45570</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45570</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45570</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45570</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45570</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45570</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45570</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45570</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45570</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45570</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45570</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45570</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45570</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45570</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45570</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45570</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45570</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45570</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45570</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45570</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45570</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45570</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45570</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45570</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45570</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45570</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45570</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45570</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45570</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45570</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45570</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45570</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45570</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45570</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45570</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45570</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45570</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45570</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45570</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45570</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45570</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45570</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45570</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45570</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45570</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45570</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45570</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45570</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45570</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45570</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45570</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45570</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45570</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45570</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45570</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45570</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45570</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45570</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45570</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45570</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45570</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45570</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45570</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45570</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45570</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45570</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45570</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45570</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45570</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45570</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45570</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45570</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45570</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45570</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45570</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45570</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45570</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45570</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45570</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45570</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45570</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45570</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45570</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45570</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45570</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45570</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45570</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45570</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45570</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45570</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45570</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45570</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45570</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45570</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45570</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45570</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45570</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45570</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45570</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45570</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45570</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45570</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45570</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45570</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45570</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45570</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45570</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45570</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45570</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45570</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45570</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45570</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45570</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45570</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45570</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45570</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45570</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45570</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45570</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45570</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45570</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45570</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45570</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45570</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45570</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45570</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45570</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45570</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45570</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45570</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45570</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45570</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45570</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45570</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45570</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45570</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45570</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45570</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45570</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45570</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45570</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45570</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45570</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45570</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45570</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45570</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45570</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45570</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45570</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45570</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45570</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45570</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45570</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45570</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45570</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45570</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45570</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45570</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45570</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45570</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45570</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45570</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45570</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45570</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45570</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45570</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45570</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45570</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45570</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45570</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45570</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45570</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45570</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45570</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45570</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45570</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45570</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45570</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45570</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45570</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45570</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45570</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45570</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45570</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45570</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45570</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45570</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45570</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45570</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45570</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45570</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45570</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45570</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45570</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45570</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45570</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45570</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45570</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45570</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45570</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45570</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45570</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45570</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45570</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45570</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45570</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45570</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45570</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45570</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45570</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45570</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45570</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45570</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45570</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45570</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45570</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45570</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45570</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45570</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45570</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45570</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45570</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45570</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45570</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45570</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45570</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45570</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45570</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45570</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45570</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45570</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45570</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45570</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45570</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45570</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45570</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45570</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45570</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45570</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45570</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45570</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45570</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45570</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45570</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45570</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45570</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45570</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45570</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45570</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45570</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45570</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45570</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45570</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45570</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45570</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45570</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45570</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45570</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45570</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45570</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45570</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45570</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45570</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45570</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45570</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45570</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45570</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45570</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45570</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45570</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45570</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45570</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45570</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45570</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45570</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45570</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45570</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45570</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45570</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45570</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45570</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45570</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45570</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45570</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45570</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45570</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45570</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45570</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45570</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45570</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45570</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45570</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45570</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45570</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45570</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45570</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45570</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45570</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45570</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45570</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45570</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45570</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45570</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45570</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45570</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45570</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45570</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45570</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45570</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45570</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45570</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45570</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45570</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45570</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45570</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45570</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45570</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45570</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45570</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45570</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45570</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45570</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45570</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45570</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45570</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45570</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45570</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45570</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45570</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45570</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45570</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45570</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45570</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45570</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45570</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45570</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45570</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45570</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45570</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45570</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45570</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45570</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45570</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45570</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45570</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45570</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45570</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45570</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45570</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45570</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45570</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45570</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45570</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45570</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45570</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45570</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45570</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45570</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45570</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45570</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45570</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45570</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45570</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45570</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45570</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45570</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45570</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45570</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45570</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45570</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45570</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45570</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45570</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45570</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45570</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45570</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45570</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45570</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45570</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45570</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45570</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45570</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45570</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45570</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45570</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45570</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45570</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45570</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45570</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45570</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45570</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45570</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45570</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45570</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45570</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45570</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45570</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45570</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45570</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45570</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45570</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45570</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45570</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45570</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45570</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45570</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45570</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45570</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45570</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45570</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45570</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45570</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45570</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45570</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45570</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45570</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45570</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45570</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45570</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45570</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45570</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45570</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45570</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45570</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45570</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45570</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45570</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45570</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45570</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45570</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45570</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45570</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45570</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45570</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45570</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45570</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45570</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45570</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45570</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45570</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45570</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45570</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45570</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45570</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45570</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45570</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45570</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45570</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45570</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45570</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45570</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45570</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45570</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45570</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45570</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45570</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45570</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45570</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45570</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45570</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45570</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45570</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45570</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45570</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45570</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45570</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45570</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45570</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45570</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45570</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45570</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45570</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45570</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45570</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45570</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45570</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45570</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45570</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45570</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45570</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45570</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45570</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45570</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45570</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45570</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45570</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45570</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45570</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45570</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45570</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45570</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45570</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45570</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45570</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45570</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45570</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45570</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45570</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45570</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45570</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45570</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45570</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45570</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45570</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45570</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45570</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45570</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45570</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45570</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45570</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45570</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45570</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45570</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45570</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45570</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45570</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45570</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45570</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45570</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45570</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45570</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45570</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45570</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45570</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45570</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45570</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45570</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45570</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45570</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45570</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45570</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45570</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45570</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45570</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45570</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45570</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45570</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45570</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45570</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45570</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45570</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45570</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45570</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45570</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45570</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45570</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45570</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45570</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45570</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45570</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45570</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45570</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45570</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45570</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45570</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45570</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45570</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45570</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45570</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45570</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45570</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45570</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45570</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45570</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45570</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45570</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45570</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45570</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45570</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45570</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45570</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45570</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45570</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45570</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45570</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45570</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45570</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45570</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45570</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45570</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45570</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45570</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45570</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45570</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45570</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45570</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45570</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45570</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45570</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45570</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45570</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45570</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45570</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45570</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45570</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45570</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45570</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45570</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45570</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45570</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45570</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45570</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45570</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45570</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45570</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45570</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45570</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45570</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45570</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45570</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45570</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45570</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45570</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45570</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45570</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45570</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45570</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45570</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45570</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45570</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45570</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45570</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45570</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45570</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45570</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45570</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45570</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45570</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45570</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45570</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45570</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45570</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45570</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45570</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45570</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45570</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45570</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45570</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45570</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45570</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45570</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45570</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45570</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45570</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45570</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45570</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45570</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45570</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45570</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45570</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45570</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45570</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45570</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45570</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45570</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45570</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45570</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45570</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45570</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45570</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45570</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45570</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45570</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45570</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45570</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45570</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45570</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45570</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45570</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45570</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45570</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45570</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45570</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45570</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45570</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45570</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45570</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45570</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45570</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45570</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45570</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45570</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45570</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45570</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45570</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45570</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45570</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45570</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45570</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45570</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45570</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45570</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45570</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45570</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45570</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45570</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45570</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45570</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45570</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45570</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45570</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45570</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45570</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45570</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45570</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45570</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45570</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45570</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45570</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45570</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45570</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45570</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45570</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45570</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45570</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45570</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45570</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45570</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45570</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45570</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45570</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45570</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45570</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45570</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45570</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45570</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45570</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45570</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45570</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45570</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45570</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45570</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45570</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45570</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45570</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45570</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45570</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45570</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45570</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45570</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45570</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45570</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45570</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45570</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45570</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45570</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45570</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45570</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45570</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45570</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45570</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45570</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45570</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45570</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45570</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45570</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45570</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45570</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45570</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45570</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45570</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45570</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45570</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45570</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45570</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45570</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45570</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45570</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45570</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45570</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45570</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45570</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45570</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45570</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45570</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45570</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45570</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45570</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45570</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45570</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45570</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45570</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45570</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45570</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45570</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45570</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45570</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45570</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45570</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45570</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45570</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45570</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45570</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45570</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45570</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45570</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45570</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45570</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45570</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45570</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45570</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45570</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45570</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45570</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45570</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45570</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45570</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45570</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45570</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45570</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45570</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45570</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45570</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45570</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45570</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45570</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45570</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45570</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45570</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45570</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45570</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45570</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45570</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45570</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45570</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45570</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45570</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45570</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45570</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45570</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45570</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45570</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45570</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45570</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45570</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45570</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45570</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45570</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45570</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45570</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45570</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45570</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45570</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45570</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45570</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45570</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45570</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45570</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45570</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45570</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45570</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45570</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45570</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45570</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45570</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45570</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45570</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45570</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45570</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45570</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45570</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45570</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45570</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45570</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45570</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45570</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45570</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45570</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45570</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45570</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45570</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45570</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45570</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45570</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45570</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45570</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45570</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45570</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45570</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45570</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45570</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45570</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45570</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45570</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45570</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45570</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45570</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45570</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45570</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45570</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45570</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45570</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45570</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45570</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45570</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45570</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45570</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45570</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45570</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45570</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45570</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45570</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45570</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45570</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45570</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45570</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45570</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45570</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45570</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45570</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45570</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45570</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45570</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45570</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45570</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45570</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45570</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45570</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45570</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45570</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45570</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45570</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45570</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45570</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45570</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45570</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45570</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45570</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45570</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45570</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45570</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45570</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45570</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45570</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45570</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45570</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45570</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45570</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45570</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45570</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45570</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45570</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45570</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45570</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45570</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45570</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45570</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45570</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45570</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45570</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45570</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45570</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45570</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45570</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45570</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45570</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45570</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45570</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45570</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45570</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45570</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45570</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45570</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45570</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45570</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45570</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45570</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45570</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45570</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45570</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45570</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45570</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45570</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45570</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45570</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45570</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45570</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45570</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45570</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45570</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45570</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45570</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45570</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45570</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45570</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45570</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45570</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45570</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45570</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45570</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45570</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45570</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45570</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45570</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45570</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45570</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45570</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45570</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45570</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45570</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45570</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45570</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45570</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45570</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45570</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45570</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45570</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45570</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45570</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45570</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45570</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45570</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45570</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45570</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45570</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45570</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45570</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45570</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45570</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45570</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45570</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45570</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45570</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45570</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45570</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45570</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45570</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45570</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45570</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45570</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45570</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45570</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45570</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45570</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45570</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45570</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45570</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45570</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45570</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45570</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45570</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45570</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45570</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45570</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45570</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45570</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45570</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45570</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45570</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45570</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45570</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45570</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45570</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45570</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45570</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45570</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45570</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45570</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45570</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45570</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45570</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45570</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45570</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45570</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45570</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45570</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45570</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45570</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45570</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45570</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45570</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45570</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45570</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45570</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45570</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45570</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45570</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45570</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45570</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45570</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45570</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45570</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45570</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45570</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45570</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45570</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45570</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45570</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45570</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45570</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45570</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45570</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45570</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45570</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45570</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45570</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45570</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45570</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45570</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45570</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45570</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45570</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45570</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45570</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45570</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45570</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45570</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45570</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45570</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45570</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45570</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45570</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45570</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45570</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45570</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45570</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45570</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45570</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45570</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45570</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45570</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45570</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45570</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45570</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45570</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45570</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45570</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45570</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45570</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45570</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45570</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45570</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45570</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45570</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45570</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45570</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45570</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45570</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45570</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45570</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45570</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45570</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45570</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45570</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45570</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45570</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45570</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45570</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45570</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45570</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45570</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45570</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45570</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45570</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45570</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45570</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45570</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45570</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45570</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45570</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45570</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45570</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45570</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45570</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45570</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45570</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45570</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45570</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45570</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45570</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45570</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45570</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45570</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45570</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45570</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45570</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45570</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45570</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45570</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45570</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45570</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45570</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45570</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45570</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45570</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45570</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45570</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45570</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45570</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45570</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45570</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45570</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45570</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45570</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45570</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45570</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45570</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45570</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45570</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45570</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45570</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45570</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45570</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45570</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45570</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45570</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45570</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45570</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45570</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45570</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45570</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45570</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45570</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45570</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45570</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45570</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45570</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45570</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45570</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45570</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45570</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45570</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45570</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45570</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45570</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45570</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45570</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45570</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45570</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45570</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45570</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45570</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45570</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45570</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45570</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45570</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45570</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45570</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45570</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45570</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45570</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45570</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45570</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45570</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45570</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45570</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45570</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45570</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45570</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45570</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45570</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45570</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45570</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45570</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45570</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45570</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45570</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45570</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45570</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45570</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45570</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45570</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45570</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45570</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45570</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45570</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45570</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45570</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45570</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45570</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45570</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45570</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45570</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45570</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45570</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45570</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45570</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45570</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45570</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45570</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45570</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45570</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45570</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45570</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45570</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45570</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45570</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45570</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45570</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45570</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45570</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45570</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45570</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45570</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45570</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45570</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45570</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45570</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45570</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45570</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45570</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45570</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45570</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45570</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45570</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45570</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45570</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45570</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45570</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45570</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45570</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45570</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45570</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45570</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45570</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45570</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45570</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45570</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45570</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45570</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45570</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45570</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45570</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45570</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45570</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45570</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45570</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45570</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45570</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45570</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45570</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45570</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45570</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45570</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45570</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45570</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45570</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45570</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45570</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45570</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45570</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45570</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45570</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45570</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45570</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45570</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45570</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45570</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45570</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45570</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45570</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45570</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45570</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45570</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45570</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45570</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45570</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45570</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45570</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45570</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45570</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45570</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45570</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45570</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45570</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45570</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45570</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45570</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45570</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45570</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45570</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45570</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45570</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45570</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45570</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45570</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45570</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45570</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45570</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45570</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45570</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45570</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45570</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45570</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45570</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45570</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45570</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45570</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45570</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45570</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45570</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45570</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45570</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45570</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45570</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45570</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45570</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45570</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45570</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45570</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45570</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45570</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45570</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45570</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45570</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45570</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45570</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45570</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45570</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45570</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45570</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45570</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45570</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45570</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45570</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45570</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45570</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45570</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45570</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45570</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45570</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45570</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45570</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45570</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45570</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45570</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45570</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45570</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45570</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45570</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45570</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45570</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45570</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45570</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45570</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45570</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45570</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45570</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45570</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45570</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45570</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45570</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45570</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45570</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45570</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45570</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45570</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45570</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45570</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45570</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45570</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45570</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45570</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45570</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45570</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45570</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45570</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45570</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45570</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45570</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45570</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45570</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45570</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45570</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45570</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45570</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45570</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45570</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45570</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45570</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45570</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45570</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45570</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45570</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45570</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45570</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45570</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45570</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45570</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45570</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45570</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45570</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45570</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45570</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45570</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45570</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45570</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45570</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45570</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45570</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45570</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45570</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45570</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45570</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45570</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45570</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45570</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45570</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45570</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45570</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45570</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45570</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45570</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45570</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45570</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45570</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45570</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45570</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45570</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45570</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45570</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45570</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45570</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45570</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45570</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45570</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45570</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45570</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45570</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45570</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45570</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45570</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45570</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45570</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45570</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45570</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45570</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45570</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45570</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45570</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45570</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45570</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45570</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45570</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45570</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45570</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45570</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45570</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45570</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45570</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45570</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45570</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45570</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45570</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45570</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45570</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45570</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45570</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45570</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45570</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45570</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45570</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45570</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45570</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45570</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45570</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45570</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45570</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45570</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45570</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45570</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45570</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45570</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45570</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45570</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45570</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45570</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45570</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45570</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45570</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45570</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45570</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45570</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45570</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45570</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45570</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45570</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45570</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45570</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45570</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45570</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45570</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45570</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45570</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45570</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45570</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45570</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45570</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45570</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45570</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45570</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45570</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45570</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45570</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45570</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45570</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45570</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45570</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45570</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45570</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45570</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45570</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45570</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45570</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45570</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45570</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45570</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45570</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45570</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45570</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45570</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45570</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45570</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45570</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45570</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45570</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45570</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45570</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45570</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45570</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45570</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45570</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45570</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45570</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45570</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45570</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45570</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45570</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45570</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45570</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45570</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45570</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45570</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45570</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45570</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45570</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45570</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45570</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45570</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45570</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45570</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45570</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45570</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45570</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45570</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45570</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45570</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45570</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45570</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45570</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45570</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45570</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45570</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45570</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45570</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45570</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45570</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45570</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45570</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45570</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45570</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45570</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45570</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45570</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45570</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45570</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45570</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45570</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45570</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45570</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45570</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45570</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45570</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45570</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45570</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45570</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45570</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45570</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45570</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45570</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45570</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45570</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45570</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45570</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45570</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45570</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45570</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45570</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45570</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45570</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45570</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45570</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45570</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45570</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45570</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45570</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45570</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45570</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45570</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45570</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45570</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45570</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45570</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45570</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45570</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45570</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45570</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45570</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45570</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45570</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45570</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45570</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45570</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45570</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45570</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45570</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45570</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45570</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45570</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45570</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45570</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45570</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45570</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45570</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45570</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45570</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45570</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45570</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45570</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45570</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45570</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45570</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45570</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45570</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45570</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45570</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45570</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45570</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45570</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45570</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45570</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45570</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45570</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45570</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45570</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45570</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45570</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45570</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45570</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45570</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45570</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45570</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45570</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45570</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45570</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45570</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45570</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45570</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45570</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45570</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45570</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45570</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45570</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45570</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45570</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45570</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45570</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45570</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45570</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45570</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45570</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45570</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45570</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45570</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45570</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45570</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45570</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45570</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45570</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45570</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45570</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45570</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45570</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45570</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45570</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45570</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45570</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45570</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45570</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45570</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45570</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45570</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45570</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45570</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45570</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45570</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45570</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45570</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45570</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45570</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45570</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45570</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45570</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45570</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45570</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45570</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45570</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45570</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45570</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45570</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45570</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45570</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45570</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45570</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45570</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45570</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45570</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45570</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45570</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45570</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45570</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45570</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45570</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45570</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45570</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45570</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45570</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45570</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45570</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45570</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45570</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45570</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45570</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45570</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45570</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45570</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45570</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45570</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45570</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45570</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45570</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45570</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45570</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45570</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45570</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45570</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45570</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45570</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45570</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45570</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45570</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45570</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45570</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45570</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45570</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45570</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45570</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45570</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45570</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45570</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45570</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45570</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45570</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45570</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45570</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45570</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45570</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45570</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45570</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45570</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45570</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45570</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45570</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45570</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45570</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45570</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45570</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45570</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45570</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45570</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45570</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45570</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45570</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45570</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45570</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45570</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45570</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45570</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45570</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45570</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45570</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45570</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45570</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45570</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45570</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45570</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45570</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45570</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45570</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45570</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45570</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45570</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45570</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45570</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45570</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45570</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45570</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45570</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45570</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45570</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45570</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45570</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45570</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45570</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45570</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45570</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45570</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45570</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45570</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45570</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45570</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45570</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45570</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45570</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45570</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45570</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45570</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45570</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45570</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45570</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45570</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45570</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45570</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45570</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45570</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45570</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45570</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45570</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45570</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45570</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45570</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45570</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45570</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45570</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45570</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45570</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45570</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45570</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45570</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45570</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45570</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45570</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45570</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45570</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45570</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45570</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45570</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45570</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45570</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45570</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45570</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45570</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45570</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45570</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45570</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45570</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45570</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45570</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45570</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45570</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45570</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45570</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45570</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45570</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45570</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45570</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45570</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45570</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45570</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45570</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45570</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45570</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45570</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45570</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45570</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45570</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45570</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45570</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45570</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45570</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45570</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45570</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45570</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45570</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45570</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45570</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45570</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45570</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45570</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45570</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45570</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45570</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45570</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45570</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45570</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45570</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45570</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45570</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45570</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45570</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45570</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45570</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45570</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45570</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45570</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45570</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45570</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45570</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45570</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45570</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45570</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45570</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45570</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45570</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45570</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45570</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45570</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45570</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45570</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45570</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45570</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45570</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45570</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45570</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45570</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45570</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45570</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45570</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45570</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45570</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45570</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45570</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45570</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45570</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45570</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45570</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45570</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45570</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45570</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45570</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45570</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45570</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45570</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45570</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45570</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45570</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45570</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45570</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45570</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45570</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45570</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45570</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45570</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45570</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45570</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45570</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45570</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45570</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45570</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45570</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45570</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45570</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45570</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45570</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45570</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45570</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45570</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45570</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45570</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45570</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45570</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45570</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45570</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45570</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45570</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45570</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45570</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45570</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45570</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45570</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45570</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45570</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45570</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45570</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45570</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45570</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45570</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45570</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45570</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45570</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45570</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45570</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45570</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45570</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45570</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45570</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45570</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45570</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45570</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45570</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45570</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45570</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45570</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45570</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45570</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45570</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45570</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45570</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45570</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45570</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45570</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45570</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45570</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45570</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45570</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45570</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45570</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45570</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45570</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45570</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45570</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45570</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45570</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45570</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45570</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45570</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45570</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45570</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45570</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45570</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45570</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45570</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45570</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45570</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45570</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45570</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45570</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45570</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45570</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45570</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45570</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45570</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45570</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45570</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45570</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45570</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45570</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45570</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45570</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45570</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45570</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45570</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45570</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45570</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45570</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45570</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45570</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45570</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45570</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45570</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45570</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45570</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45570</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45570</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45570</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45570</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45570</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45570</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45570</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45570</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45570</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45570</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45570</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45570</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45570</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45570</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45570</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45570</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45570</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45570</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45570</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45570</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45570</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45570</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45570</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45570</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45570</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45570</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45570</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45570</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45570</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45570</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45570</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45570</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45570</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45570</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45570</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45570</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45570</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45570</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45570</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45570</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45570</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45570</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45570</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45570</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45570</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45570</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45570</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45570</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45570</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45570</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45570</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45570</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45570</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45570</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45570</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45570</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45570</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45570</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45570</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45570</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45570</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45570</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45570</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45570</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45570</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45570</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45570</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45570</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45570</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45570</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45570</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45570</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45570</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45570</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45570</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45570</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45570</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45570</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45570</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45570</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45570</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45570</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45570</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45570</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45570</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45570</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45570</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45570</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45570</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45570</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45570</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45570</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45570</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45570</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45570</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45570</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45570</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45570</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45570</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45570</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45570</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45570</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45570</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45570</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45570</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45570</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45570</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45570</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45570</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45570</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45570</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45570</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45570</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45570</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45570</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45570</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45570</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45570</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45570</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45570</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45570</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45570</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45570</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45570</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45570</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45570</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45570</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45570</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45570</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45570</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45570</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45570</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45570</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45570</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45570</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45570</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45570</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45570</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45570</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45570</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45570</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45570</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45570</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45570</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45570</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45570</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45570</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45570</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45570</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45570</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45570</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45570</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45570</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45570</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45570</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45570</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45570</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45570</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45570</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45570</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45570</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45570</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45570</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45570</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45570</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45570</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45570</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45570</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45570</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45570</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45570</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45570</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45570</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45570</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45570</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45570</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45570</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45570</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45570</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45570</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45570</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45570</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45570</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45570</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45570</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45570</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45570</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45570</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45570</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45570</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45570</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45570</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45570</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45570</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45570</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45570</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45570</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45570</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45570</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45570</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45570</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45570</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45570</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45570</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45570</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45570</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45570</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45570</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45570</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45570</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45570</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45570</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45570</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45570</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45570</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45570</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45570</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45570</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45570</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45570</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45570</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45570</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45570</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45570</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45570</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45570</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45570</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45570</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45570</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45570</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45570</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45570</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45570</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45570</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45570</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45570</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45570</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45570</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45570</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45570</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45570</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45570</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45570</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45570</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45570</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45570</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45570</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45570</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45570</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45570</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45570</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45570</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45570</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45570</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45570</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45570</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45570</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45570</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45570</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45570</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45570</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45570</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45570</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45570</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45570</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45570</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45570</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45570</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45570</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45570</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45570</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45570</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45570</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45570</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45570</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45570</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45570</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45570</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45570</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45570</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45570</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45570</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45570</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45570</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45570</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45570</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45570</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45570</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45570</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45570</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45570</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45570</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45570</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45570</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45570</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45570</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45570</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45570</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45570</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45570</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45570</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45570</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45570</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45570</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45570</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45570</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45570</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45570</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45570</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45570</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45570</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45570</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45570</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45570</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37552-2024</t>
        </is>
      </c>
      <c r="B6602" s="1" t="n">
        <v>45541</v>
      </c>
      <c r="C6602" s="1" t="n">
        <v>45570</v>
      </c>
      <c r="D6602" t="inlineStr">
        <is>
          <t>SKÅNE LÄN</t>
        </is>
      </c>
      <c r="E6602" t="inlineStr">
        <is>
          <t>ÖSTRA GÖINGE</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37588-2024</t>
        </is>
      </c>
      <c r="B6603" s="1" t="n">
        <v>45541</v>
      </c>
      <c r="C6603" s="1" t="n">
        <v>45570</v>
      </c>
      <c r="D6603" t="inlineStr">
        <is>
          <t>SKÅNE LÄN</t>
        </is>
      </c>
      <c r="E6603" t="inlineStr">
        <is>
          <t>ÖSTRA GÖINGE</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37592-2024</t>
        </is>
      </c>
      <c r="B6604" s="1" t="n">
        <v>45541</v>
      </c>
      <c r="C6604" s="1" t="n">
        <v>45570</v>
      </c>
      <c r="D6604" t="inlineStr">
        <is>
          <t>SKÅNE LÄN</t>
        </is>
      </c>
      <c r="E6604" t="inlineStr">
        <is>
          <t>ÖSTRA GÖINGE</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37481-2024</t>
        </is>
      </c>
      <c r="B6605" s="1" t="n">
        <v>45541</v>
      </c>
      <c r="C6605" s="1" t="n">
        <v>45570</v>
      </c>
      <c r="D6605" t="inlineStr">
        <is>
          <t>SKÅNE LÄN</t>
        </is>
      </c>
      <c r="E6605" t="inlineStr">
        <is>
          <t>HÄSSLEHOLM</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45570</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45570</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37520-2024</t>
        </is>
      </c>
      <c r="B6608" s="1" t="n">
        <v>45541</v>
      </c>
      <c r="C6608" s="1" t="n">
        <v>45570</v>
      </c>
      <c r="D6608" t="inlineStr">
        <is>
          <t>SKÅNE LÄN</t>
        </is>
      </c>
      <c r="E6608" t="inlineStr">
        <is>
          <t>ÖRKELLJUNGA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37554-2024</t>
        </is>
      </c>
      <c r="B6609" s="1" t="n">
        <v>45541</v>
      </c>
      <c r="C6609" s="1" t="n">
        <v>45570</v>
      </c>
      <c r="D6609" t="inlineStr">
        <is>
          <t>SKÅNE LÄN</t>
        </is>
      </c>
      <c r="E6609" t="inlineStr">
        <is>
          <t>ÖSTRA GÖINGE</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37558-2024</t>
        </is>
      </c>
      <c r="B6610" s="1" t="n">
        <v>45541</v>
      </c>
      <c r="C6610" s="1" t="n">
        <v>45570</v>
      </c>
      <c r="D6610" t="inlineStr">
        <is>
          <t>SKÅNE LÄN</t>
        </is>
      </c>
      <c r="E6610" t="inlineStr">
        <is>
          <t>ÖSTRA GÖINGE</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37578-2024</t>
        </is>
      </c>
      <c r="B6611" s="1" t="n">
        <v>45541</v>
      </c>
      <c r="C6611" s="1" t="n">
        <v>45570</v>
      </c>
      <c r="D6611" t="inlineStr">
        <is>
          <t>SKÅNE LÄN</t>
        </is>
      </c>
      <c r="E6611" t="inlineStr">
        <is>
          <t>ÖSTRA GÖINGE</t>
        </is>
      </c>
      <c r="G6611" t="n">
        <v>8.699999999999999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37590-2024</t>
        </is>
      </c>
      <c r="B6612" s="1" t="n">
        <v>45541</v>
      </c>
      <c r="C6612" s="1" t="n">
        <v>45570</v>
      </c>
      <c r="D6612" t="inlineStr">
        <is>
          <t>SKÅNE LÄN</t>
        </is>
      </c>
      <c r="E6612" t="inlineStr">
        <is>
          <t>ÖSTRA GÖINGE</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37501-2024</t>
        </is>
      </c>
      <c r="B6613" s="1" t="n">
        <v>45541</v>
      </c>
      <c r="C6613" s="1" t="n">
        <v>45570</v>
      </c>
      <c r="D6613" t="inlineStr">
        <is>
          <t>SKÅNE LÄN</t>
        </is>
      </c>
      <c r="E6613" t="inlineStr">
        <is>
          <t>ÖRKELLJUNGA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37550-2024</t>
        </is>
      </c>
      <c r="B6614" s="1" t="n">
        <v>45541</v>
      </c>
      <c r="C6614" s="1" t="n">
        <v>45570</v>
      </c>
      <c r="D6614" t="inlineStr">
        <is>
          <t>SKÅNE LÄN</t>
        </is>
      </c>
      <c r="E6614" t="inlineStr">
        <is>
          <t>ÖSTRA GÖINGE</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37559-2024</t>
        </is>
      </c>
      <c r="B6615" s="1" t="n">
        <v>45541</v>
      </c>
      <c r="C6615" s="1" t="n">
        <v>45570</v>
      </c>
      <c r="D6615" t="inlineStr">
        <is>
          <t>SKÅNE LÄN</t>
        </is>
      </c>
      <c r="E6615" t="inlineStr">
        <is>
          <t>ÖSTRA GÖINGE</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37571-2024</t>
        </is>
      </c>
      <c r="B6616" s="1" t="n">
        <v>45541</v>
      </c>
      <c r="C6616" s="1" t="n">
        <v>45570</v>
      </c>
      <c r="D6616" t="inlineStr">
        <is>
          <t>SKÅNE LÄN</t>
        </is>
      </c>
      <c r="E6616" t="inlineStr">
        <is>
          <t>ÖSTRA GÖINGE</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37575-2024</t>
        </is>
      </c>
      <c r="B6617" s="1" t="n">
        <v>45541</v>
      </c>
      <c r="C6617" s="1" t="n">
        <v>45570</v>
      </c>
      <c r="D6617" t="inlineStr">
        <is>
          <t>SKÅNE LÄN</t>
        </is>
      </c>
      <c r="E6617" t="inlineStr">
        <is>
          <t>ÖSTRA GÖINGE</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45570</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45570</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45570</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37889-2024</t>
        </is>
      </c>
      <c r="B6621" s="1" t="n">
        <v>45544</v>
      </c>
      <c r="C6621" s="1" t="n">
        <v>45570</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45570</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37967-2024</t>
        </is>
      </c>
      <c r="B6623" s="1" t="n">
        <v>45544</v>
      </c>
      <c r="C6623" s="1" t="n">
        <v>45570</v>
      </c>
      <c r="D6623" t="inlineStr">
        <is>
          <t>SKÅNE LÄN</t>
        </is>
      </c>
      <c r="E6623" t="inlineStr">
        <is>
          <t>KLIPPAN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37983-2024</t>
        </is>
      </c>
      <c r="B6624" s="1" t="n">
        <v>45544</v>
      </c>
      <c r="C6624" s="1" t="n">
        <v>45570</v>
      </c>
      <c r="D6624" t="inlineStr">
        <is>
          <t>SKÅNE LÄN</t>
        </is>
      </c>
      <c r="E6624" t="inlineStr">
        <is>
          <t>KRISTIANSTAD</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37999-2024</t>
        </is>
      </c>
      <c r="B6625" s="1" t="n">
        <v>45544</v>
      </c>
      <c r="C6625" s="1" t="n">
        <v>45570</v>
      </c>
      <c r="D6625" t="inlineStr">
        <is>
          <t>SKÅNE LÄN</t>
        </is>
      </c>
      <c r="E6625" t="inlineStr">
        <is>
          <t>KRISTIANSTAD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37890-2024</t>
        </is>
      </c>
      <c r="B6626" s="1" t="n">
        <v>45544</v>
      </c>
      <c r="C6626" s="1" t="n">
        <v>45570</v>
      </c>
      <c r="D6626" t="inlineStr">
        <is>
          <t>SKÅNE LÄN</t>
        </is>
      </c>
      <c r="E6626" t="inlineStr">
        <is>
          <t>PERSTORP</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37966-2024</t>
        </is>
      </c>
      <c r="B6627" s="1" t="n">
        <v>45544</v>
      </c>
      <c r="C6627" s="1" t="n">
        <v>45570</v>
      </c>
      <c r="D6627" t="inlineStr">
        <is>
          <t>SKÅNE LÄN</t>
        </is>
      </c>
      <c r="E6627" t="inlineStr">
        <is>
          <t>KLIPPAN</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37978-2024</t>
        </is>
      </c>
      <c r="B6628" s="1" t="n">
        <v>45544</v>
      </c>
      <c r="C6628" s="1" t="n">
        <v>45570</v>
      </c>
      <c r="D6628" t="inlineStr">
        <is>
          <t>SKÅNE LÄN</t>
        </is>
      </c>
      <c r="E6628" t="inlineStr">
        <is>
          <t>ÖSTRA GÖINGE</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37990-2024</t>
        </is>
      </c>
      <c r="B6629" s="1" t="n">
        <v>45544</v>
      </c>
      <c r="C6629" s="1" t="n">
        <v>45570</v>
      </c>
      <c r="D6629" t="inlineStr">
        <is>
          <t>SKÅNE LÄN</t>
        </is>
      </c>
      <c r="E6629" t="inlineStr">
        <is>
          <t>KRISTIANSTAD</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37888-2024</t>
        </is>
      </c>
      <c r="B6630" s="1" t="n">
        <v>45544</v>
      </c>
      <c r="C6630" s="1" t="n">
        <v>45570</v>
      </c>
      <c r="D6630" t="inlineStr">
        <is>
          <t>SKÅNE LÄN</t>
        </is>
      </c>
      <c r="E6630" t="inlineStr">
        <is>
          <t>PERSTORP</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38044-2024</t>
        </is>
      </c>
      <c r="B6631" s="1" t="n">
        <v>45544</v>
      </c>
      <c r="C6631" s="1" t="n">
        <v>45570</v>
      </c>
      <c r="D6631" t="inlineStr">
        <is>
          <t>SKÅNE LÄN</t>
        </is>
      </c>
      <c r="E6631" t="inlineStr">
        <is>
          <t>KRISTIANSTAD</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38000-2024</t>
        </is>
      </c>
      <c r="B6632" s="1" t="n">
        <v>45544</v>
      </c>
      <c r="C6632" s="1" t="n">
        <v>45570</v>
      </c>
      <c r="D6632" t="inlineStr">
        <is>
          <t>SKÅNE LÄN</t>
        </is>
      </c>
      <c r="E6632" t="inlineStr">
        <is>
          <t>KRISTIANSTAD</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45570</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38080-2024</t>
        </is>
      </c>
      <c r="B6634" s="1" t="n">
        <v>45545</v>
      </c>
      <c r="C6634" s="1" t="n">
        <v>45570</v>
      </c>
      <c r="D6634" t="inlineStr">
        <is>
          <t>SKÅNE LÄN</t>
        </is>
      </c>
      <c r="E6634" t="inlineStr">
        <is>
          <t>HÖRBY</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38084-2024</t>
        </is>
      </c>
      <c r="B6635" s="1" t="n">
        <v>45545</v>
      </c>
      <c r="C6635" s="1" t="n">
        <v>45570</v>
      </c>
      <c r="D6635" t="inlineStr">
        <is>
          <t>SKÅNE LÄN</t>
        </is>
      </c>
      <c r="E6635" t="inlineStr">
        <is>
          <t>HÖRBY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38101-2024</t>
        </is>
      </c>
      <c r="B6636" s="1" t="n">
        <v>45545</v>
      </c>
      <c r="C6636" s="1" t="n">
        <v>45570</v>
      </c>
      <c r="D6636" t="inlineStr">
        <is>
          <t>SKÅNE LÄN</t>
        </is>
      </c>
      <c r="E6636" t="inlineStr">
        <is>
          <t>ÖRKELLJUNGA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38077-2024</t>
        </is>
      </c>
      <c r="B6637" s="1" t="n">
        <v>45545</v>
      </c>
      <c r="C6637" s="1" t="n">
        <v>45570</v>
      </c>
      <c r="D6637" t="inlineStr">
        <is>
          <t>SKÅNE LÄN</t>
        </is>
      </c>
      <c r="E6637" t="inlineStr">
        <is>
          <t>HÖRBY</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38182-2024</t>
        </is>
      </c>
      <c r="B6638" s="1" t="n">
        <v>45545</v>
      </c>
      <c r="C6638" s="1" t="n">
        <v>45570</v>
      </c>
      <c r="D6638" t="inlineStr">
        <is>
          <t>SKÅNE LÄN</t>
        </is>
      </c>
      <c r="E6638" t="inlineStr">
        <is>
          <t>BJUV</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38078-2024</t>
        </is>
      </c>
      <c r="B6639" s="1" t="n">
        <v>45545</v>
      </c>
      <c r="C6639" s="1" t="n">
        <v>45570</v>
      </c>
      <c r="D6639" t="inlineStr">
        <is>
          <t>SKÅNE LÄN</t>
        </is>
      </c>
      <c r="E6639" t="inlineStr">
        <is>
          <t>HÖRBY</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45570</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38347-2024</t>
        </is>
      </c>
      <c r="B6641" s="1" t="n">
        <v>45545</v>
      </c>
      <c r="C6641" s="1" t="n">
        <v>45570</v>
      </c>
      <c r="D6641" t="inlineStr">
        <is>
          <t>SKÅNE LÄN</t>
        </is>
      </c>
      <c r="E6641" t="inlineStr">
        <is>
          <t>ÖRKELLJUNGA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38358-2024</t>
        </is>
      </c>
      <c r="B6642" s="1" t="n">
        <v>45545</v>
      </c>
      <c r="C6642" s="1" t="n">
        <v>45570</v>
      </c>
      <c r="D6642" t="inlineStr">
        <is>
          <t>SKÅNE LÄN</t>
        </is>
      </c>
      <c r="E6642" t="inlineStr">
        <is>
          <t>HÄSSLEHOLM</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38362-2024</t>
        </is>
      </c>
      <c r="B6643" s="1" t="n">
        <v>45545</v>
      </c>
      <c r="C6643" s="1" t="n">
        <v>45570</v>
      </c>
      <c r="D6643" t="inlineStr">
        <is>
          <t>SKÅNE LÄN</t>
        </is>
      </c>
      <c r="E6643" t="inlineStr">
        <is>
          <t>HÄSSLEHOLM</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38387-2024</t>
        </is>
      </c>
      <c r="B6644" s="1" t="n">
        <v>45546</v>
      </c>
      <c r="C6644" s="1" t="n">
        <v>45570</v>
      </c>
      <c r="D6644" t="inlineStr">
        <is>
          <t>SKÅNE LÄN</t>
        </is>
      </c>
      <c r="E6644" t="inlineStr">
        <is>
          <t>TOMELILLA</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38502-2024</t>
        </is>
      </c>
      <c r="B6645" s="1" t="n">
        <v>45546</v>
      </c>
      <c r="C6645" s="1" t="n">
        <v>45570</v>
      </c>
      <c r="D6645" t="inlineStr">
        <is>
          <t>SKÅNE LÄN</t>
        </is>
      </c>
      <c r="E6645" t="inlineStr">
        <is>
          <t>HÖÖR</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38486-2024</t>
        </is>
      </c>
      <c r="B6646" s="1" t="n">
        <v>45546</v>
      </c>
      <c r="C6646" s="1" t="n">
        <v>45570</v>
      </c>
      <c r="D6646" t="inlineStr">
        <is>
          <t>SKÅNE LÄN</t>
        </is>
      </c>
      <c r="E6646" t="inlineStr">
        <is>
          <t>OSBY</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38400-2024</t>
        </is>
      </c>
      <c r="B6647" s="1" t="n">
        <v>45546</v>
      </c>
      <c r="C6647" s="1" t="n">
        <v>45570</v>
      </c>
      <c r="D6647" t="inlineStr">
        <is>
          <t>SKÅNE LÄN</t>
        </is>
      </c>
      <c r="E6647" t="inlineStr">
        <is>
          <t>KRISTIANSTAD</t>
        </is>
      </c>
      <c r="F6647" t="inlineStr">
        <is>
          <t>Övriga Aktiebolag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45570</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45570</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45570</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38829-2024</t>
        </is>
      </c>
      <c r="B6651" s="1" t="n">
        <v>45547</v>
      </c>
      <c r="C6651" s="1" t="n">
        <v>45570</v>
      </c>
      <c r="D6651" t="inlineStr">
        <is>
          <t>SKÅNE LÄN</t>
        </is>
      </c>
      <c r="E6651" t="inlineStr">
        <is>
          <t>HÄSSLEHOLM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45570</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38787-2024</t>
        </is>
      </c>
      <c r="B6653" s="1" t="n">
        <v>45547</v>
      </c>
      <c r="C6653" s="1" t="n">
        <v>45570</v>
      </c>
      <c r="D6653" t="inlineStr">
        <is>
          <t>SKÅNE LÄN</t>
        </is>
      </c>
      <c r="E6653" t="inlineStr">
        <is>
          <t>TOMELILLA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45570</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45570</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38998-2024</t>
        </is>
      </c>
      <c r="B6656" s="1" t="n">
        <v>45548</v>
      </c>
      <c r="C6656" s="1" t="n">
        <v>45570</v>
      </c>
      <c r="D6656" t="inlineStr">
        <is>
          <t>SKÅNE LÄN</t>
        </is>
      </c>
      <c r="E6656" t="inlineStr">
        <is>
          <t>OSBY</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39042-2024</t>
        </is>
      </c>
      <c r="B6657" s="1" t="n">
        <v>45548</v>
      </c>
      <c r="C6657" s="1" t="n">
        <v>45570</v>
      </c>
      <c r="D6657" t="inlineStr">
        <is>
          <t>SKÅNE LÄN</t>
        </is>
      </c>
      <c r="E6657" t="inlineStr">
        <is>
          <t>HÄSSLEHOLM</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39097-2024</t>
        </is>
      </c>
      <c r="B6658" s="1" t="n">
        <v>45548</v>
      </c>
      <c r="C6658" s="1" t="n">
        <v>45570</v>
      </c>
      <c r="D6658" t="inlineStr">
        <is>
          <t>SKÅNE LÄN</t>
        </is>
      </c>
      <c r="E6658" t="inlineStr">
        <is>
          <t>KLIPPAN</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38980-2024</t>
        </is>
      </c>
      <c r="B6659" s="1" t="n">
        <v>45548</v>
      </c>
      <c r="C6659" s="1" t="n">
        <v>45570</v>
      </c>
      <c r="D6659" t="inlineStr">
        <is>
          <t>SKÅNE LÄN</t>
        </is>
      </c>
      <c r="E6659" t="inlineStr">
        <is>
          <t>HÄSSLEHOLM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39044-2024</t>
        </is>
      </c>
      <c r="B6660" s="1" t="n">
        <v>45548</v>
      </c>
      <c r="C6660" s="1" t="n">
        <v>45570</v>
      </c>
      <c r="D6660" t="inlineStr">
        <is>
          <t>SKÅNE LÄN</t>
        </is>
      </c>
      <c r="E6660" t="inlineStr">
        <is>
          <t>HÄSSLEHOLM</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39241-2024</t>
        </is>
      </c>
      <c r="B6661" s="1" t="n">
        <v>45550</v>
      </c>
      <c r="C6661" s="1" t="n">
        <v>45570</v>
      </c>
      <c r="D6661" t="inlineStr">
        <is>
          <t>SKÅNE LÄN</t>
        </is>
      </c>
      <c r="E6661" t="inlineStr">
        <is>
          <t>HÄSSLEHOLM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39223-2024</t>
        </is>
      </c>
      <c r="B6662" s="1" t="n">
        <v>45550</v>
      </c>
      <c r="C6662" s="1" t="n">
        <v>45570</v>
      </c>
      <c r="D6662" t="inlineStr">
        <is>
          <t>SKÅNE LÄN</t>
        </is>
      </c>
      <c r="E6662" t="inlineStr">
        <is>
          <t>HÄSSLEHOLM</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39376-2024</t>
        </is>
      </c>
      <c r="B6663" s="1" t="n">
        <v>45551</v>
      </c>
      <c r="C6663" s="1" t="n">
        <v>45570</v>
      </c>
      <c r="D6663" t="inlineStr">
        <is>
          <t>SKÅNE LÄN</t>
        </is>
      </c>
      <c r="E6663" t="inlineStr">
        <is>
          <t>KLIPPAN</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39315-2024</t>
        </is>
      </c>
      <c r="B6664" s="1" t="n">
        <v>45551</v>
      </c>
      <c r="C6664" s="1" t="n">
        <v>45570</v>
      </c>
      <c r="D6664" t="inlineStr">
        <is>
          <t>SKÅNE LÄN</t>
        </is>
      </c>
      <c r="E6664" t="inlineStr">
        <is>
          <t>PERSTORP</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39397-2024</t>
        </is>
      </c>
      <c r="B6665" s="1" t="n">
        <v>45551</v>
      </c>
      <c r="C6665" s="1" t="n">
        <v>45570</v>
      </c>
      <c r="D6665" t="inlineStr">
        <is>
          <t>SKÅNE LÄN</t>
        </is>
      </c>
      <c r="E6665" t="inlineStr">
        <is>
          <t>SVALÖV</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39405-2024</t>
        </is>
      </c>
      <c r="B6666" s="1" t="n">
        <v>45551</v>
      </c>
      <c r="C6666" s="1" t="n">
        <v>45570</v>
      </c>
      <c r="D6666" t="inlineStr">
        <is>
          <t>SKÅNE LÄN</t>
        </is>
      </c>
      <c r="E6666" t="inlineStr">
        <is>
          <t>SVALÖV</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39455-2024</t>
        </is>
      </c>
      <c r="B6667" s="1" t="n">
        <v>45551</v>
      </c>
      <c r="C6667" s="1" t="n">
        <v>45570</v>
      </c>
      <c r="D6667" t="inlineStr">
        <is>
          <t>SKÅNE LÄN</t>
        </is>
      </c>
      <c r="E6667" t="inlineStr">
        <is>
          <t>BROMÖLLA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39507-2024</t>
        </is>
      </c>
      <c r="B6668" s="1" t="n">
        <v>45551</v>
      </c>
      <c r="C6668" s="1" t="n">
        <v>45570</v>
      </c>
      <c r="D6668" t="inlineStr">
        <is>
          <t>SKÅNE LÄN</t>
        </is>
      </c>
      <c r="E6668" t="inlineStr">
        <is>
          <t>HÖRBY</t>
        </is>
      </c>
      <c r="F6668" t="inlineStr">
        <is>
          <t>Sveaskog</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39482-2024</t>
        </is>
      </c>
      <c r="B6669" s="1" t="n">
        <v>45551</v>
      </c>
      <c r="C6669" s="1" t="n">
        <v>45570</v>
      </c>
      <c r="D6669" t="inlineStr">
        <is>
          <t>SKÅNE LÄN</t>
        </is>
      </c>
      <c r="E6669" t="inlineStr">
        <is>
          <t>KRISTIANSTAD</t>
        </is>
      </c>
      <c r="F6669" t="inlineStr">
        <is>
          <t>Sveaskog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39276-2024</t>
        </is>
      </c>
      <c r="B6670" s="1" t="n">
        <v>45551</v>
      </c>
      <c r="C6670" s="1" t="n">
        <v>45570</v>
      </c>
      <c r="D6670" t="inlineStr">
        <is>
          <t>SKÅNE LÄN</t>
        </is>
      </c>
      <c r="E6670" t="inlineStr">
        <is>
          <t>ÖRKELLJUNGA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39394-2024</t>
        </is>
      </c>
      <c r="B6671" s="1" t="n">
        <v>45551</v>
      </c>
      <c r="C6671" s="1" t="n">
        <v>45570</v>
      </c>
      <c r="D6671" t="inlineStr">
        <is>
          <t>SKÅNE LÄN</t>
        </is>
      </c>
      <c r="E6671" t="inlineStr">
        <is>
          <t>PERSTORP</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39497-2024</t>
        </is>
      </c>
      <c r="B6672" s="1" t="n">
        <v>45551</v>
      </c>
      <c r="C6672" s="1" t="n">
        <v>45570</v>
      </c>
      <c r="D6672" t="inlineStr">
        <is>
          <t>SKÅNE LÄN</t>
        </is>
      </c>
      <c r="E6672" t="inlineStr">
        <is>
          <t>HÖRBY</t>
        </is>
      </c>
      <c r="F6672" t="inlineStr">
        <is>
          <t>Sveaskog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45570</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45570</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45570</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39933-2024</t>
        </is>
      </c>
      <c r="B6676" s="1" t="n">
        <v>45553</v>
      </c>
      <c r="C6676" s="1" t="n">
        <v>45570</v>
      </c>
      <c r="D6676" t="inlineStr">
        <is>
          <t>SKÅNE LÄN</t>
        </is>
      </c>
      <c r="E6676" t="inlineStr">
        <is>
          <t>KRISTIANSTAD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40001-2024</t>
        </is>
      </c>
      <c r="B6677" s="1" t="n">
        <v>45553</v>
      </c>
      <c r="C6677" s="1" t="n">
        <v>45570</v>
      </c>
      <c r="D6677" t="inlineStr">
        <is>
          <t>SKÅNE LÄN</t>
        </is>
      </c>
      <c r="E6677" t="inlineStr">
        <is>
          <t>PERSTORP</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39944-2024</t>
        </is>
      </c>
      <c r="B6678" s="1" t="n">
        <v>45553</v>
      </c>
      <c r="C6678" s="1" t="n">
        <v>45570</v>
      </c>
      <c r="D6678" t="inlineStr">
        <is>
          <t>SKÅNE LÄN</t>
        </is>
      </c>
      <c r="E6678" t="inlineStr">
        <is>
          <t>KRISTIANSTAD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40035-2024</t>
        </is>
      </c>
      <c r="B6679" s="1" t="n">
        <v>45553</v>
      </c>
      <c r="C6679" s="1" t="n">
        <v>45570</v>
      </c>
      <c r="D6679" t="inlineStr">
        <is>
          <t>SKÅNE LÄN</t>
        </is>
      </c>
      <c r="E6679" t="inlineStr">
        <is>
          <t>OSBY</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45570</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45570</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45570</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40166-2024</t>
        </is>
      </c>
      <c r="B6683" s="1" t="n">
        <v>45554</v>
      </c>
      <c r="C6683" s="1" t="n">
        <v>45570</v>
      </c>
      <c r="D6683" t="inlineStr">
        <is>
          <t>SKÅNE LÄN</t>
        </is>
      </c>
      <c r="E6683" t="inlineStr">
        <is>
          <t>ÖSTRA GÖINGE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40178-2024</t>
        </is>
      </c>
      <c r="B6684" s="1" t="n">
        <v>45554</v>
      </c>
      <c r="C6684" s="1" t="n">
        <v>45570</v>
      </c>
      <c r="D6684" t="inlineStr">
        <is>
          <t>SKÅNE LÄN</t>
        </is>
      </c>
      <c r="E6684" t="inlineStr">
        <is>
          <t>ÖSTRA GÖINGE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40254-2024</t>
        </is>
      </c>
      <c r="B6685" s="1" t="n">
        <v>45554</v>
      </c>
      <c r="C6685" s="1" t="n">
        <v>45570</v>
      </c>
      <c r="D6685" t="inlineStr">
        <is>
          <t>SKÅNE LÄN</t>
        </is>
      </c>
      <c r="E6685" t="inlineStr">
        <is>
          <t>HÄSSLEHOLM</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40300-2024</t>
        </is>
      </c>
      <c r="B6686" s="1" t="n">
        <v>45554</v>
      </c>
      <c r="C6686" s="1" t="n">
        <v>45570</v>
      </c>
      <c r="D6686" t="inlineStr">
        <is>
          <t>SKÅNE LÄN</t>
        </is>
      </c>
      <c r="E6686" t="inlineStr">
        <is>
          <t>KRISTIANSTAD</t>
        </is>
      </c>
      <c r="G6686" t="n">
        <v>12.6</v>
      </c>
      <c r="H6686" t="n">
        <v>0</v>
      </c>
      <c r="I6686" t="n">
        <v>0</v>
      </c>
      <c r="J6686" t="n">
        <v>0</v>
      </c>
      <c r="K6686" t="n">
        <v>0</v>
      </c>
      <c r="L6686" t="n">
        <v>0</v>
      </c>
      <c r="M6686" t="n">
        <v>0</v>
      </c>
      <c r="N6686" t="n">
        <v>0</v>
      </c>
      <c r="O6686" t="n">
        <v>0</v>
      </c>
      <c r="P6686" t="n">
        <v>0</v>
      </c>
      <c r="Q6686" t="n">
        <v>0</v>
      </c>
      <c r="R6686" s="2" t="inlineStr"/>
    </row>
    <row r="6687" ht="15" customHeight="1">
      <c r="A6687" t="inlineStr">
        <is>
          <t>A 40302-2024</t>
        </is>
      </c>
      <c r="B6687" s="1" t="n">
        <v>45554</v>
      </c>
      <c r="C6687" s="1" t="n">
        <v>45570</v>
      </c>
      <c r="D6687" t="inlineStr">
        <is>
          <t>SKÅNE LÄN</t>
        </is>
      </c>
      <c r="E6687" t="inlineStr">
        <is>
          <t>KRISTIANSTAD</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40145-2024</t>
        </is>
      </c>
      <c r="B6688" s="1" t="n">
        <v>45554</v>
      </c>
      <c r="C6688" s="1" t="n">
        <v>45570</v>
      </c>
      <c r="D6688" t="inlineStr">
        <is>
          <t>SKÅNE LÄN</t>
        </is>
      </c>
      <c r="E6688" t="inlineStr">
        <is>
          <t>KRISTIANSTAD</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40149-2024</t>
        </is>
      </c>
      <c r="B6689" s="1" t="n">
        <v>45554</v>
      </c>
      <c r="C6689" s="1" t="n">
        <v>45570</v>
      </c>
      <c r="D6689" t="inlineStr">
        <is>
          <t>SKÅNE LÄN</t>
        </is>
      </c>
      <c r="E6689" t="inlineStr">
        <is>
          <t>KRISTIANSTAD</t>
        </is>
      </c>
      <c r="G6689" t="n">
        <v>9.1</v>
      </c>
      <c r="H6689" t="n">
        <v>0</v>
      </c>
      <c r="I6689" t="n">
        <v>0</v>
      </c>
      <c r="J6689" t="n">
        <v>0</v>
      </c>
      <c r="K6689" t="n">
        <v>0</v>
      </c>
      <c r="L6689" t="n">
        <v>0</v>
      </c>
      <c r="M6689" t="n">
        <v>0</v>
      </c>
      <c r="N6689" t="n">
        <v>0</v>
      </c>
      <c r="O6689" t="n">
        <v>0</v>
      </c>
      <c r="P6689" t="n">
        <v>0</v>
      </c>
      <c r="Q6689" t="n">
        <v>0</v>
      </c>
      <c r="R6689" s="2" t="inlineStr"/>
    </row>
    <row r="6690" ht="15" customHeight="1">
      <c r="A6690" t="inlineStr">
        <is>
          <t>A 40161-2024</t>
        </is>
      </c>
      <c r="B6690" s="1" t="n">
        <v>45554</v>
      </c>
      <c r="C6690" s="1" t="n">
        <v>45570</v>
      </c>
      <c r="D6690" t="inlineStr">
        <is>
          <t>SKÅNE LÄN</t>
        </is>
      </c>
      <c r="E6690" t="inlineStr">
        <is>
          <t>KLIPPAN</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40173-2024</t>
        </is>
      </c>
      <c r="B6691" s="1" t="n">
        <v>45554</v>
      </c>
      <c r="C6691" s="1" t="n">
        <v>45570</v>
      </c>
      <c r="D6691" t="inlineStr">
        <is>
          <t>SKÅNE LÄN</t>
        </is>
      </c>
      <c r="E6691" t="inlineStr">
        <is>
          <t>KLIPPAN</t>
        </is>
      </c>
      <c r="F6691" t="inlineStr">
        <is>
          <t>Sveaskog</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45570</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40419-2024</t>
        </is>
      </c>
      <c r="B6693" s="1" t="n">
        <v>45555</v>
      </c>
      <c r="C6693" s="1" t="n">
        <v>45570</v>
      </c>
      <c r="D6693" t="inlineStr">
        <is>
          <t>SKÅNE LÄN</t>
        </is>
      </c>
      <c r="E6693" t="inlineStr">
        <is>
          <t>KRISTIANSTAD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40423-2024</t>
        </is>
      </c>
      <c r="B6694" s="1" t="n">
        <v>45555</v>
      </c>
      <c r="C6694" s="1" t="n">
        <v>45570</v>
      </c>
      <c r="D6694" t="inlineStr">
        <is>
          <t>SKÅNE LÄN</t>
        </is>
      </c>
      <c r="E6694" t="inlineStr">
        <is>
          <t>KRISTIANSTAD</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40536-2024</t>
        </is>
      </c>
      <c r="B6695" s="1" t="n">
        <v>45555</v>
      </c>
      <c r="C6695" s="1" t="n">
        <v>45570</v>
      </c>
      <c r="D6695" t="inlineStr">
        <is>
          <t>SKÅNE LÄN</t>
        </is>
      </c>
      <c r="E6695" t="inlineStr">
        <is>
          <t>HÄSSLEHOLM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40540-2024</t>
        </is>
      </c>
      <c r="B6696" s="1" t="n">
        <v>45555</v>
      </c>
      <c r="C6696" s="1" t="n">
        <v>45570</v>
      </c>
      <c r="D6696" t="inlineStr">
        <is>
          <t>SKÅNE LÄN</t>
        </is>
      </c>
      <c r="E6696" t="inlineStr">
        <is>
          <t>KRISTIANSTAD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40584-2024</t>
        </is>
      </c>
      <c r="B6697" s="1" t="n">
        <v>45555</v>
      </c>
      <c r="C6697" s="1" t="n">
        <v>45570</v>
      </c>
      <c r="D6697" t="inlineStr">
        <is>
          <t>SKÅNE LÄN</t>
        </is>
      </c>
      <c r="E6697" t="inlineStr">
        <is>
          <t>SIMRISHAMN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40371-2024</t>
        </is>
      </c>
      <c r="B6698" s="1" t="n">
        <v>45555</v>
      </c>
      <c r="C6698" s="1" t="n">
        <v>45570</v>
      </c>
      <c r="D6698" t="inlineStr">
        <is>
          <t>SKÅNE LÄN</t>
        </is>
      </c>
      <c r="E6698" t="inlineStr">
        <is>
          <t>KRISTIANSTAD</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40388-2024</t>
        </is>
      </c>
      <c r="B6699" s="1" t="n">
        <v>45555</v>
      </c>
      <c r="C6699" s="1" t="n">
        <v>45570</v>
      </c>
      <c r="D6699" t="inlineStr">
        <is>
          <t>SKÅNE LÄN</t>
        </is>
      </c>
      <c r="E6699" t="inlineStr">
        <is>
          <t>OSBY</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45570</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40739-2024</t>
        </is>
      </c>
      <c r="B6701" s="1" t="n">
        <v>45558</v>
      </c>
      <c r="C6701" s="1" t="n">
        <v>45570</v>
      </c>
      <c r="D6701" t="inlineStr">
        <is>
          <t>SKÅNE LÄN</t>
        </is>
      </c>
      <c r="E6701" t="inlineStr">
        <is>
          <t>HÄSSLEHOLM</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40747-2024</t>
        </is>
      </c>
      <c r="B6702" s="1" t="n">
        <v>45558</v>
      </c>
      <c r="C6702" s="1" t="n">
        <v>45570</v>
      </c>
      <c r="D6702" t="inlineStr">
        <is>
          <t>SKÅNE LÄN</t>
        </is>
      </c>
      <c r="E6702" t="inlineStr">
        <is>
          <t>KRISTIANSTAD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40896-2024</t>
        </is>
      </c>
      <c r="B6703" s="1" t="n">
        <v>45558</v>
      </c>
      <c r="C6703" s="1" t="n">
        <v>45570</v>
      </c>
      <c r="D6703" t="inlineStr">
        <is>
          <t>SKÅNE LÄN</t>
        </is>
      </c>
      <c r="E6703" t="inlineStr">
        <is>
          <t>KRISTIANSTAD</t>
        </is>
      </c>
      <c r="F6703" t="inlineStr">
        <is>
          <t>Övriga Aktiebolag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40900-2024</t>
        </is>
      </c>
      <c r="B6704" s="1" t="n">
        <v>45558</v>
      </c>
      <c r="C6704" s="1" t="n">
        <v>45570</v>
      </c>
      <c r="D6704" t="inlineStr">
        <is>
          <t>SKÅNE LÄN</t>
        </is>
      </c>
      <c r="E6704" t="inlineStr">
        <is>
          <t>ÖSTRA GÖINGE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40916-2024</t>
        </is>
      </c>
      <c r="B6705" s="1" t="n">
        <v>45558</v>
      </c>
      <c r="C6705" s="1" t="n">
        <v>45570</v>
      </c>
      <c r="D6705" t="inlineStr">
        <is>
          <t>SKÅNE LÄN</t>
        </is>
      </c>
      <c r="E6705" t="inlineStr">
        <is>
          <t>KRISTIANSTAD</t>
        </is>
      </c>
      <c r="F6705" t="inlineStr">
        <is>
          <t>Övriga Aktiebolag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40734-2024</t>
        </is>
      </c>
      <c r="B6706" s="1" t="n">
        <v>45558</v>
      </c>
      <c r="C6706" s="1" t="n">
        <v>45570</v>
      </c>
      <c r="D6706" t="inlineStr">
        <is>
          <t>SKÅNE LÄN</t>
        </is>
      </c>
      <c r="E6706" t="inlineStr">
        <is>
          <t>HÄSSLEHOLM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40738-2024</t>
        </is>
      </c>
      <c r="B6707" s="1" t="n">
        <v>45558</v>
      </c>
      <c r="C6707" s="1" t="n">
        <v>45570</v>
      </c>
      <c r="D6707" t="inlineStr">
        <is>
          <t>SKÅNE LÄN</t>
        </is>
      </c>
      <c r="E6707" t="inlineStr">
        <is>
          <t>HÄSSLEHOLM</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40884-2024</t>
        </is>
      </c>
      <c r="B6708" s="1" t="n">
        <v>45558</v>
      </c>
      <c r="C6708" s="1" t="n">
        <v>45570</v>
      </c>
      <c r="D6708" t="inlineStr">
        <is>
          <t>SKÅNE LÄN</t>
        </is>
      </c>
      <c r="E6708" t="inlineStr">
        <is>
          <t>KRISTIANSTAD</t>
        </is>
      </c>
      <c r="F6708" t="inlineStr">
        <is>
          <t>Övriga Aktiebolag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40938-2024</t>
        </is>
      </c>
      <c r="B6709" s="1" t="n">
        <v>45558</v>
      </c>
      <c r="C6709" s="1" t="n">
        <v>45570</v>
      </c>
      <c r="D6709" t="inlineStr">
        <is>
          <t>SKÅNE LÄN</t>
        </is>
      </c>
      <c r="E6709" t="inlineStr">
        <is>
          <t>ÖSTRA GÖINGE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40975-2024</t>
        </is>
      </c>
      <c r="B6710" s="1" t="n">
        <v>45558</v>
      </c>
      <c r="C6710" s="1" t="n">
        <v>45570</v>
      </c>
      <c r="D6710" t="inlineStr">
        <is>
          <t>SKÅNE LÄN</t>
        </is>
      </c>
      <c r="E6710" t="inlineStr">
        <is>
          <t>KRISTIANSTAD</t>
        </is>
      </c>
      <c r="F6710" t="inlineStr">
        <is>
          <t>Övriga Aktiebolag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40962-2024</t>
        </is>
      </c>
      <c r="B6711" s="1" t="n">
        <v>45558</v>
      </c>
      <c r="C6711" s="1" t="n">
        <v>45570</v>
      </c>
      <c r="D6711" t="inlineStr">
        <is>
          <t>SKÅNE LÄN</t>
        </is>
      </c>
      <c r="E6711" t="inlineStr">
        <is>
          <t>KRISTIANSTAD</t>
        </is>
      </c>
      <c r="F6711" t="inlineStr">
        <is>
          <t>Övriga Aktiebolag</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41005-2024</t>
        </is>
      </c>
      <c r="B6712" s="1" t="n">
        <v>45559</v>
      </c>
      <c r="C6712" s="1" t="n">
        <v>45570</v>
      </c>
      <c r="D6712" t="inlineStr">
        <is>
          <t>SKÅNE LÄN</t>
        </is>
      </c>
      <c r="E6712" t="inlineStr">
        <is>
          <t>OSBY</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40973-2024</t>
        </is>
      </c>
      <c r="B6713" s="1" t="n">
        <v>45558</v>
      </c>
      <c r="C6713" s="1" t="n">
        <v>45570</v>
      </c>
      <c r="D6713" t="inlineStr">
        <is>
          <t>SKÅNE LÄN</t>
        </is>
      </c>
      <c r="E6713" t="inlineStr">
        <is>
          <t>KRISTIANSTAD</t>
        </is>
      </c>
      <c r="F6713" t="inlineStr">
        <is>
          <t>Övriga Aktiebolag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40866-2024</t>
        </is>
      </c>
      <c r="B6714" s="1" t="n">
        <v>45558</v>
      </c>
      <c r="C6714" s="1" t="n">
        <v>45570</v>
      </c>
      <c r="D6714" t="inlineStr">
        <is>
          <t>SKÅNE LÄN</t>
        </is>
      </c>
      <c r="E6714" t="inlineStr">
        <is>
          <t>KRISTIANSTAD</t>
        </is>
      </c>
      <c r="F6714" t="inlineStr">
        <is>
          <t>Övriga Aktiebolag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40882-2024</t>
        </is>
      </c>
      <c r="B6715" s="1" t="n">
        <v>45558</v>
      </c>
      <c r="C6715" s="1" t="n">
        <v>45570</v>
      </c>
      <c r="D6715" t="inlineStr">
        <is>
          <t>SKÅNE LÄN</t>
        </is>
      </c>
      <c r="E6715" t="inlineStr">
        <is>
          <t>OSBY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40903-2024</t>
        </is>
      </c>
      <c r="B6716" s="1" t="n">
        <v>45558</v>
      </c>
      <c r="C6716" s="1" t="n">
        <v>45570</v>
      </c>
      <c r="D6716" t="inlineStr">
        <is>
          <t>SKÅNE LÄN</t>
        </is>
      </c>
      <c r="E6716" t="inlineStr">
        <is>
          <t>KRISTIANSTAD</t>
        </is>
      </c>
      <c r="F6716" t="inlineStr">
        <is>
          <t>Övriga Aktiebolag</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45570</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41693-2024</t>
        </is>
      </c>
      <c r="B6718" s="1" t="n">
        <v>45560</v>
      </c>
      <c r="C6718" s="1" t="n">
        <v>45570</v>
      </c>
      <c r="D6718" t="inlineStr">
        <is>
          <t>SKÅNE LÄN</t>
        </is>
      </c>
      <c r="E6718" t="inlineStr">
        <is>
          <t>HÄSSLEHOLM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41697-2024</t>
        </is>
      </c>
      <c r="B6719" s="1" t="n">
        <v>45560</v>
      </c>
      <c r="C6719" s="1" t="n">
        <v>45570</v>
      </c>
      <c r="D6719" t="inlineStr">
        <is>
          <t>SKÅNE LÄN</t>
        </is>
      </c>
      <c r="E6719" t="inlineStr">
        <is>
          <t>HÄSSLEHOLM</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41680-2024</t>
        </is>
      </c>
      <c r="B6720" s="1" t="n">
        <v>45560</v>
      </c>
      <c r="C6720" s="1" t="n">
        <v>45570</v>
      </c>
      <c r="D6720" t="inlineStr">
        <is>
          <t>SKÅNE LÄN</t>
        </is>
      </c>
      <c r="E6720" t="inlineStr">
        <is>
          <t>HÄSSLEHOLM</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41694-2024</t>
        </is>
      </c>
      <c r="B6721" s="1" t="n">
        <v>45560</v>
      </c>
      <c r="C6721" s="1" t="n">
        <v>45570</v>
      </c>
      <c r="D6721" t="inlineStr">
        <is>
          <t>SKÅNE LÄN</t>
        </is>
      </c>
      <c r="E6721" t="inlineStr">
        <is>
          <t>HÄSSLEHOLM</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41913-2024</t>
        </is>
      </c>
      <c r="B6722" s="1" t="n">
        <v>45561</v>
      </c>
      <c r="C6722" s="1" t="n">
        <v>45570</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42013-2024</t>
        </is>
      </c>
      <c r="B6723" s="1" t="n">
        <v>45561</v>
      </c>
      <c r="C6723" s="1" t="n">
        <v>45570</v>
      </c>
      <c r="D6723" t="inlineStr">
        <is>
          <t>SKÅNE LÄN</t>
        </is>
      </c>
      <c r="E6723" t="inlineStr">
        <is>
          <t>KRISTIANSTAD</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42061-2024</t>
        </is>
      </c>
      <c r="B6724" s="1" t="n">
        <v>45561</v>
      </c>
      <c r="C6724" s="1" t="n">
        <v>45570</v>
      </c>
      <c r="D6724" t="inlineStr">
        <is>
          <t>SKÅNE LÄN</t>
        </is>
      </c>
      <c r="E6724" t="inlineStr">
        <is>
          <t>KRISTIANSTAD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42062-2024</t>
        </is>
      </c>
      <c r="B6725" s="1" t="n">
        <v>45561</v>
      </c>
      <c r="C6725" s="1" t="n">
        <v>45570</v>
      </c>
      <c r="D6725" t="inlineStr">
        <is>
          <t>SKÅNE LÄN</t>
        </is>
      </c>
      <c r="E6725" t="inlineStr">
        <is>
          <t>BROMÖLLA</t>
        </is>
      </c>
      <c r="G6725" t="n">
        <v>12.2</v>
      </c>
      <c r="H6725" t="n">
        <v>0</v>
      </c>
      <c r="I6725" t="n">
        <v>0</v>
      </c>
      <c r="J6725" t="n">
        <v>0</v>
      </c>
      <c r="K6725" t="n">
        <v>0</v>
      </c>
      <c r="L6725" t="n">
        <v>0</v>
      </c>
      <c r="M6725" t="n">
        <v>0</v>
      </c>
      <c r="N6725" t="n">
        <v>0</v>
      </c>
      <c r="O6725" t="n">
        <v>0</v>
      </c>
      <c r="P6725" t="n">
        <v>0</v>
      </c>
      <c r="Q6725" t="n">
        <v>0</v>
      </c>
      <c r="R6725" s="2" t="inlineStr"/>
    </row>
    <row r="6726" ht="15" customHeight="1">
      <c r="A6726" t="inlineStr">
        <is>
          <t>A 41809-2024</t>
        </is>
      </c>
      <c r="B6726" s="1" t="n">
        <v>45561</v>
      </c>
      <c r="C6726" s="1" t="n">
        <v>45570</v>
      </c>
      <c r="D6726" t="inlineStr">
        <is>
          <t>SKÅNE LÄN</t>
        </is>
      </c>
      <c r="E6726" t="inlineStr">
        <is>
          <t>KRISTIANSTAD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41874-2024</t>
        </is>
      </c>
      <c r="B6727" s="1" t="n">
        <v>45561</v>
      </c>
      <c r="C6727" s="1" t="n">
        <v>45570</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45570</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42284-2024</t>
        </is>
      </c>
      <c r="B6729" s="1" t="n">
        <v>45562</v>
      </c>
      <c r="C6729" s="1" t="n">
        <v>45570</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42303-2024</t>
        </is>
      </c>
      <c r="B6730" s="1" t="n">
        <v>45562</v>
      </c>
      <c r="C6730" s="1" t="n">
        <v>45570</v>
      </c>
      <c r="D6730" t="inlineStr">
        <is>
          <t>SKÅNE LÄN</t>
        </is>
      </c>
      <c r="E6730" t="inlineStr">
        <is>
          <t>KLIPPAN</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42311-2024</t>
        </is>
      </c>
      <c r="B6731" s="1" t="n">
        <v>45562</v>
      </c>
      <c r="C6731" s="1" t="n">
        <v>45570</v>
      </c>
      <c r="D6731" t="inlineStr">
        <is>
          <t>SKÅNE LÄN</t>
        </is>
      </c>
      <c r="E6731" t="inlineStr">
        <is>
          <t>KLIPPAN</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42305-2024</t>
        </is>
      </c>
      <c r="B6732" s="1" t="n">
        <v>45562</v>
      </c>
      <c r="C6732" s="1" t="n">
        <v>45570</v>
      </c>
      <c r="D6732" t="inlineStr">
        <is>
          <t>SKÅNE LÄN</t>
        </is>
      </c>
      <c r="E6732" t="inlineStr">
        <is>
          <t>KLIPPAN</t>
        </is>
      </c>
      <c r="F6732" t="inlineStr">
        <is>
          <t>Sveaskog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42313-2024</t>
        </is>
      </c>
      <c r="B6733" s="1" t="n">
        <v>45562</v>
      </c>
      <c r="C6733" s="1" t="n">
        <v>45570</v>
      </c>
      <c r="D6733" t="inlineStr">
        <is>
          <t>SKÅNE LÄN</t>
        </is>
      </c>
      <c r="E6733" t="inlineStr">
        <is>
          <t>ÖSTRA GÖINGE</t>
        </is>
      </c>
      <c r="F6733" t="inlineStr">
        <is>
          <t>Sveaskog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42317-2024</t>
        </is>
      </c>
      <c r="B6734" s="1" t="n">
        <v>45562</v>
      </c>
      <c r="C6734" s="1" t="n">
        <v>45570</v>
      </c>
      <c r="D6734" t="inlineStr">
        <is>
          <t>SKÅNE LÄN</t>
        </is>
      </c>
      <c r="E6734" t="inlineStr">
        <is>
          <t>ÖSTRA GÖINGE</t>
        </is>
      </c>
      <c r="F6734" t="inlineStr">
        <is>
          <t>Sveaskog</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42319-2024</t>
        </is>
      </c>
      <c r="B6735" s="1" t="n">
        <v>45562</v>
      </c>
      <c r="C6735" s="1" t="n">
        <v>45570</v>
      </c>
      <c r="D6735" t="inlineStr">
        <is>
          <t>SKÅNE LÄN</t>
        </is>
      </c>
      <c r="E6735" t="inlineStr">
        <is>
          <t>ÖSTRA GÖINGE</t>
        </is>
      </c>
      <c r="F6735" t="inlineStr">
        <is>
          <t>Sveaskog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42261-2024</t>
        </is>
      </c>
      <c r="B6736" s="1" t="n">
        <v>45562</v>
      </c>
      <c r="C6736" s="1" t="n">
        <v>45570</v>
      </c>
      <c r="D6736" t="inlineStr">
        <is>
          <t>SKÅNE LÄN</t>
        </is>
      </c>
      <c r="E6736" t="inlineStr">
        <is>
          <t>TOMELILLA</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42275-2024</t>
        </is>
      </c>
      <c r="B6737" s="1" t="n">
        <v>45562</v>
      </c>
      <c r="C6737" s="1" t="n">
        <v>45570</v>
      </c>
      <c r="D6737" t="inlineStr">
        <is>
          <t>SKÅNE LÄN</t>
        </is>
      </c>
      <c r="E6737" t="inlineStr">
        <is>
          <t>KLIPPAN</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42308-2024</t>
        </is>
      </c>
      <c r="B6738" s="1" t="n">
        <v>45562</v>
      </c>
      <c r="C6738" s="1" t="n">
        <v>45570</v>
      </c>
      <c r="D6738" t="inlineStr">
        <is>
          <t>SKÅNE LÄN</t>
        </is>
      </c>
      <c r="E6738" t="inlineStr">
        <is>
          <t>KLIPPAN</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42281-2024</t>
        </is>
      </c>
      <c r="B6739" s="1" t="n">
        <v>45562</v>
      </c>
      <c r="C6739" s="1" t="n">
        <v>45570</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42371-2024</t>
        </is>
      </c>
      <c r="B6740" s="1" t="n">
        <v>45564</v>
      </c>
      <c r="C6740" s="1" t="n">
        <v>45570</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42372-2024</t>
        </is>
      </c>
      <c r="B6741" s="1" t="n">
        <v>45564</v>
      </c>
      <c r="C6741" s="1" t="n">
        <v>45570</v>
      </c>
      <c r="D6741" t="inlineStr">
        <is>
          <t>SKÅNE LÄN</t>
        </is>
      </c>
      <c r="E6741" t="inlineStr">
        <is>
          <t>HÄSSLEHOLM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42373-2024</t>
        </is>
      </c>
      <c r="B6742" s="1" t="n">
        <v>45564</v>
      </c>
      <c r="C6742" s="1" t="n">
        <v>45570</v>
      </c>
      <c r="D6742" t="inlineStr">
        <is>
          <t>SKÅNE LÄN</t>
        </is>
      </c>
      <c r="E6742" t="inlineStr">
        <is>
          <t>ÖSTRA GÖINGE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42435-2024</t>
        </is>
      </c>
      <c r="B6743" s="1" t="n">
        <v>45565</v>
      </c>
      <c r="C6743" s="1" t="n">
        <v>45570</v>
      </c>
      <c r="D6743" t="inlineStr">
        <is>
          <t>SKÅNE LÄN</t>
        </is>
      </c>
      <c r="E6743" t="inlineStr">
        <is>
          <t>PERSTORP</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42389-2024</t>
        </is>
      </c>
      <c r="B6744" s="1" t="n">
        <v>45565</v>
      </c>
      <c r="C6744" s="1" t="n">
        <v>45570</v>
      </c>
      <c r="D6744" t="inlineStr">
        <is>
          <t>SKÅNE LÄN</t>
        </is>
      </c>
      <c r="E6744" t="inlineStr">
        <is>
          <t>HÄSSLEHOLM</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42472-2024</t>
        </is>
      </c>
      <c r="B6745" s="1" t="n">
        <v>45565</v>
      </c>
      <c r="C6745" s="1" t="n">
        <v>45570</v>
      </c>
      <c r="D6745" t="inlineStr">
        <is>
          <t>SKÅNE LÄN</t>
        </is>
      </c>
      <c r="E6745" t="inlineStr">
        <is>
          <t>KRISTIANSTAD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42433-2024</t>
        </is>
      </c>
      <c r="B6746" s="1" t="n">
        <v>45565</v>
      </c>
      <c r="C6746" s="1" t="n">
        <v>45570</v>
      </c>
      <c r="D6746" t="inlineStr">
        <is>
          <t>SKÅNE LÄN</t>
        </is>
      </c>
      <c r="E6746" t="inlineStr">
        <is>
          <t>PERSTORP</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42454-2024</t>
        </is>
      </c>
      <c r="B6747" s="1" t="n">
        <v>45565</v>
      </c>
      <c r="C6747" s="1" t="n">
        <v>45570</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42909-2024</t>
        </is>
      </c>
      <c r="B6748" s="1" t="n">
        <v>45566</v>
      </c>
      <c r="C6748" s="1" t="n">
        <v>45570</v>
      </c>
      <c r="D6748" t="inlineStr">
        <is>
          <t>SKÅNE LÄN</t>
        </is>
      </c>
      <c r="E6748" t="inlineStr">
        <is>
          <t>BROMÖLLA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42790-2024</t>
        </is>
      </c>
      <c r="B6749" s="1" t="n">
        <v>45566</v>
      </c>
      <c r="C6749" s="1" t="n">
        <v>45570</v>
      </c>
      <c r="D6749" t="inlineStr">
        <is>
          <t>SKÅNE LÄN</t>
        </is>
      </c>
      <c r="E6749" t="inlineStr">
        <is>
          <t>KRISTIANSTAD</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42794-2024</t>
        </is>
      </c>
      <c r="B6750" s="1" t="n">
        <v>45566</v>
      </c>
      <c r="C6750" s="1" t="n">
        <v>45570</v>
      </c>
      <c r="D6750" t="inlineStr">
        <is>
          <t>SKÅNE LÄN</t>
        </is>
      </c>
      <c r="E6750" t="inlineStr">
        <is>
          <t>TOMELILLA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42653-2024</t>
        </is>
      </c>
      <c r="B6751" s="1" t="n">
        <v>45566</v>
      </c>
      <c r="C6751" s="1" t="n">
        <v>45570</v>
      </c>
      <c r="D6751" t="inlineStr">
        <is>
          <t>SKÅNE LÄN</t>
        </is>
      </c>
      <c r="E6751" t="inlineStr">
        <is>
          <t>ÖRKELLJUNGA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42805-2024</t>
        </is>
      </c>
      <c r="B6752" s="1" t="n">
        <v>45566</v>
      </c>
      <c r="C6752" s="1" t="n">
        <v>45570</v>
      </c>
      <c r="D6752" t="inlineStr">
        <is>
          <t>SKÅNE LÄN</t>
        </is>
      </c>
      <c r="E6752" t="inlineStr">
        <is>
          <t>KRISTIANSTAD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42735-2024</t>
        </is>
      </c>
      <c r="B6753" s="1" t="n">
        <v>45566</v>
      </c>
      <c r="C6753" s="1" t="n">
        <v>45570</v>
      </c>
      <c r="D6753" t="inlineStr">
        <is>
          <t>SKÅNE LÄN</t>
        </is>
      </c>
      <c r="E6753" t="inlineStr">
        <is>
          <t>HÄSSLEHOLM</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42797-2024</t>
        </is>
      </c>
      <c r="B6754" s="1" t="n">
        <v>45566</v>
      </c>
      <c r="C6754" s="1" t="n">
        <v>45570</v>
      </c>
      <c r="D6754" t="inlineStr">
        <is>
          <t>SKÅNE LÄN</t>
        </is>
      </c>
      <c r="E6754" t="inlineStr">
        <is>
          <t>KRISTIANSTAD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42912-2024</t>
        </is>
      </c>
      <c r="B6755" s="1" t="n">
        <v>45566</v>
      </c>
      <c r="C6755" s="1" t="n">
        <v>45570</v>
      </c>
      <c r="D6755" t="inlineStr">
        <is>
          <t>SKÅNE LÄN</t>
        </is>
      </c>
      <c r="E6755" t="inlineStr">
        <is>
          <t>BROMÖLLA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42916-2024</t>
        </is>
      </c>
      <c r="B6756" s="1" t="n">
        <v>45566</v>
      </c>
      <c r="C6756" s="1" t="n">
        <v>45570</v>
      </c>
      <c r="D6756" t="inlineStr">
        <is>
          <t>SKÅNE LÄN</t>
        </is>
      </c>
      <c r="E6756" t="inlineStr">
        <is>
          <t>KRISTIANSTAD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42919-2024</t>
        </is>
      </c>
      <c r="B6757" s="1" t="n">
        <v>45566</v>
      </c>
      <c r="C6757" s="1" t="n">
        <v>45570</v>
      </c>
      <c r="D6757" t="inlineStr">
        <is>
          <t>SKÅNE LÄN</t>
        </is>
      </c>
      <c r="E6757" t="inlineStr">
        <is>
          <t>KRISTIANSTAD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43061-2024</t>
        </is>
      </c>
      <c r="B6758" s="1" t="n">
        <v>45567</v>
      </c>
      <c r="C6758" s="1" t="n">
        <v>45570</v>
      </c>
      <c r="D6758" t="inlineStr">
        <is>
          <t>SKÅNE LÄN</t>
        </is>
      </c>
      <c r="E6758" t="inlineStr">
        <is>
          <t>HÄSSLEHOLM</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43136-2024</t>
        </is>
      </c>
      <c r="B6759" s="1" t="n">
        <v>45567</v>
      </c>
      <c r="C6759" s="1" t="n">
        <v>45570</v>
      </c>
      <c r="D6759" t="inlineStr">
        <is>
          <t>SKÅNE LÄN</t>
        </is>
      </c>
      <c r="E6759" t="inlineStr">
        <is>
          <t>HÄSSLEHOLM</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43224-2024</t>
        </is>
      </c>
      <c r="B6760" s="1" t="n">
        <v>45567</v>
      </c>
      <c r="C6760" s="1" t="n">
        <v>45570</v>
      </c>
      <c r="D6760" t="inlineStr">
        <is>
          <t>SKÅNE LÄN</t>
        </is>
      </c>
      <c r="E6760" t="inlineStr">
        <is>
          <t>ÖSTRA GÖINGE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43347-2024</t>
        </is>
      </c>
      <c r="B6761" s="1" t="n">
        <v>45568</v>
      </c>
      <c r="C6761" s="1" t="n">
        <v>45570</v>
      </c>
      <c r="D6761" t="inlineStr">
        <is>
          <t>SKÅNE LÄN</t>
        </is>
      </c>
      <c r="E6761" t="inlineStr">
        <is>
          <t>KRISTIANSTAD</t>
        </is>
      </c>
      <c r="F6761" t="inlineStr">
        <is>
          <t>Kyrkan</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43395-2024</t>
        </is>
      </c>
      <c r="B6762" s="1" t="n">
        <v>45568</v>
      </c>
      <c r="C6762" s="1" t="n">
        <v>45570</v>
      </c>
      <c r="D6762" t="inlineStr">
        <is>
          <t>SKÅNE LÄN</t>
        </is>
      </c>
      <c r="E6762" t="inlineStr">
        <is>
          <t>ÖSTRA GÖINGE</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43469-2024</t>
        </is>
      </c>
      <c r="B6763" s="1" t="n">
        <v>45568</v>
      </c>
      <c r="C6763" s="1" t="n">
        <v>45570</v>
      </c>
      <c r="D6763" t="inlineStr">
        <is>
          <t>SKÅNE LÄN</t>
        </is>
      </c>
      <c r="E6763" t="inlineStr">
        <is>
          <t>HÖÖR</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43401-2024</t>
        </is>
      </c>
      <c r="B6764" s="1" t="n">
        <v>45568</v>
      </c>
      <c r="C6764" s="1" t="n">
        <v>45570</v>
      </c>
      <c r="D6764" t="inlineStr">
        <is>
          <t>SKÅNE LÄN</t>
        </is>
      </c>
      <c r="E6764" t="inlineStr">
        <is>
          <t>ÖSTRA GÖINGE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43447-2024</t>
        </is>
      </c>
      <c r="B6765" s="1" t="n">
        <v>45568</v>
      </c>
      <c r="C6765" s="1" t="n">
        <v>45570</v>
      </c>
      <c r="D6765" t="inlineStr">
        <is>
          <t>SKÅNE LÄN</t>
        </is>
      </c>
      <c r="E6765" t="inlineStr">
        <is>
          <t>ÖSTRA GÖINGE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43312-2024</t>
        </is>
      </c>
      <c r="B6766" s="1" t="n">
        <v>45568</v>
      </c>
      <c r="C6766" s="1" t="n">
        <v>45570</v>
      </c>
      <c r="D6766" t="inlineStr">
        <is>
          <t>SKÅNE LÄN</t>
        </is>
      </c>
      <c r="E6766" t="inlineStr">
        <is>
          <t>KRISTIANSTAD</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43338-2024</t>
        </is>
      </c>
      <c r="B6767" s="1" t="n">
        <v>45568</v>
      </c>
      <c r="C6767" s="1" t="n">
        <v>45570</v>
      </c>
      <c r="D6767" t="inlineStr">
        <is>
          <t>SKÅNE LÄN</t>
        </is>
      </c>
      <c r="E6767" t="inlineStr">
        <is>
          <t>OSBY</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43314-2024</t>
        </is>
      </c>
      <c r="B6768" s="1" t="n">
        <v>45568</v>
      </c>
      <c r="C6768" s="1" t="n">
        <v>45570</v>
      </c>
      <c r="D6768" t="inlineStr">
        <is>
          <t>SKÅNE LÄN</t>
        </is>
      </c>
      <c r="E6768" t="inlineStr">
        <is>
          <t>KRISTIANSTAD</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43454-2024</t>
        </is>
      </c>
      <c r="B6769" s="1" t="n">
        <v>45568</v>
      </c>
      <c r="C6769" s="1" t="n">
        <v>45570</v>
      </c>
      <c r="D6769" t="inlineStr">
        <is>
          <t>SKÅNE LÄN</t>
        </is>
      </c>
      <c r="E6769" t="inlineStr">
        <is>
          <t>ÖSTRA GÖINGE</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43512-2024</t>
        </is>
      </c>
      <c r="B6770" s="1" t="n">
        <v>45569</v>
      </c>
      <c r="C6770" s="1" t="n">
        <v>45570</v>
      </c>
      <c r="D6770" t="inlineStr">
        <is>
          <t>SKÅNE LÄN</t>
        </is>
      </c>
      <c r="E6770" t="inlineStr">
        <is>
          <t>LUND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43656-2024</t>
        </is>
      </c>
      <c r="B6771" s="1" t="n">
        <v>45569</v>
      </c>
      <c r="C6771" s="1" t="n">
        <v>45570</v>
      </c>
      <c r="D6771" t="inlineStr">
        <is>
          <t>SKÅNE LÄN</t>
        </is>
      </c>
      <c r="E6771" t="inlineStr">
        <is>
          <t>HÄSSLEHOLM</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43687-2024</t>
        </is>
      </c>
      <c r="B6772" s="1" t="n">
        <v>45569</v>
      </c>
      <c r="C6772" s="1" t="n">
        <v>45570</v>
      </c>
      <c r="D6772" t="inlineStr">
        <is>
          <t>SKÅNE LÄN</t>
        </is>
      </c>
      <c r="E6772" t="inlineStr">
        <is>
          <t>KRISTIANSTAD</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43711-2024</t>
        </is>
      </c>
      <c r="B6773" s="1" t="n">
        <v>45569</v>
      </c>
      <c r="C6773" s="1" t="n">
        <v>45570</v>
      </c>
      <c r="D6773" t="inlineStr">
        <is>
          <t>SKÅNE LÄN</t>
        </is>
      </c>
      <c r="E6773" t="inlineStr">
        <is>
          <t>HÖRBY</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43660-2024</t>
        </is>
      </c>
      <c r="B6774" s="1" t="n">
        <v>45569</v>
      </c>
      <c r="C6774" s="1" t="n">
        <v>45570</v>
      </c>
      <c r="D6774" t="inlineStr">
        <is>
          <t>SKÅNE LÄN</t>
        </is>
      </c>
      <c r="E6774" t="inlineStr">
        <is>
          <t>ÖSTRA GÖINGE</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43724-2024</t>
        </is>
      </c>
      <c r="B6775" s="1" t="n">
        <v>45569</v>
      </c>
      <c r="C6775" s="1" t="n">
        <v>45570</v>
      </c>
      <c r="D6775" t="inlineStr">
        <is>
          <t>SKÅNE LÄN</t>
        </is>
      </c>
      <c r="E6775" t="inlineStr">
        <is>
          <t>SIMRISHAMN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43657-2024</t>
        </is>
      </c>
      <c r="B6776" s="1" t="n">
        <v>45569</v>
      </c>
      <c r="C6776" s="1" t="n">
        <v>45570</v>
      </c>
      <c r="D6776" t="inlineStr">
        <is>
          <t>SKÅNE LÄN</t>
        </is>
      </c>
      <c r="E6776" t="inlineStr">
        <is>
          <t>HÄSSLEHOLM</t>
        </is>
      </c>
      <c r="G6776" t="n">
        <v>0.6</v>
      </c>
      <c r="H6776" t="n">
        <v>0</v>
      </c>
      <c r="I6776" t="n">
        <v>0</v>
      </c>
      <c r="J6776" t="n">
        <v>0</v>
      </c>
      <c r="K6776" t="n">
        <v>0</v>
      </c>
      <c r="L6776" t="n">
        <v>0</v>
      </c>
      <c r="M6776" t="n">
        <v>0</v>
      </c>
      <c r="N6776" t="n">
        <v>0</v>
      </c>
      <c r="O6776" t="n">
        <v>0</v>
      </c>
      <c r="P6776" t="n">
        <v>0</v>
      </c>
      <c r="Q6776" t="n">
        <v>0</v>
      </c>
      <c r="R6776" s="2" t="inlineStr"/>
    </row>
    <row r="6777">
      <c r="A6777" t="inlineStr">
        <is>
          <t>A 43696-2024</t>
        </is>
      </c>
      <c r="B6777" s="1" t="n">
        <v>45569</v>
      </c>
      <c r="C6777" s="1" t="n">
        <v>45570</v>
      </c>
      <c r="D6777" t="inlineStr">
        <is>
          <t>SKÅNE LÄN</t>
        </is>
      </c>
      <c r="E6777" t="inlineStr">
        <is>
          <t>HÄSSLEHOLM</t>
        </is>
      </c>
      <c r="G6777" t="n">
        <v>2.9</v>
      </c>
      <c r="H6777" t="n">
        <v>0</v>
      </c>
      <c r="I6777" t="n">
        <v>0</v>
      </c>
      <c r="J6777" t="n">
        <v>0</v>
      </c>
      <c r="K6777" t="n">
        <v>0</v>
      </c>
      <c r="L6777" t="n">
        <v>0</v>
      </c>
      <c r="M6777" t="n">
        <v>0</v>
      </c>
      <c r="N6777" t="n">
        <v>0</v>
      </c>
      <c r="O6777" t="n">
        <v>0</v>
      </c>
      <c r="P6777" t="n">
        <v>0</v>
      </c>
      <c r="Q6777" t="n">
        <v>0</v>
      </c>
      <c r="R6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2024-10-05T12:56:23Z</dcterms:created>
  <dcterms:modified xmlns:dcterms="http://purl.org/dc/terms/" xmlns:xsi="http://www.w3.org/2001/XMLSchema-instance" xsi:type="dcterms:W3CDTF">2024-10-05T12:56:29Z</dcterms:modified>
</cp:coreProperties>
</file>