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32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9899-2021</t>
        </is>
      </c>
      <c r="B2" t="inlineStr">
        <is>
          <t>samrådsanmälan</t>
        </is>
      </c>
      <c r="C2" t="inlineStr">
        <is>
          <t>Askåterföring</t>
        </is>
      </c>
      <c r="D2" s="1" t="n">
        <v>44533</v>
      </c>
      <c r="E2" s="1" t="n">
        <v>46312</v>
      </c>
      <c r="F2" t="inlineStr">
        <is>
          <t>SKÅNE LÄN</t>
        </is>
      </c>
      <c r="G2" t="inlineStr">
        <is>
          <t>LUND</t>
        </is>
      </c>
      <c r="I2" t="n">
        <v>54.6</v>
      </c>
      <c r="J2" t="n">
        <v>16</v>
      </c>
      <c r="K2" t="n">
        <v>7</v>
      </c>
      <c r="L2" t="n">
        <v>8</v>
      </c>
      <c r="M2" t="n">
        <v>3</v>
      </c>
      <c r="N2" t="n">
        <v>3</v>
      </c>
      <c r="O2" t="n">
        <v>1</v>
      </c>
      <c r="P2" t="n">
        <v>0</v>
      </c>
      <c r="Q2" t="n">
        <v>15</v>
      </c>
      <c r="R2" t="n">
        <v>7</v>
      </c>
      <c r="S2" t="n">
        <v>33</v>
      </c>
      <c r="T2" t="n">
        <v>42</v>
      </c>
      <c r="U2" t="n">
        <v>26</v>
      </c>
      <c r="V2" s="2" t="inlineStr">
        <is>
          <t>Naverlönn
Korndådra
Lundäxing
Skogsalm
Brunfläckig pärlemorfjäril
Revig blodrot
Åkermadd
Desmeknopp
Entita
Grönsångare
Gulsparv
Järnsparv
Mjukdån
Stiftklotterlav
Sydlig blekspik
Bokoxe
Grå skärelav
Guldlockmossa
Hässleklocka
Igelkottsröksvamp
Skogsknipprot
Stor häxört
Spillkråka
Kungsfågel
Större vattensalamander
Trädlärka
Åkergroda
Mindre vattensalamander
Skogsödla
Vanlig groda
Vanlig padda
Ätlig groda
Klotullört</t>
        </is>
      </c>
      <c r="W2">
        <f>HYPERLINK("https://klasma.github.io/Logging_1281/artfynd/S 9899-2021 artfynd.xlsx", "S 9899-2021")</f>
        <v/>
      </c>
      <c r="X2">
        <f>HYPERLINK("https://klasma.github.io/Logging_1281/kartor/S 9899-2021 karta.png", "S 9899-2021")</f>
        <v/>
      </c>
      <c r="Y2">
        <f>HYPERLINK("https://klasma.github.io/Logging_1281/kartor_geotiff/S 9899-2021 georefererad karta.tif", "S 9899-2021")</f>
        <v/>
      </c>
      <c r="AA2">
        <f>HYPERLINK("https://klasma.github.io/Logging_1281/klagomål/S 9899-2021 FSC-klagomål.docx", "S 9899-2021")</f>
        <v/>
      </c>
      <c r="AB2">
        <f>HYPERLINK("https://klasma.github.io/Logging_1281/klagomålsmail/S 9899-2021 FSC-klagomål mail.docx", "S 9899-2021")</f>
        <v/>
      </c>
      <c r="AC2">
        <f>HYPERLINK("https://klasma.github.io/Logging_1281/tillsyn/S 9899-2021 tillsynsbegäran.docx", "S 9899-2021")</f>
        <v/>
      </c>
      <c r="AD2">
        <f>HYPERLINK("https://klasma.github.io/Logging_1281/tillsynsmail/S 9899-2021 tillsynsbegäran mail.docx", "S 9899-2021")</f>
        <v/>
      </c>
      <c r="AE2">
        <f>HYPERLINK("https://klasma.github.io/Logging_1281/fåglar/S 9899-2021 prioriterade fågelarter.docx", "S 9899-2021")</f>
        <v/>
      </c>
    </row>
    <row r="3" ht="15" customHeight="1">
      <c r="A3" t="inlineStr">
        <is>
          <t>S 6195-2022</t>
        </is>
      </c>
      <c r="B3" t="inlineStr">
        <is>
          <t>samrådsanmälan</t>
        </is>
      </c>
      <c r="C3" t="inlineStr">
        <is>
          <t>Annan skogsbruksåtgärd</t>
        </is>
      </c>
      <c r="D3" s="1" t="n">
        <v>44867</v>
      </c>
      <c r="E3" s="1" t="n">
        <v>46312</v>
      </c>
      <c r="F3" t="inlineStr">
        <is>
          <t>SKÅNE LÄN</t>
        </is>
      </c>
      <c r="G3" t="inlineStr">
        <is>
          <t>SJÖBO</t>
        </is>
      </c>
      <c r="I3" t="n">
        <v>8.699999999999999</v>
      </c>
      <c r="J3" t="n">
        <v>10</v>
      </c>
      <c r="K3" t="n">
        <v>10</v>
      </c>
      <c r="L3" t="n">
        <v>10</v>
      </c>
      <c r="M3" t="n">
        <v>4</v>
      </c>
      <c r="N3" t="n">
        <v>0</v>
      </c>
      <c r="O3" t="n">
        <v>0</v>
      </c>
      <c r="P3" t="n">
        <v>0</v>
      </c>
      <c r="Q3" t="n">
        <v>14</v>
      </c>
      <c r="R3" t="n">
        <v>4</v>
      </c>
      <c r="S3" t="n">
        <v>29</v>
      </c>
      <c r="T3" t="n">
        <v>66</v>
      </c>
      <c r="U3" t="n">
        <v>36</v>
      </c>
      <c r="V3" s="2" t="inlineStr">
        <is>
          <t>Beraea maura
Crunoecia irrorata
Skogskorn
Småvänderot
Barbastell
Brunlångöra
Fransfladdermus
Lamellsnäcka
Nordfladdermus
Skogsveronika
Skugglosta
Sårläka
Vårärt
Åkerrödtoppa
Lundbräsma
Lundvårlök
Murgröna
Nästrot
Rutbläcksvamp
Skogsbräsma
Springkorn
Stor häxört
Strävlosta
Svart trolldruva
Blåsippa
Dvärgpipistrell
Större brunfladdermus
Trollpipistrell
Vattenfladdermus</t>
        </is>
      </c>
      <c r="W3">
        <f>HYPERLINK("https://klasma.github.io/Logging_1265/artfynd/S 6195-2022 artfynd.xlsx", "S 6195-2022")</f>
        <v/>
      </c>
      <c r="X3">
        <f>HYPERLINK("https://klasma.github.io/Logging_1265/kartor/S 6195-2022 karta.png", "S 6195-2022")</f>
        <v/>
      </c>
      <c r="Y3">
        <f>HYPERLINK("https://klasma.github.io/Logging_1265/kartor_geotiff/S 6195-2022 georefererad karta.tif", "S 6195-2022")</f>
        <v/>
      </c>
      <c r="AA3">
        <f>HYPERLINK("https://klasma.github.io/Logging_1265/klagomål/S 6195-2022 FSC-klagomål.docx", "S 6195-2022")</f>
        <v/>
      </c>
      <c r="AB3">
        <f>HYPERLINK("https://klasma.github.io/Logging_1265/klagomålsmail/S 6195-2022 FSC-klagomål mail.docx", "S 6195-2022")</f>
        <v/>
      </c>
      <c r="AC3">
        <f>HYPERLINK("https://klasma.github.io/Logging_1265/tillsyn/S 6195-2022 tillsynsbegäran.docx", "S 6195-2022")</f>
        <v/>
      </c>
      <c r="AD3">
        <f>HYPERLINK("https://klasma.github.io/Logging_1265/tillsynsmail/S 6195-2022 tillsynsbegäran mail.docx", "S 6195-2022")</f>
        <v/>
      </c>
    </row>
    <row r="4" ht="15" customHeight="1">
      <c r="A4" t="inlineStr">
        <is>
          <t>A 29860-2022</t>
        </is>
      </c>
      <c r="B4" t="inlineStr">
        <is>
          <t>avverkningsanmälan</t>
        </is>
      </c>
      <c r="C4" t="inlineStr">
        <is>
          <t>Avverkning för annat ändamål</t>
        </is>
      </c>
      <c r="D4" s="1" t="n">
        <v>44756</v>
      </c>
      <c r="E4" s="1" t="n">
        <v>46312</v>
      </c>
      <c r="F4" t="inlineStr">
        <is>
          <t>SKÅNE LÄN</t>
        </is>
      </c>
      <c r="G4" t="inlineStr">
        <is>
          <t>TOMELILLA</t>
        </is>
      </c>
      <c r="I4" t="n">
        <v>14.1</v>
      </c>
      <c r="J4" t="n">
        <v>1</v>
      </c>
      <c r="K4" t="n">
        <v>10</v>
      </c>
      <c r="L4" t="n">
        <v>10</v>
      </c>
      <c r="M4" t="n">
        <v>3</v>
      </c>
      <c r="N4" t="n">
        <v>3</v>
      </c>
      <c r="O4" t="n">
        <v>0</v>
      </c>
      <c r="P4" t="n">
        <v>0</v>
      </c>
      <c r="Q4" t="n">
        <v>16</v>
      </c>
      <c r="R4" t="n">
        <v>6</v>
      </c>
      <c r="S4" t="n">
        <v>27</v>
      </c>
      <c r="T4" t="n">
        <v>83</v>
      </c>
      <c r="U4" t="n">
        <v>52</v>
      </c>
      <c r="V4" s="2" t="inlineStr">
        <is>
          <t>Almlav
Ask
Askvårtlav
Corticeus longulus
Fläcklungört
Mulmknäppare
Bokvedvivel
Bokvårtlav
Desmeknopp
Fläderlundlav
Hålnunneört
Hålskenknäppare
Jordtistel
Sommarfibbla
Stiftklotterlav
Tvåfärgad barksvartbagge
Grov baronmossa
Grå skärelav
Guldlockmossa
Gulnål
Lönnlav
Piskbaronmossa
Platt fjädermossa
Rikfruktig blemlav
Strävlosta
Trubbfjädermossa
Sankt pers nycklar</t>
        </is>
      </c>
      <c r="W4">
        <f>HYPERLINK("https://klasma.github.io/Logging_1270/artfynd/A 29860-2022 artfynd.xlsx", "A 29860-2022")</f>
        <v/>
      </c>
      <c r="X4">
        <f>HYPERLINK("https://klasma.github.io/Logging_1270/kartor/A 29860-2022 karta.png", "A 29860-2022")</f>
        <v/>
      </c>
      <c r="Y4">
        <f>HYPERLINK("https://klasma.github.io/Logging_1270/kartor_geotiff/A 29860-2022 georefererad karta.tif", "A 29860-2022")</f>
        <v/>
      </c>
      <c r="AA4">
        <f>HYPERLINK("https://klasma.github.io/Logging_1270/klagomål/A 29860-2022 FSC-klagomål.docx", "A 29860-2022")</f>
        <v/>
      </c>
      <c r="AB4">
        <f>HYPERLINK("https://klasma.github.io/Logging_1270/klagomålsmail/A 29860-2022 FSC-klagomål mail.docx", "A 29860-2022")</f>
        <v/>
      </c>
      <c r="AC4">
        <f>HYPERLINK("https://klasma.github.io/Logging_1270/tillsyn/A 29860-2022 tillsynsbegäran.docx", "A 29860-2022")</f>
        <v/>
      </c>
      <c r="AD4">
        <f>HYPERLINK("https://klasma.github.io/Logging_1270/tillsynsmail/A 29860-2022 tillsynsbegäran mail.docx", "A 29860-2022")</f>
        <v/>
      </c>
    </row>
    <row r="5" ht="15" customHeight="1">
      <c r="A5" t="inlineStr">
        <is>
          <t>A 18987-2024</t>
        </is>
      </c>
      <c r="B5" t="inlineStr">
        <is>
          <t>avverkningsanmälan</t>
        </is>
      </c>
      <c r="C5" t="inlineStr">
        <is>
          <t>Föryngringsavverkning</t>
        </is>
      </c>
      <c r="D5" s="1" t="n">
        <v>45427</v>
      </c>
      <c r="E5" s="1" t="n">
        <v>46312</v>
      </c>
      <c r="F5" t="inlineStr">
        <is>
          <t>SKÅNE LÄN</t>
        </is>
      </c>
      <c r="G5" t="inlineStr">
        <is>
          <t>HÄSSLEHOLM</t>
        </is>
      </c>
      <c r="I5" t="n">
        <v>7.1</v>
      </c>
      <c r="J5" t="n">
        <v>1</v>
      </c>
      <c r="K5" t="n">
        <v>14</v>
      </c>
      <c r="L5" t="n">
        <v>9</v>
      </c>
      <c r="M5" t="n">
        <v>2</v>
      </c>
      <c r="N5" t="n">
        <v>1</v>
      </c>
      <c r="O5" t="n">
        <v>0</v>
      </c>
      <c r="P5" t="n">
        <v>0</v>
      </c>
      <c r="Q5" t="n">
        <v>12</v>
      </c>
      <c r="R5" t="n">
        <v>3</v>
      </c>
      <c r="S5" t="n">
        <v>27</v>
      </c>
      <c r="T5" t="n">
        <v>186</v>
      </c>
      <c r="U5" t="n">
        <v>186</v>
      </c>
      <c r="V5" s="2" t="inlineStr">
        <is>
          <t>Ask
Vedlavklubba
Ädelkronlav
Bokkantlav
Bokvårtlav
Gullpudra
Koralltaggsvamp
Liten lundlav
Orangepudrad klotterlav
Stiftklotterlav
Sydlig sotticka
Violettgrå porlav
Barkkornlav
Bokfjädermossa
Fällmossa
Grov fjädermossa
Guldlockmossa
Gulnål
Havstulpanlav
Klippfrullania
Kornig nållav
Lönnlav
Platt fjädermossa
Rostfläck
Skuggmossa
Västlig hakmossa
Spillkråka</t>
        </is>
      </c>
      <c r="W5">
        <f>HYPERLINK("https://klasma.github.io/Logging_1293/artfynd/A 18987-2024 artfynd.xlsx", "A 18987-2024")</f>
        <v/>
      </c>
      <c r="X5">
        <f>HYPERLINK("https://klasma.github.io/Logging_1293/kartor/A 18987-2024 karta.png", "A 18987-2024")</f>
        <v/>
      </c>
      <c r="Y5">
        <f>HYPERLINK("https://klasma.github.io/Logging_1293/kartor_geotiff/A 18987-2024 georefererad karta.tif", "A 18987-2024")</f>
        <v/>
      </c>
      <c r="AA5">
        <f>HYPERLINK("https://klasma.github.io/Logging_1293/klagomål/A 18987-2024 FSC-klagomål.docx", "A 18987-2024")</f>
        <v/>
      </c>
      <c r="AB5">
        <f>HYPERLINK("https://klasma.github.io/Logging_1293/klagomålsmail/A 18987-2024 FSC-klagomål mail.docx", "A 18987-2024")</f>
        <v/>
      </c>
      <c r="AC5">
        <f>HYPERLINK("https://klasma.github.io/Logging_1293/tillsyn/A 18987-2024 tillsynsbegäran.docx", "A 18987-2024")</f>
        <v/>
      </c>
      <c r="AD5">
        <f>HYPERLINK("https://klasma.github.io/Logging_1293/tillsynsmail/A 18987-2024 tillsynsbegäran mail.docx", "A 18987-2024")</f>
        <v/>
      </c>
      <c r="AE5">
        <f>HYPERLINK("https://klasma.github.io/Logging_1293/fåglar/A 18987-2024 prioriterade fågelarter.docx", "A 18987-2024")</f>
        <v/>
      </c>
    </row>
    <row r="6" ht="15" customHeight="1">
      <c r="A6" t="inlineStr">
        <is>
          <t>A 18989-2024</t>
        </is>
      </c>
      <c r="B6" t="inlineStr">
        <is>
          <t>avverkningsanmälan</t>
        </is>
      </c>
      <c r="C6" t="inlineStr">
        <is>
          <t>Föryngringsavverkning</t>
        </is>
      </c>
      <c r="D6" s="1" t="n">
        <v>45427</v>
      </c>
      <c r="E6" s="1" t="n">
        <v>46312</v>
      </c>
      <c r="F6" t="inlineStr">
        <is>
          <t>SKÅNE LÄN</t>
        </is>
      </c>
      <c r="G6" t="inlineStr">
        <is>
          <t>HÄSSLEHOLM</t>
        </is>
      </c>
      <c r="I6" t="n">
        <v>10.2</v>
      </c>
      <c r="J6" t="n">
        <v>2</v>
      </c>
      <c r="K6" t="n">
        <v>15</v>
      </c>
      <c r="L6" t="n">
        <v>8</v>
      </c>
      <c r="M6" t="n">
        <v>2</v>
      </c>
      <c r="N6" t="n">
        <v>0</v>
      </c>
      <c r="O6" t="n">
        <v>0</v>
      </c>
      <c r="P6" t="n">
        <v>0</v>
      </c>
      <c r="Q6" t="n">
        <v>10</v>
      </c>
      <c r="R6" t="n">
        <v>2</v>
      </c>
      <c r="S6" t="n">
        <v>26</v>
      </c>
      <c r="T6" t="n">
        <v>190</v>
      </c>
      <c r="U6" t="n">
        <v>190</v>
      </c>
      <c r="V6" s="2" t="inlineStr">
        <is>
          <t>Röd pysslinglav
Ädelkronlav
Bokkantlav
Bokvårtlav
Grönsångare
Gullpudra
Orangepudrad klotterlav
Stiftklotterlav
Sydlig sotticka
Violettgrå porlav
Barkkornlav
Blanksvart trämyra
Bokfjädermossa
Fällmossa
Grov fjädermossa
Guldlockmossa
Gulnål
Havstulpanlav
Klippfrullania
Kornig nållav
Lönnlav
Platt fjädermossa
Rikfruktig blemlav
Trädporella
Västlig hakmossa
Spillkråka</t>
        </is>
      </c>
      <c r="W6">
        <f>HYPERLINK("https://klasma.github.io/Logging_1293/artfynd/A 18989-2024 artfynd.xlsx", "A 18989-2024")</f>
        <v/>
      </c>
      <c r="X6">
        <f>HYPERLINK("https://klasma.github.io/Logging_1293/kartor/A 18989-2024 karta.png", "A 18989-2024")</f>
        <v/>
      </c>
      <c r="Y6">
        <f>HYPERLINK("https://klasma.github.io/Logging_1293/kartor_geotiff/A 18989-2024 georefererad karta.tif", "A 18989-2024")</f>
        <v/>
      </c>
      <c r="AA6">
        <f>HYPERLINK("https://klasma.github.io/Logging_1293/klagomål/A 18989-2024 FSC-klagomål.docx", "A 18989-2024")</f>
        <v/>
      </c>
      <c r="AB6">
        <f>HYPERLINK("https://klasma.github.io/Logging_1293/klagomålsmail/A 18989-2024 FSC-klagomål mail.docx", "A 18989-2024")</f>
        <v/>
      </c>
      <c r="AC6">
        <f>HYPERLINK("https://klasma.github.io/Logging_1293/tillsyn/A 18989-2024 tillsynsbegäran.docx", "A 18989-2024")</f>
        <v/>
      </c>
      <c r="AD6">
        <f>HYPERLINK("https://klasma.github.io/Logging_1293/tillsynsmail/A 18989-2024 tillsynsbegäran mail.docx", "A 18989-2024")</f>
        <v/>
      </c>
      <c r="AE6">
        <f>HYPERLINK("https://klasma.github.io/Logging_1293/fåglar/A 18989-2024 prioriterade fågelarter.docx", "A 18989-2024")</f>
        <v/>
      </c>
    </row>
    <row r="7" ht="15" customHeight="1">
      <c r="A7" t="inlineStr">
        <is>
          <t>S 872-2025</t>
        </is>
      </c>
      <c r="B7" t="inlineStr">
        <is>
          <t>samrådsanmälan</t>
        </is>
      </c>
      <c r="C7" t="inlineStr">
        <is>
          <t>Askåterföring</t>
        </is>
      </c>
      <c r="D7" s="1" t="n">
        <v>45734</v>
      </c>
      <c r="E7" s="1" t="n">
        <v>46312</v>
      </c>
      <c r="F7" t="inlineStr">
        <is>
          <t>SKÅNE LÄN</t>
        </is>
      </c>
      <c r="G7" t="inlineStr">
        <is>
          <t>SIMRISHAMN</t>
        </is>
      </c>
      <c r="H7" t="inlineStr">
        <is>
          <t>Övriga Aktiebolag</t>
        </is>
      </c>
      <c r="I7" t="n">
        <v>123.4</v>
      </c>
      <c r="J7" t="n">
        <v>15</v>
      </c>
      <c r="K7" t="n">
        <v>4</v>
      </c>
      <c r="L7" t="n">
        <v>6</v>
      </c>
      <c r="M7" t="n">
        <v>3</v>
      </c>
      <c r="N7" t="n">
        <v>2</v>
      </c>
      <c r="O7" t="n">
        <v>1</v>
      </c>
      <c r="P7" t="n">
        <v>0</v>
      </c>
      <c r="Q7" t="n">
        <v>12</v>
      </c>
      <c r="R7" t="n">
        <v>6</v>
      </c>
      <c r="S7" t="n">
        <v>25</v>
      </c>
      <c r="T7" t="n">
        <v>29</v>
      </c>
      <c r="U7" t="n">
        <v>6</v>
      </c>
      <c r="V7" s="2" t="inlineStr">
        <is>
          <t>Fältpiplärka
Ask
Skogsalm
Hedblomster
Kullerlöpare
Stor sandlilja
Björktrast
Desmeknopp
Entita
Grönsångare
Mindre purpurmätare
Skogsveronika
Fjällsopp
Liten stinksvamp
Lundbräsma
Lömsk flugsvamp
Spillkråka
Buskskvätta
Gröngöling
Kråka
Kungsfågel
Skogsduva
Trädlärka
Kopparödla
Mindre vattensalamander</t>
        </is>
      </c>
      <c r="W7">
        <f>HYPERLINK("https://klasma.github.io/Logging_1291/artfynd/S 872-2025 artfynd.xlsx", "S 872-2025")</f>
        <v/>
      </c>
      <c r="X7">
        <f>HYPERLINK("https://klasma.github.io/Logging_1291/kartor/S 872-2025 karta.png", "S 872-2025")</f>
        <v/>
      </c>
      <c r="Y7">
        <f>HYPERLINK("https://klasma.github.io/Logging_1291/kartor_geotiff/S 872-2025 georefererad karta.tif", "S 872-2025")</f>
        <v/>
      </c>
      <c r="AA7">
        <f>HYPERLINK("https://klasma.github.io/Logging_1291/klagomål/S 872-2025 FSC-klagomål.docx", "S 872-2025")</f>
        <v/>
      </c>
      <c r="AB7">
        <f>HYPERLINK("https://klasma.github.io/Logging_1291/klagomålsmail/S 872-2025 FSC-klagomål mail.docx", "S 872-2025")</f>
        <v/>
      </c>
      <c r="AC7">
        <f>HYPERLINK("https://klasma.github.io/Logging_1291/tillsyn/S 872-2025 tillsynsbegäran.docx", "S 872-2025")</f>
        <v/>
      </c>
      <c r="AD7">
        <f>HYPERLINK("https://klasma.github.io/Logging_1291/tillsynsmail/S 872-2025 tillsynsbegäran mail.docx", "S 872-2025")</f>
        <v/>
      </c>
      <c r="AE7">
        <f>HYPERLINK("https://klasma.github.io/Logging_1291/fåglar/S 872-2025 prioriterade fågelarter.docx", "S 872-2025")</f>
        <v/>
      </c>
    </row>
    <row r="8" ht="15" customHeight="1">
      <c r="A8" t="inlineStr">
        <is>
          <t>S 2980-2025</t>
        </is>
      </c>
      <c r="B8" t="inlineStr">
        <is>
          <t>samrådsanmälan</t>
        </is>
      </c>
      <c r="C8" t="inlineStr">
        <is>
          <t>Annan skogsbruksåtgärd</t>
        </is>
      </c>
      <c r="D8" s="1" t="n">
        <v>45957</v>
      </c>
      <c r="E8" s="1" t="n">
        <v>46312</v>
      </c>
      <c r="F8" t="inlineStr">
        <is>
          <t>SKÅNE LÄN</t>
        </is>
      </c>
      <c r="G8" t="inlineStr">
        <is>
          <t>KRISTIANSTAD</t>
        </is>
      </c>
      <c r="I8" t="n">
        <v>29.9</v>
      </c>
      <c r="J8" t="n">
        <v>10</v>
      </c>
      <c r="K8" t="n">
        <v>5</v>
      </c>
      <c r="L8" t="n">
        <v>9</v>
      </c>
      <c r="M8" t="n">
        <v>5</v>
      </c>
      <c r="N8" t="n">
        <v>3</v>
      </c>
      <c r="O8" t="n">
        <v>0</v>
      </c>
      <c r="P8" t="n">
        <v>0</v>
      </c>
      <c r="Q8" t="n">
        <v>17</v>
      </c>
      <c r="R8" t="n">
        <v>8</v>
      </c>
      <c r="S8" t="n">
        <v>24</v>
      </c>
      <c r="T8" t="n">
        <v>122</v>
      </c>
      <c r="U8" t="n">
        <v>20</v>
      </c>
      <c r="V8" s="2" t="inlineStr">
        <is>
          <t>Sandvedel
Sommargylling
Tofsäxing
Backsippa
Bredbrämad bastardsvärmare
Hedblomster
Ryl
Stor sandlilja
Backtimjan
Grönsångare
Jordtistel
Månlåsbräken
Sandnejlika
Sandtimotej
Solvända
Tallticka
Älg
Fransig jordstjärna
Grönpyrola
Kragjordstjärna
Rödbrun jordstjärna
Skogsknipprot
Gullviva
Revlummer</t>
        </is>
      </c>
      <c r="W8">
        <f>HYPERLINK("https://klasma.github.io/Logging_1290/artfynd/S 2980-2025 artfynd.xlsx", "S 2980-2025")</f>
        <v/>
      </c>
      <c r="X8">
        <f>HYPERLINK("https://klasma.github.io/Logging_1290/kartor/S 2980-2025 karta.png", "S 2980-2025")</f>
        <v/>
      </c>
      <c r="Y8">
        <f>HYPERLINK("https://klasma.github.io/Logging_1290/kartor_geotiff/S 2980-2025 georefererad karta.tif", "S 2980-2025")</f>
        <v/>
      </c>
      <c r="AA8">
        <f>HYPERLINK("https://klasma.github.io/Logging_1290/klagomål/S 2980-2025 FSC-klagomål.docx", "S 2980-2025")</f>
        <v/>
      </c>
      <c r="AB8">
        <f>HYPERLINK("https://klasma.github.io/Logging_1290/klagomålsmail/S 2980-2025 FSC-klagomål mail.docx", "S 2980-2025")</f>
        <v/>
      </c>
      <c r="AC8">
        <f>HYPERLINK("https://klasma.github.io/Logging_1290/tillsyn/S 2980-2025 tillsynsbegäran.docx", "S 2980-2025")</f>
        <v/>
      </c>
      <c r="AD8">
        <f>HYPERLINK("https://klasma.github.io/Logging_1290/tillsynsmail/S 2980-2025 tillsynsbegäran mail.docx", "S 2980-2025")</f>
        <v/>
      </c>
      <c r="AE8">
        <f>HYPERLINK("https://klasma.github.io/Logging_1290/fåglar/S 2980-2025 prioriterade fågelarter.docx", "S 2980-2025")</f>
        <v/>
      </c>
    </row>
    <row r="9" ht="15" customHeight="1">
      <c r="A9" t="inlineStr">
        <is>
          <t>S 2213-2023</t>
        </is>
      </c>
      <c r="B9" t="inlineStr">
        <is>
          <t>samrådsanmälan</t>
        </is>
      </c>
      <c r="C9" t="inlineStr">
        <is>
          <t>Askåterföring</t>
        </is>
      </c>
      <c r="D9" s="1" t="n">
        <v>45099</v>
      </c>
      <c r="E9" s="1" t="n">
        <v>46312</v>
      </c>
      <c r="F9" t="inlineStr">
        <is>
          <t>SKÅNE LÄN</t>
        </is>
      </c>
      <c r="G9" t="inlineStr">
        <is>
          <t>ÄNGELHOLM</t>
        </is>
      </c>
      <c r="I9" t="n">
        <v>107.1</v>
      </c>
      <c r="J9" t="n">
        <v>6</v>
      </c>
      <c r="K9" t="n">
        <v>9</v>
      </c>
      <c r="L9" t="n">
        <v>6</v>
      </c>
      <c r="M9" t="n">
        <v>3</v>
      </c>
      <c r="N9" t="n">
        <v>1</v>
      </c>
      <c r="O9" t="n">
        <v>0</v>
      </c>
      <c r="P9" t="n">
        <v>0</v>
      </c>
      <c r="Q9" t="n">
        <v>10</v>
      </c>
      <c r="R9" t="n">
        <v>4</v>
      </c>
      <c r="S9" t="n">
        <v>23</v>
      </c>
      <c r="T9" t="n">
        <v>42</v>
      </c>
      <c r="U9" t="n">
        <v>8</v>
      </c>
      <c r="V9" s="2" t="inlineStr">
        <is>
          <t>Ask
Pilgrimsfalk
Rosa lundlav
Röd pysslinglav
Bokkantlav
Bokvårtlav
Dunmossa
Gropticka
Stiftklotterlav
Violettgrå porlav
Bokfjädermossa
Brandticka
Dvärghäxört
Havstulpanlav
Kambräken
Nästrot
Platt fjädermossa
Smal svampklubba
Trädporella
Havsörn
Kungsfågel
Vanlig groda
Vanlig padda</t>
        </is>
      </c>
      <c r="W9">
        <f>HYPERLINK("https://klasma.github.io/Logging_1292/artfynd/S 2213-2023 artfynd.xlsx", "S 2213-2023")</f>
        <v/>
      </c>
      <c r="X9">
        <f>HYPERLINK("https://klasma.github.io/Logging_1292/kartor/S 2213-2023 karta.png", "S 2213-2023")</f>
        <v/>
      </c>
      <c r="Y9">
        <f>HYPERLINK("https://klasma.github.io/Logging_1292/kartor_geotiff/S 2213-2023 georefererad karta.tif", "S 2213-2023")</f>
        <v/>
      </c>
      <c r="AA9">
        <f>HYPERLINK("https://klasma.github.io/Logging_1292/klagomål/S 2213-2023 FSC-klagomål.docx", "S 2213-2023")</f>
        <v/>
      </c>
      <c r="AB9">
        <f>HYPERLINK("https://klasma.github.io/Logging_1292/klagomålsmail/S 2213-2023 FSC-klagomål mail.docx", "S 2213-2023")</f>
        <v/>
      </c>
      <c r="AC9">
        <f>HYPERLINK("https://klasma.github.io/Logging_1292/tillsyn/S 2213-2023 tillsynsbegäran.docx", "S 2213-2023")</f>
        <v/>
      </c>
      <c r="AD9">
        <f>HYPERLINK("https://klasma.github.io/Logging_1292/tillsynsmail/S 2213-2023 tillsynsbegäran mail.docx", "S 2213-2023")</f>
        <v/>
      </c>
      <c r="AE9">
        <f>HYPERLINK("https://klasma.github.io/Logging_1292/fåglar/S 2213-2023 prioriterade fågelarter.docx", "S 2213-2023")</f>
        <v/>
      </c>
    </row>
    <row r="10" ht="15" customHeight="1">
      <c r="A10" t="inlineStr">
        <is>
          <t>S 2726-2025</t>
        </is>
      </c>
      <c r="B10" t="inlineStr">
        <is>
          <t>samrådsanmälan</t>
        </is>
      </c>
      <c r="C10" t="inlineStr">
        <is>
          <t>Askåterföring</t>
        </is>
      </c>
      <c r="D10" s="1" t="n">
        <v>45931</v>
      </c>
      <c r="E10" s="1" t="n">
        <v>46312</v>
      </c>
      <c r="F10" t="inlineStr">
        <is>
          <t>SKÅNE LÄN</t>
        </is>
      </c>
      <c r="G10" t="inlineStr">
        <is>
          <t>ÄNGELHOLM</t>
        </is>
      </c>
      <c r="I10" t="n">
        <v>131.7</v>
      </c>
      <c r="J10" t="n">
        <v>4</v>
      </c>
      <c r="K10" t="n">
        <v>14</v>
      </c>
      <c r="L10" t="n">
        <v>5</v>
      </c>
      <c r="M10" t="n">
        <v>0</v>
      </c>
      <c r="N10" t="n">
        <v>1</v>
      </c>
      <c r="O10" t="n">
        <v>0</v>
      </c>
      <c r="P10" t="n">
        <v>0</v>
      </c>
      <c r="Q10" t="n">
        <v>6</v>
      </c>
      <c r="R10" t="n">
        <v>1</v>
      </c>
      <c r="S10" t="n">
        <v>23</v>
      </c>
      <c r="T10" t="n">
        <v>58</v>
      </c>
      <c r="U10" t="n">
        <v>1</v>
      </c>
      <c r="V10" s="2" t="inlineStr">
        <is>
          <t>Liten ädellav
Bokkantlav
Bokvårtlav
Grönsångare
Mindre tåtelsmygare
Skånsk sprötmossa
Blåmossa
Bågpraktmossa
Dvärghäxört
Fällmossa
Kambräken
Klippfrullania
Källmossa
Lönnlav
Platt fjädermossa
Skuggmossa
Stor knopplav
Stubbspretmossa
Trädporella
Västlig hakmossa
Vanlig padda
Revlummer
Äkta lopplummer</t>
        </is>
      </c>
      <c r="W10">
        <f>HYPERLINK("https://klasma.github.io/Logging_1292/artfynd/S 2726-2025 artfynd.xlsx", "S 2726-2025")</f>
        <v/>
      </c>
      <c r="X10">
        <f>HYPERLINK("https://klasma.github.io/Logging_1292/kartor/S 2726-2025 karta.png", "S 2726-2025")</f>
        <v/>
      </c>
      <c r="Y10">
        <f>HYPERLINK("https://klasma.github.io/Logging_1292/kartor_geotiff/S 2726-2025 georefererad karta.tif", "S 2726-2025")</f>
        <v/>
      </c>
      <c r="AA10">
        <f>HYPERLINK("https://klasma.github.io/Logging_1292/klagomål/S 2726-2025 FSC-klagomål.docx", "S 2726-2025")</f>
        <v/>
      </c>
      <c r="AB10">
        <f>HYPERLINK("https://klasma.github.io/Logging_1292/klagomålsmail/S 2726-2025 FSC-klagomål mail.docx", "S 2726-2025")</f>
        <v/>
      </c>
      <c r="AC10">
        <f>HYPERLINK("https://klasma.github.io/Logging_1292/tillsyn/S 2726-2025 tillsynsbegäran.docx", "S 2726-2025")</f>
        <v/>
      </c>
      <c r="AD10">
        <f>HYPERLINK("https://klasma.github.io/Logging_1292/tillsynsmail/S 2726-2025 tillsynsbegäran mail.docx", "S 2726-2025")</f>
        <v/>
      </c>
      <c r="AE10">
        <f>HYPERLINK("https://klasma.github.io/Logging_1292/fåglar/S 2726-2025 prioriterade fågelarter.docx", "S 2726-2025")</f>
        <v/>
      </c>
    </row>
    <row r="11" ht="15" customHeight="1">
      <c r="A11" t="inlineStr">
        <is>
          <t>S 628-2025</t>
        </is>
      </c>
      <c r="B11" t="inlineStr">
        <is>
          <t>samrådsanmälan</t>
        </is>
      </c>
      <c r="C11" t="inlineStr">
        <is>
          <t>Askåterföring</t>
        </is>
      </c>
      <c r="D11" s="1" t="n">
        <v>45714</v>
      </c>
      <c r="E11" s="1" t="n">
        <v>46312</v>
      </c>
      <c r="F11" t="inlineStr">
        <is>
          <t>SKÅNE LÄN</t>
        </is>
      </c>
      <c r="G11" t="inlineStr">
        <is>
          <t>SVEDALA</t>
        </is>
      </c>
      <c r="I11" t="n">
        <v>67</v>
      </c>
      <c r="J11" t="n">
        <v>18</v>
      </c>
      <c r="K11" t="n">
        <v>2</v>
      </c>
      <c r="L11" t="n">
        <v>5</v>
      </c>
      <c r="M11" t="n">
        <v>3</v>
      </c>
      <c r="N11" t="n">
        <v>1</v>
      </c>
      <c r="O11" t="n">
        <v>0</v>
      </c>
      <c r="P11" t="n">
        <v>0</v>
      </c>
      <c r="Q11" t="n">
        <v>9</v>
      </c>
      <c r="R11" t="n">
        <v>4</v>
      </c>
      <c r="S11" t="n">
        <v>22</v>
      </c>
      <c r="T11" t="n">
        <v>30</v>
      </c>
      <c r="U11" t="n">
        <v>4</v>
      </c>
      <c r="V11" s="2" t="inlineStr">
        <is>
          <t>Skogsalm
Blå kärrhök
Grenticka
Grönfink
Entita
Grönsångare
Gulsparv
Mindre hackspett
Oxtungssvamp
Myskmadra
Skogsknipprot
Spillkråka
Citronfläckad kärrtrollslända
Gröngöling
Grönsiska
Kungsfågel
Röd glada
Skogsduva
Trana
Åkergroda
Kopparödla
Ätlig groda</t>
        </is>
      </c>
      <c r="W11">
        <f>HYPERLINK("https://klasma.github.io/Logging_1263/artfynd/S 628-2025 artfynd.xlsx", "S 628-2025")</f>
        <v/>
      </c>
      <c r="X11">
        <f>HYPERLINK("https://klasma.github.io/Logging_1263/kartor/S 628-2025 karta.png", "S 628-2025")</f>
        <v/>
      </c>
      <c r="Y11">
        <f>HYPERLINK("https://klasma.github.io/Logging_1263/kartor_geotiff/S 628-2025 georefererad karta.tif", "S 628-2025")</f>
        <v/>
      </c>
      <c r="AA11">
        <f>HYPERLINK("https://klasma.github.io/Logging_1263/klagomål/S 628-2025 FSC-klagomål.docx", "S 628-2025")</f>
        <v/>
      </c>
      <c r="AB11">
        <f>HYPERLINK("https://klasma.github.io/Logging_1263/klagomålsmail/S 628-2025 FSC-klagomål mail.docx", "S 628-2025")</f>
        <v/>
      </c>
      <c r="AC11">
        <f>HYPERLINK("https://klasma.github.io/Logging_1263/tillsyn/S 628-2025 tillsynsbegäran.docx", "S 628-2025")</f>
        <v/>
      </c>
      <c r="AD11">
        <f>HYPERLINK("https://klasma.github.io/Logging_1263/tillsynsmail/S 628-2025 tillsynsbegäran mail.docx", "S 628-2025")</f>
        <v/>
      </c>
      <c r="AE11">
        <f>HYPERLINK("https://klasma.github.io/Logging_1263/fåglar/S 628-2025 prioriterade fågelarter.docx", "S 628-2025")</f>
        <v/>
      </c>
    </row>
    <row r="12" ht="15" customHeight="1">
      <c r="A12" t="inlineStr">
        <is>
          <t>A 52044-2025</t>
        </is>
      </c>
      <c r="B12" t="inlineStr">
        <is>
          <t>avverkningsanmälan</t>
        </is>
      </c>
      <c r="C12" t="inlineStr">
        <is>
          <t>Föryngringsavverkning</t>
        </is>
      </c>
      <c r="D12" s="1" t="n">
        <v>45952</v>
      </c>
      <c r="E12" s="1" t="n">
        <v>46312</v>
      </c>
      <c r="F12" t="inlineStr">
        <is>
          <t>SKÅNE LÄN</t>
        </is>
      </c>
      <c r="G12" t="inlineStr">
        <is>
          <t>TOMELILLA</t>
        </is>
      </c>
      <c r="H12" t="inlineStr">
        <is>
          <t>Övriga Aktiebolag</t>
        </is>
      </c>
      <c r="I12" t="n">
        <v>9.6</v>
      </c>
      <c r="J12" t="n">
        <v>15</v>
      </c>
      <c r="K12" t="n">
        <v>0</v>
      </c>
      <c r="L12" t="n">
        <v>6</v>
      </c>
      <c r="M12" t="n">
        <v>1</v>
      </c>
      <c r="N12" t="n">
        <v>1</v>
      </c>
      <c r="O12" t="n">
        <v>1</v>
      </c>
      <c r="P12" t="n">
        <v>0</v>
      </c>
      <c r="Q12" t="n">
        <v>9</v>
      </c>
      <c r="R12" t="n">
        <v>3</v>
      </c>
      <c r="S12" t="n">
        <v>19</v>
      </c>
      <c r="T12" t="n">
        <v>24</v>
      </c>
      <c r="U12" t="n">
        <v>1</v>
      </c>
      <c r="V12" s="2" t="inlineStr">
        <is>
          <t>Bechsteins fladdermus
Ask
Silverblåvinge
Barbastell
Brunlångöra
Fransfladdermus
Granspira
Grå klaffmätare
Nordfladdermus
Dvärgpipistrell
Gråskimlig fladdermus
Gröngöling
Mustaschfladdermus
Större brunfladdermus
Större musöra
Trollpipistrell
Vattenfladdermus
Vanlig padda
Fläcknycklar</t>
        </is>
      </c>
      <c r="W12">
        <f>HYPERLINK("https://klasma.github.io/Logging_1270/artfynd/A 52044-2025 artfynd.xlsx", "A 52044-2025")</f>
        <v/>
      </c>
      <c r="X12">
        <f>HYPERLINK("https://klasma.github.io/Logging_1270/kartor/A 52044-2025 karta.png", "A 52044-2025")</f>
        <v/>
      </c>
      <c r="Y12">
        <f>HYPERLINK("https://klasma.github.io/Logging_1270/kartor_geotiff/A 52044-2025 georefererad karta.tif", "A 52044-2025")</f>
        <v/>
      </c>
      <c r="AA12">
        <f>HYPERLINK("https://klasma.github.io/Logging_1270/klagomål/A 52044-2025 FSC-klagomål.docx", "A 52044-2025")</f>
        <v/>
      </c>
      <c r="AB12">
        <f>HYPERLINK("https://klasma.github.io/Logging_1270/klagomålsmail/A 52044-2025 FSC-klagomål mail.docx", "A 52044-2025")</f>
        <v/>
      </c>
      <c r="AC12">
        <f>HYPERLINK("https://klasma.github.io/Logging_1270/tillsyn/A 52044-2025 tillsynsbegäran.docx", "A 52044-2025")</f>
        <v/>
      </c>
      <c r="AD12">
        <f>HYPERLINK("https://klasma.github.io/Logging_1270/tillsynsmail/A 52044-2025 tillsynsbegäran mail.docx", "A 52044-2025")</f>
        <v/>
      </c>
    </row>
    <row r="13" ht="15" customHeight="1">
      <c r="A13" t="inlineStr">
        <is>
          <t>S 4405-2024</t>
        </is>
      </c>
      <c r="B13" t="inlineStr">
        <is>
          <t>samrådsanmälan</t>
        </is>
      </c>
      <c r="C13" t="inlineStr">
        <is>
          <t>Askåterföring</t>
        </is>
      </c>
      <c r="D13" s="1" t="n">
        <v>45589</v>
      </c>
      <c r="E13" s="1" t="n">
        <v>46312</v>
      </c>
      <c r="F13" t="inlineStr">
        <is>
          <t>SKÅNE LÄN</t>
        </is>
      </c>
      <c r="G13" t="inlineStr">
        <is>
          <t>OSBY</t>
        </is>
      </c>
      <c r="I13" t="n">
        <v>17</v>
      </c>
      <c r="J13" t="n">
        <v>0</v>
      </c>
      <c r="K13" t="n">
        <v>6</v>
      </c>
      <c r="L13" t="n">
        <v>5</v>
      </c>
      <c r="M13" t="n">
        <v>5</v>
      </c>
      <c r="N13" t="n">
        <v>1</v>
      </c>
      <c r="O13" t="n">
        <v>0</v>
      </c>
      <c r="P13" t="n">
        <v>0</v>
      </c>
      <c r="Q13" t="n">
        <v>11</v>
      </c>
      <c r="R13" t="n">
        <v>6</v>
      </c>
      <c r="S13" t="n">
        <v>17</v>
      </c>
      <c r="T13" t="n">
        <v>26</v>
      </c>
      <c r="U13" t="n">
        <v>0</v>
      </c>
      <c r="V13" s="2" t="inlineStr">
        <is>
          <t>Savlundlav
Blek kraterlav
Kortskaftad parasitspik
Rosa lundlav
Ädelkronlav
Ädellav
Bokkantlav
Bokvårtlav
Lunglav
Parasitsotlav
Violettgrå porlav
Barkkornlav
Bokfjädermossa
Fällmossa
Havstulpanlav
Klippfrullania
Platt fjädermossa</t>
        </is>
      </c>
      <c r="W13">
        <f>HYPERLINK("https://klasma.github.io/Logging_1273/artfynd/S 4405-2024 artfynd.xlsx", "S 4405-2024")</f>
        <v/>
      </c>
      <c r="X13">
        <f>HYPERLINK("https://klasma.github.io/Logging_1273/kartor/S 4405-2024 karta.png", "S 4405-2024")</f>
        <v/>
      </c>
      <c r="Y13">
        <f>HYPERLINK("https://klasma.github.io/Logging_1273/kartor_geotiff/S 4405-2024 georefererad karta.tif", "S 4405-2024")</f>
        <v/>
      </c>
      <c r="AA13">
        <f>HYPERLINK("https://klasma.github.io/Logging_1273/klagomål/S 4405-2024 FSC-klagomål.docx", "S 4405-2024")</f>
        <v/>
      </c>
      <c r="AB13">
        <f>HYPERLINK("https://klasma.github.io/Logging_1273/klagomålsmail/S 4405-2024 FSC-klagomål mail.docx", "S 4405-2024")</f>
        <v/>
      </c>
      <c r="AC13">
        <f>HYPERLINK("https://klasma.github.io/Logging_1273/tillsyn/S 4405-2024 tillsynsbegäran.docx", "S 4405-2024")</f>
        <v/>
      </c>
      <c r="AD13">
        <f>HYPERLINK("https://klasma.github.io/Logging_1273/tillsynsmail/S 4405-2024 tillsynsbegäran mail.docx", "S 4405-2024")</f>
        <v/>
      </c>
    </row>
    <row r="14" ht="15" customHeight="1">
      <c r="A14" t="inlineStr">
        <is>
          <t>S 4218-2023</t>
        </is>
      </c>
      <c r="B14" t="inlineStr">
        <is>
          <t>samrådsanmälan</t>
        </is>
      </c>
      <c r="C14" t="inlineStr">
        <is>
          <t>Askåterföring</t>
        </is>
      </c>
      <c r="D14" s="1" t="n">
        <v>45251</v>
      </c>
      <c r="E14" s="1" t="n">
        <v>46312</v>
      </c>
      <c r="F14" t="inlineStr">
        <is>
          <t>SKÅNE LÄN</t>
        </is>
      </c>
      <c r="G14" t="inlineStr">
        <is>
          <t>HÖÖR</t>
        </is>
      </c>
      <c r="I14" t="n">
        <v>34.1</v>
      </c>
      <c r="J14" t="n">
        <v>11</v>
      </c>
      <c r="K14" t="n">
        <v>0</v>
      </c>
      <c r="L14" t="n">
        <v>8</v>
      </c>
      <c r="M14" t="n">
        <v>1</v>
      </c>
      <c r="N14" t="n">
        <v>0</v>
      </c>
      <c r="O14" t="n">
        <v>0</v>
      </c>
      <c r="P14" t="n">
        <v>0</v>
      </c>
      <c r="Q14" t="n">
        <v>9</v>
      </c>
      <c r="R14" t="n">
        <v>1</v>
      </c>
      <c r="S14" t="n">
        <v>16</v>
      </c>
      <c r="T14" t="n">
        <v>19</v>
      </c>
      <c r="U14" t="n">
        <v>11</v>
      </c>
      <c r="V14" s="2" t="inlineStr">
        <is>
          <t>Stare
Björktrast
Engelskt björnbär
Gulsparv
Mindre hackspett
Mörk dunört
Rödlånke
Sydlig sotticka
Älg
Spillkråka
Gröngöling
Grönsiska
Kungsfågel
Svartvit flugsnappare
Trana
Grönvit nattviol</t>
        </is>
      </c>
      <c r="W14">
        <f>HYPERLINK("https://klasma.github.io/Logging_1267/artfynd/S 4218-2023 artfynd.xlsx", "S 4218-2023")</f>
        <v/>
      </c>
      <c r="X14">
        <f>HYPERLINK("https://klasma.github.io/Logging_1267/kartor/S 4218-2023 karta.png", "S 4218-2023")</f>
        <v/>
      </c>
      <c r="Y14">
        <f>HYPERLINK("https://klasma.github.io/Logging_1267/kartor_geotiff/S 4218-2023 georefererad karta.tif", "S 4218-2023")</f>
        <v/>
      </c>
      <c r="AA14">
        <f>HYPERLINK("https://klasma.github.io/Logging_1267/klagomål/S 4218-2023 FSC-klagomål.docx", "S 4218-2023")</f>
        <v/>
      </c>
      <c r="AB14">
        <f>HYPERLINK("https://klasma.github.io/Logging_1267/klagomålsmail/S 4218-2023 FSC-klagomål mail.docx", "S 4218-2023")</f>
        <v/>
      </c>
      <c r="AC14">
        <f>HYPERLINK("https://klasma.github.io/Logging_1267/tillsyn/S 4218-2023 tillsynsbegäran.docx", "S 4218-2023")</f>
        <v/>
      </c>
      <c r="AD14">
        <f>HYPERLINK("https://klasma.github.io/Logging_1267/tillsynsmail/S 4218-2023 tillsynsbegäran mail.docx", "S 4218-2023")</f>
        <v/>
      </c>
      <c r="AE14">
        <f>HYPERLINK("https://klasma.github.io/Logging_1267/fåglar/S 4218-2023 prioriterade fågelarter.docx", "S 4218-2023")</f>
        <v/>
      </c>
    </row>
    <row r="15" ht="15" customHeight="1">
      <c r="A15" t="inlineStr">
        <is>
          <t>S 232-2022</t>
        </is>
      </c>
      <c r="B15" t="inlineStr">
        <is>
          <t>samrådsanmälan</t>
        </is>
      </c>
      <c r="C15" t="inlineStr">
        <is>
          <t>Askåterföring</t>
        </is>
      </c>
      <c r="D15" s="1" t="n">
        <v>44575</v>
      </c>
      <c r="E15" s="1" t="n">
        <v>46312</v>
      </c>
      <c r="F15" t="inlineStr">
        <is>
          <t>SKÅNE LÄN</t>
        </is>
      </c>
      <c r="G15" t="inlineStr">
        <is>
          <t>SJÖBO</t>
        </is>
      </c>
      <c r="I15" t="n">
        <v>146.9</v>
      </c>
      <c r="J15" t="n">
        <v>11</v>
      </c>
      <c r="K15" t="n">
        <v>1</v>
      </c>
      <c r="L15" t="n">
        <v>6</v>
      </c>
      <c r="M15" t="n">
        <v>0</v>
      </c>
      <c r="N15" t="n">
        <v>2</v>
      </c>
      <c r="O15" t="n">
        <v>0</v>
      </c>
      <c r="P15" t="n">
        <v>0</v>
      </c>
      <c r="Q15" t="n">
        <v>8</v>
      </c>
      <c r="R15" t="n">
        <v>2</v>
      </c>
      <c r="S15" t="n">
        <v>16</v>
      </c>
      <c r="T15" t="n">
        <v>36</v>
      </c>
      <c r="U15" t="n">
        <v>21</v>
      </c>
      <c r="V15" s="2" t="inlineStr">
        <is>
          <t>Ask
Dvärgjohannesört
Barbastell
Borsttåg
Entita
Gullpudra
Nordfladdermus
Skugglosta
Bokoxe
Dvärgpipistrell
Klockgroda
Större brunfladdermus
Större vattensalamander
Vattenfladdermus
Mindre vattensalamander
Ätlig groda</t>
        </is>
      </c>
      <c r="W15">
        <f>HYPERLINK("https://klasma.github.io/Logging_1265/artfynd/S 232-2022 artfynd.xlsx", "S 232-2022")</f>
        <v/>
      </c>
      <c r="X15">
        <f>HYPERLINK("https://klasma.github.io/Logging_1265/kartor/S 232-2022 karta.png", "S 232-2022")</f>
        <v/>
      </c>
      <c r="Y15">
        <f>HYPERLINK("https://klasma.github.io/Logging_1265/kartor_geotiff/S 232-2022 georefererad karta.tif", "S 232-2022")</f>
        <v/>
      </c>
      <c r="AA15">
        <f>HYPERLINK("https://klasma.github.io/Logging_1265/klagomål/S 232-2022 FSC-klagomål.docx", "S 232-2022")</f>
        <v/>
      </c>
      <c r="AB15">
        <f>HYPERLINK("https://klasma.github.io/Logging_1265/klagomålsmail/S 232-2022 FSC-klagomål mail.docx", "S 232-2022")</f>
        <v/>
      </c>
      <c r="AC15">
        <f>HYPERLINK("https://klasma.github.io/Logging_1265/tillsyn/S 232-2022 tillsynsbegäran.docx", "S 232-2022")</f>
        <v/>
      </c>
      <c r="AD15">
        <f>HYPERLINK("https://klasma.github.io/Logging_1265/tillsynsmail/S 232-2022 tillsynsbegäran mail.docx", "S 232-2022")</f>
        <v/>
      </c>
      <c r="AE15">
        <f>HYPERLINK("https://klasma.github.io/Logging_1265/fåglar/S 232-2022 prioriterade fågelarter.docx", "S 232-2022")</f>
        <v/>
      </c>
    </row>
    <row r="16" ht="15" customHeight="1">
      <c r="A16" t="inlineStr">
        <is>
          <t>S 9703-2021</t>
        </is>
      </c>
      <c r="B16" t="inlineStr">
        <is>
          <t>samrådsanmälan</t>
        </is>
      </c>
      <c r="C16" t="inlineStr">
        <is>
          <t>Åtgärd i nyckelbiotop</t>
        </is>
      </c>
      <c r="D16" s="1" t="n">
        <v>44526</v>
      </c>
      <c r="E16" s="1" t="n">
        <v>46312</v>
      </c>
      <c r="F16" t="inlineStr">
        <is>
          <t>SKÅNE LÄN</t>
        </is>
      </c>
      <c r="G16" t="inlineStr">
        <is>
          <t>BROMÖLLA</t>
        </is>
      </c>
      <c r="I16" t="n">
        <v>10.7</v>
      </c>
      <c r="J16" t="n">
        <v>1</v>
      </c>
      <c r="K16" t="n">
        <v>8</v>
      </c>
      <c r="L16" t="n">
        <v>5</v>
      </c>
      <c r="M16" t="n">
        <v>2</v>
      </c>
      <c r="N16" t="n">
        <v>0</v>
      </c>
      <c r="O16" t="n">
        <v>0</v>
      </c>
      <c r="P16" t="n">
        <v>0</v>
      </c>
      <c r="Q16" t="n">
        <v>7</v>
      </c>
      <c r="R16" t="n">
        <v>2</v>
      </c>
      <c r="S16" t="n">
        <v>16</v>
      </c>
      <c r="T16" t="n">
        <v>35</v>
      </c>
      <c r="U16" t="n">
        <v>35</v>
      </c>
      <c r="V16" s="2" t="inlineStr">
        <is>
          <t>Klosterlav
Vedlavklubba
Bokvårtlav
Koralltaggsvamp
Orangepudrad klotterlav
Stiftklotterlav
Violettgrå porlav
Barkkornlav
Blåsfliksmossa
Fällmossa
Guldlockmossa
Havstulpanlav
Klippfrullania
Platt fjädermossa
Västlig hakmossa
Kungsfågel</t>
        </is>
      </c>
      <c r="W16">
        <f>HYPERLINK("https://klasma.github.io/Logging_1272/artfynd/S 9703-2021 artfynd.xlsx", "S 9703-2021")</f>
        <v/>
      </c>
      <c r="X16">
        <f>HYPERLINK("https://klasma.github.io/Logging_1272/kartor/S 9703-2021 karta.png", "S 9703-2021")</f>
        <v/>
      </c>
      <c r="Y16">
        <f>HYPERLINK("https://klasma.github.io/Logging_1272/kartor_geotiff/S 9703-2021 georefererad karta.tif", "S 9703-2021")</f>
        <v/>
      </c>
      <c r="AA16">
        <f>HYPERLINK("https://klasma.github.io/Logging_1272/klagomål/S 9703-2021 FSC-klagomål.docx", "S 9703-2021")</f>
        <v/>
      </c>
      <c r="AB16">
        <f>HYPERLINK("https://klasma.github.io/Logging_1272/klagomålsmail/S 9703-2021 FSC-klagomål mail.docx", "S 9703-2021")</f>
        <v/>
      </c>
      <c r="AC16">
        <f>HYPERLINK("https://klasma.github.io/Logging_1272/tillsyn/S 9703-2021 tillsynsbegäran.docx", "S 9703-2021")</f>
        <v/>
      </c>
      <c r="AD16">
        <f>HYPERLINK("https://klasma.github.io/Logging_1272/tillsynsmail/S 9703-2021 tillsynsbegäran mail.docx", "S 9703-2021")</f>
        <v/>
      </c>
    </row>
    <row r="17" ht="15" customHeight="1">
      <c r="A17" t="inlineStr">
        <is>
          <t>A 29032-2023</t>
        </is>
      </c>
      <c r="B17" t="inlineStr">
        <is>
          <t>avverkningsanmälan</t>
        </is>
      </c>
      <c r="C17" t="inlineStr">
        <is>
          <t>Föryngringsavverkning</t>
        </is>
      </c>
      <c r="D17" s="1" t="n">
        <v>45104</v>
      </c>
      <c r="E17" s="1" t="n">
        <v>46312</v>
      </c>
      <c r="F17" t="inlineStr">
        <is>
          <t>SKÅNE LÄN</t>
        </is>
      </c>
      <c r="G17" t="inlineStr">
        <is>
          <t>SVEDALA</t>
        </is>
      </c>
      <c r="I17" t="n">
        <v>2</v>
      </c>
      <c r="J17" t="n">
        <v>15</v>
      </c>
      <c r="K17" t="n">
        <v>1</v>
      </c>
      <c r="L17" t="n">
        <v>4</v>
      </c>
      <c r="M17" t="n">
        <v>2</v>
      </c>
      <c r="N17" t="n">
        <v>0</v>
      </c>
      <c r="O17" t="n">
        <v>0</v>
      </c>
      <c r="P17" t="n">
        <v>0</v>
      </c>
      <c r="Q17" t="n">
        <v>6</v>
      </c>
      <c r="R17" t="n">
        <v>2</v>
      </c>
      <c r="S17" t="n">
        <v>15</v>
      </c>
      <c r="T17" t="n">
        <v>15</v>
      </c>
      <c r="U17" t="n">
        <v>2</v>
      </c>
      <c r="V17" s="2" t="inlineStr">
        <is>
          <t>Blå kärrhök
Grönfink
Entita
Grönsångare
Gulsparv
Mindre hackspett
Skogsknipprot
Spillkråka
Gröngöling
Kungsfågel
Röd glada
Skogsduva
Trana
Åkergroda
Vanlig groda</t>
        </is>
      </c>
      <c r="W17">
        <f>HYPERLINK("https://klasma.github.io/Logging_1263/artfynd/A 29032-2023 artfynd.xlsx", "A 29032-2023")</f>
        <v/>
      </c>
      <c r="X17">
        <f>HYPERLINK("https://klasma.github.io/Logging_1263/kartor/A 29032-2023 karta.png", "A 29032-2023")</f>
        <v/>
      </c>
      <c r="Y17">
        <f>HYPERLINK("https://klasma.github.io/Logging_1263/kartor_geotiff/A 29032-2023 georefererad karta.tif", "A 29032-2023")</f>
        <v/>
      </c>
      <c r="AA17">
        <f>HYPERLINK("https://klasma.github.io/Logging_1263/klagomål/A 29032-2023 FSC-klagomål.docx", "A 29032-2023")</f>
        <v/>
      </c>
      <c r="AB17">
        <f>HYPERLINK("https://klasma.github.io/Logging_1263/klagomålsmail/A 29032-2023 FSC-klagomål mail.docx", "A 29032-2023")</f>
        <v/>
      </c>
      <c r="AC17">
        <f>HYPERLINK("https://klasma.github.io/Logging_1263/tillsyn/A 29032-2023 tillsynsbegäran.docx", "A 29032-2023")</f>
        <v/>
      </c>
      <c r="AD17">
        <f>HYPERLINK("https://klasma.github.io/Logging_1263/tillsynsmail/A 29032-2023 tillsynsbegäran mail.docx", "A 29032-2023")</f>
        <v/>
      </c>
      <c r="AE17">
        <f>HYPERLINK("https://klasma.github.io/Logging_1263/fåglar/A 29032-2023 prioriterade fågelarter.docx", "A 29032-2023")</f>
        <v/>
      </c>
    </row>
    <row r="18" ht="15" customHeight="1">
      <c r="A18" t="inlineStr">
        <is>
          <t>S 360-2025</t>
        </is>
      </c>
      <c r="B18" t="inlineStr">
        <is>
          <t>samrådsanmälan</t>
        </is>
      </c>
      <c r="C18" t="inlineStr">
        <is>
          <t>Askåterföring</t>
        </is>
      </c>
      <c r="D18" s="1" t="n">
        <v>45694</v>
      </c>
      <c r="E18" s="1" t="n">
        <v>46312</v>
      </c>
      <c r="F18" t="inlineStr">
        <is>
          <t>SKÅNE LÄN</t>
        </is>
      </c>
      <c r="G18" t="inlineStr">
        <is>
          <t>HÄSSLEHOLM</t>
        </is>
      </c>
      <c r="I18" t="n">
        <v>144.1</v>
      </c>
      <c r="J18" t="n">
        <v>1</v>
      </c>
      <c r="K18" t="n">
        <v>10</v>
      </c>
      <c r="L18" t="n">
        <v>3</v>
      </c>
      <c r="M18" t="n">
        <v>1</v>
      </c>
      <c r="N18" t="n">
        <v>0</v>
      </c>
      <c r="O18" t="n">
        <v>0</v>
      </c>
      <c r="P18" t="n">
        <v>0</v>
      </c>
      <c r="Q18" t="n">
        <v>4</v>
      </c>
      <c r="R18" t="n">
        <v>1</v>
      </c>
      <c r="S18" t="n">
        <v>15</v>
      </c>
      <c r="T18" t="n">
        <v>17</v>
      </c>
      <c r="U18" t="n">
        <v>11</v>
      </c>
      <c r="V18" s="2" t="inlineStr">
        <is>
          <t>Småvänderot
Bokkantlav
Skuggorangelav
Violettgrå porlav
Dvärghäxört
Fällmossa
Grå skärelav
Havstulpanlav
Klippfrullania
Kornig nållav
Platt fjädermossa
Rostfläck
Skogsbräsma
Stor revmossa
Kungsfågel</t>
        </is>
      </c>
      <c r="W18">
        <f>HYPERLINK("https://klasma.github.io/Logging_1293/artfynd/S 360-2025 artfynd.xlsx", "S 360-2025")</f>
        <v/>
      </c>
      <c r="X18">
        <f>HYPERLINK("https://klasma.github.io/Logging_1293/kartor/S 360-2025 karta.png", "S 360-2025")</f>
        <v/>
      </c>
      <c r="Y18">
        <f>HYPERLINK("https://klasma.github.io/Logging_1293/kartor_geotiff/S 360-2025 georefererad karta.tif", "S 360-2025")</f>
        <v/>
      </c>
      <c r="AA18">
        <f>HYPERLINK("https://klasma.github.io/Logging_1293/klagomål/S 360-2025 FSC-klagomål.docx", "S 360-2025")</f>
        <v/>
      </c>
      <c r="AB18">
        <f>HYPERLINK("https://klasma.github.io/Logging_1293/klagomålsmail/S 360-2025 FSC-klagomål mail.docx", "S 360-2025")</f>
        <v/>
      </c>
      <c r="AC18">
        <f>HYPERLINK("https://klasma.github.io/Logging_1293/tillsyn/S 360-2025 tillsynsbegäran.docx", "S 360-2025")</f>
        <v/>
      </c>
      <c r="AD18">
        <f>HYPERLINK("https://klasma.github.io/Logging_1293/tillsynsmail/S 360-2025 tillsynsbegäran mail.docx", "S 360-2025")</f>
        <v/>
      </c>
    </row>
    <row r="19" ht="15" customHeight="1">
      <c r="A19" t="inlineStr">
        <is>
          <t>A 29875-2023</t>
        </is>
      </c>
      <c r="B19" t="inlineStr">
        <is>
          <t>avverkningsanmälan</t>
        </is>
      </c>
      <c r="C19" t="inlineStr">
        <is>
          <t>Föryngringsavverkning</t>
        </is>
      </c>
      <c r="D19" s="1" t="n">
        <v>45107</v>
      </c>
      <c r="E19" s="1" t="n">
        <v>46312</v>
      </c>
      <c r="F19" t="inlineStr">
        <is>
          <t>SKÅNE LÄN</t>
        </is>
      </c>
      <c r="G19" t="inlineStr">
        <is>
          <t>KRISTIANSTAD</t>
        </is>
      </c>
      <c r="I19" t="n">
        <v>10.9</v>
      </c>
      <c r="J19" t="n">
        <v>9</v>
      </c>
      <c r="K19" t="n">
        <v>0</v>
      </c>
      <c r="L19" t="n">
        <v>3</v>
      </c>
      <c r="M19" t="n">
        <v>3</v>
      </c>
      <c r="N19" t="n">
        <v>2</v>
      </c>
      <c r="O19" t="n">
        <v>0</v>
      </c>
      <c r="P19" t="n">
        <v>0</v>
      </c>
      <c r="Q19" t="n">
        <v>8</v>
      </c>
      <c r="R19" t="n">
        <v>5</v>
      </c>
      <c r="S19" t="n">
        <v>14</v>
      </c>
      <c r="T19" t="n">
        <v>32</v>
      </c>
      <c r="U19" t="n">
        <v>32</v>
      </c>
      <c r="V19" s="2" t="inlineStr">
        <is>
          <t>Ask
Skogsalm
Fläckig myrlejonslända
Hedblomster
Sandödla
Backtimjan
Flentimotej
Gulsparv
Spillkråka
Gröngöling
Större vattensalamander
Trädlärka
Törnskata
Ärtsångare</t>
        </is>
      </c>
      <c r="W19">
        <f>HYPERLINK("https://klasma.github.io/Logging_1290/artfynd/A 29875-2023 artfynd.xlsx", "A 29875-2023")</f>
        <v/>
      </c>
      <c r="X19">
        <f>HYPERLINK("https://klasma.github.io/Logging_1290/kartor/A 29875-2023 karta.png", "A 29875-2023")</f>
        <v/>
      </c>
      <c r="Y19">
        <f>HYPERLINK("https://klasma.github.io/Logging_1290/kartor_geotiff/A 29875-2023 georefererad karta.tif", "A 29875-2023")</f>
        <v/>
      </c>
      <c r="AA19">
        <f>HYPERLINK("https://klasma.github.io/Logging_1290/klagomål/A 29875-2023 FSC-klagomål.docx", "A 29875-2023")</f>
        <v/>
      </c>
      <c r="AB19">
        <f>HYPERLINK("https://klasma.github.io/Logging_1290/klagomålsmail/A 29875-2023 FSC-klagomål mail.docx", "A 29875-2023")</f>
        <v/>
      </c>
      <c r="AC19">
        <f>HYPERLINK("https://klasma.github.io/Logging_1290/tillsyn/A 29875-2023 tillsynsbegäran.docx", "A 29875-2023")</f>
        <v/>
      </c>
      <c r="AD19">
        <f>HYPERLINK("https://klasma.github.io/Logging_1290/tillsynsmail/A 29875-2023 tillsynsbegäran mail.docx", "A 29875-2023")</f>
        <v/>
      </c>
      <c r="AE19">
        <f>HYPERLINK("https://klasma.github.io/Logging_1290/fåglar/A 29875-2023 prioriterade fågelarter.docx", "A 29875-2023")</f>
        <v/>
      </c>
    </row>
    <row r="20" ht="15" customHeight="1">
      <c r="A20" t="inlineStr">
        <is>
          <t>A 2762-2024</t>
        </is>
      </c>
      <c r="B20" t="inlineStr">
        <is>
          <t>avverkningsanmälan</t>
        </is>
      </c>
      <c r="C20" t="inlineStr">
        <is>
          <t>Föryngringsavverkning</t>
        </is>
      </c>
      <c r="D20" s="1" t="n">
        <v>45314</v>
      </c>
      <c r="E20" s="1" t="n">
        <v>46312</v>
      </c>
      <c r="F20" t="inlineStr">
        <is>
          <t>SKÅNE LÄN</t>
        </is>
      </c>
      <c r="G20" t="inlineStr">
        <is>
          <t>KLIPPAN</t>
        </is>
      </c>
      <c r="I20" t="n">
        <v>15.7</v>
      </c>
      <c r="J20" t="n">
        <v>5</v>
      </c>
      <c r="K20" t="n">
        <v>5</v>
      </c>
      <c r="L20" t="n">
        <v>5</v>
      </c>
      <c r="M20" t="n">
        <v>1</v>
      </c>
      <c r="N20" t="n">
        <v>0</v>
      </c>
      <c r="O20" t="n">
        <v>0</v>
      </c>
      <c r="P20" t="n">
        <v>0</v>
      </c>
      <c r="Q20" t="n">
        <v>6</v>
      </c>
      <c r="R20" t="n">
        <v>1</v>
      </c>
      <c r="S20" t="n">
        <v>14</v>
      </c>
      <c r="T20" t="n">
        <v>34</v>
      </c>
      <c r="U20" t="n">
        <v>34</v>
      </c>
      <c r="V20" s="2" t="inlineStr">
        <is>
          <t>Finporing
Bokkantlav
Bokvårtlav
Entita
Mindre hackspett
Sydlig sotticka
Havstulpanlav
Klippfrullania
Platt fjädermossa
Stor revmossa
Västlig hakmossa
Spillkråka
Grönsiska
Kungsfågel</t>
        </is>
      </c>
      <c r="W20">
        <f>HYPERLINK("https://klasma.github.io/Logging_1276/artfynd/A 2762-2024 artfynd.xlsx", "A 2762-2024")</f>
        <v/>
      </c>
      <c r="X20">
        <f>HYPERLINK("https://klasma.github.io/Logging_1276/kartor/A 2762-2024 karta.png", "A 2762-2024")</f>
        <v/>
      </c>
      <c r="Y20">
        <f>HYPERLINK("https://klasma.github.io/Logging_1276/kartor_geotiff/A 2762-2024 georefererad karta.tif", "A 2762-2024")</f>
        <v/>
      </c>
      <c r="AA20">
        <f>HYPERLINK("https://klasma.github.io/Logging_1276/klagomål/A 2762-2024 FSC-klagomål.docx", "A 2762-2024")</f>
        <v/>
      </c>
      <c r="AB20">
        <f>HYPERLINK("https://klasma.github.io/Logging_1276/klagomålsmail/A 2762-2024 FSC-klagomål mail.docx", "A 2762-2024")</f>
        <v/>
      </c>
      <c r="AC20">
        <f>HYPERLINK("https://klasma.github.io/Logging_1276/tillsyn/A 2762-2024 tillsynsbegäran.docx", "A 2762-2024")</f>
        <v/>
      </c>
      <c r="AD20">
        <f>HYPERLINK("https://klasma.github.io/Logging_1276/tillsynsmail/A 2762-2024 tillsynsbegäran mail.docx", "A 2762-2024")</f>
        <v/>
      </c>
      <c r="AE20">
        <f>HYPERLINK("https://klasma.github.io/Logging_1276/fåglar/A 2762-2024 prioriterade fågelarter.docx", "A 2762-2024")</f>
        <v/>
      </c>
    </row>
    <row r="21" ht="15" customHeight="1">
      <c r="A21" t="inlineStr">
        <is>
          <t>A 25062-2026</t>
        </is>
      </c>
      <c r="B21" t="inlineStr">
        <is>
          <t>avverkningsanmälan</t>
        </is>
      </c>
      <c r="C21" t="inlineStr">
        <is>
          <t>Föryngringsavverkning</t>
        </is>
      </c>
      <c r="D21" s="1" t="n">
        <v>46174</v>
      </c>
      <c r="E21" s="1" t="n">
        <v>46312</v>
      </c>
      <c r="F21" t="inlineStr">
        <is>
          <t>SKÅNE LÄN</t>
        </is>
      </c>
      <c r="G21" t="inlineStr">
        <is>
          <t>SVEDALA</t>
        </is>
      </c>
      <c r="I21" t="n">
        <v>3.3</v>
      </c>
      <c r="J21" t="n">
        <v>2</v>
      </c>
      <c r="K21" t="n">
        <v>7</v>
      </c>
      <c r="L21" t="n">
        <v>4</v>
      </c>
      <c r="M21" t="n">
        <v>0</v>
      </c>
      <c r="N21" t="n">
        <v>2</v>
      </c>
      <c r="O21" t="n">
        <v>0</v>
      </c>
      <c r="P21" t="n">
        <v>0</v>
      </c>
      <c r="Q21" t="n">
        <v>6</v>
      </c>
      <c r="R21" t="n">
        <v>2</v>
      </c>
      <c r="S21" t="n">
        <v>14</v>
      </c>
      <c r="T21" t="n">
        <v>14</v>
      </c>
      <c r="U21" t="n">
        <v>0</v>
      </c>
      <c r="V21" s="2" t="inlineStr">
        <is>
          <t>Ask
Lundäxing
Gullpudra
Skogsveronika
Sårläka
Vårärt
Hässleklocka
Lundvårlök
Myskmadra
Rutbläcksvamp
Skogsknipprot
Stor häxört
Tibast
Sankt pers nycklar</t>
        </is>
      </c>
      <c r="W21">
        <f>HYPERLINK("https://klasma.github.io/Logging_1263/artfynd/A 25062-2026 artfynd.xlsx", "A 25062-2026")</f>
        <v/>
      </c>
      <c r="X21">
        <f>HYPERLINK("https://klasma.github.io/Logging_1263/kartor/A 25062-2026 karta.png", "A 25062-2026")</f>
        <v/>
      </c>
      <c r="Y21">
        <f>HYPERLINK("https://klasma.github.io/Logging_1263/kartor_geotiff/A 25062-2026 georefererad karta.tif", "A 25062-2026")</f>
        <v/>
      </c>
      <c r="AA21">
        <f>HYPERLINK("https://klasma.github.io/Logging_1263/klagomål/A 25062-2026 FSC-klagomål.docx", "A 25062-2026")</f>
        <v/>
      </c>
      <c r="AB21">
        <f>HYPERLINK("https://klasma.github.io/Logging_1263/klagomålsmail/A 25062-2026 FSC-klagomål mail.docx", "A 25062-2026")</f>
        <v/>
      </c>
      <c r="AC21">
        <f>HYPERLINK("https://klasma.github.io/Logging_1263/tillsyn/A 25062-2026 tillsynsbegäran.docx", "A 25062-2026")</f>
        <v/>
      </c>
      <c r="AD21">
        <f>HYPERLINK("https://klasma.github.io/Logging_1263/tillsynsmail/A 25062-2026 tillsynsbegäran mail.docx", "A 25062-2026")</f>
        <v/>
      </c>
    </row>
    <row r="22" ht="15" customHeight="1">
      <c r="A22" t="inlineStr">
        <is>
          <t>S 377-2024</t>
        </is>
      </c>
      <c r="B22" t="inlineStr">
        <is>
          <t>samrådsanmälan</t>
        </is>
      </c>
      <c r="C22" t="inlineStr">
        <is>
          <t>Askåterföring</t>
        </is>
      </c>
      <c r="D22" s="1" t="n">
        <v>45330</v>
      </c>
      <c r="E22" s="1" t="n">
        <v>46312</v>
      </c>
      <c r="F22" t="inlineStr">
        <is>
          <t>SKÅNE LÄN</t>
        </is>
      </c>
      <c r="G22" t="inlineStr">
        <is>
          <t>ÖSTRA GÖINGE</t>
        </is>
      </c>
      <c r="I22" t="n">
        <v>62.4</v>
      </c>
      <c r="J22" t="n">
        <v>1</v>
      </c>
      <c r="K22" t="n">
        <v>5</v>
      </c>
      <c r="L22" t="n">
        <v>2</v>
      </c>
      <c r="M22" t="n">
        <v>3</v>
      </c>
      <c r="N22" t="n">
        <v>2</v>
      </c>
      <c r="O22" t="n">
        <v>0</v>
      </c>
      <c r="P22" t="n">
        <v>0</v>
      </c>
      <c r="Q22" t="n">
        <v>8</v>
      </c>
      <c r="R22" t="n">
        <v>5</v>
      </c>
      <c r="S22" t="n">
        <v>14</v>
      </c>
      <c r="T22" t="n">
        <v>17</v>
      </c>
      <c r="U22" t="n">
        <v>0</v>
      </c>
      <c r="V22" s="2" t="inlineStr">
        <is>
          <t>Almlav
Ask
Blek kraterlav
Gulvit blekspik
Slåttergubbe
Gul dropplav
Parknål
Blemlavsklotter
Fällmossa
Guldlockmossa
Gulnål
Lönnlav
Platt fjädermossa
Mindre vattensalamander</t>
        </is>
      </c>
      <c r="W22">
        <f>HYPERLINK("https://klasma.github.io/Logging_1256/artfynd/S 377-2024 artfynd.xlsx", "S 377-2024")</f>
        <v/>
      </c>
      <c r="X22">
        <f>HYPERLINK("https://klasma.github.io/Logging_1256/kartor/S 377-2024 karta.png", "S 377-2024")</f>
        <v/>
      </c>
      <c r="Y22">
        <f>HYPERLINK("https://klasma.github.io/Logging_1256/kartor_geotiff/S 377-2024 georefererad karta.tif", "S 377-2024")</f>
        <v/>
      </c>
      <c r="AA22">
        <f>HYPERLINK("https://klasma.github.io/Logging_1256/klagomål/S 377-2024 FSC-klagomål.docx", "S 377-2024")</f>
        <v/>
      </c>
      <c r="AB22">
        <f>HYPERLINK("https://klasma.github.io/Logging_1256/klagomålsmail/S 377-2024 FSC-klagomål mail.docx", "S 377-2024")</f>
        <v/>
      </c>
      <c r="AC22">
        <f>HYPERLINK("https://klasma.github.io/Logging_1256/tillsyn/S 377-2024 tillsynsbegäran.docx", "S 377-2024")</f>
        <v/>
      </c>
      <c r="AD22">
        <f>HYPERLINK("https://klasma.github.io/Logging_1256/tillsynsmail/S 377-2024 tillsynsbegäran mail.docx", "S 377-2024")</f>
        <v/>
      </c>
    </row>
    <row r="23" ht="15" customHeight="1">
      <c r="A23" t="inlineStr">
        <is>
          <t>S 2722-2025</t>
        </is>
      </c>
      <c r="B23" t="inlineStr">
        <is>
          <t>samrådsanmälan</t>
        </is>
      </c>
      <c r="C23" t="inlineStr">
        <is>
          <t>Askåterföring</t>
        </is>
      </c>
      <c r="D23" s="1" t="n">
        <v>45931</v>
      </c>
      <c r="E23" s="1" t="n">
        <v>46312</v>
      </c>
      <c r="F23" t="inlineStr">
        <is>
          <t>SKÅNE LÄN</t>
        </is>
      </c>
      <c r="G23" t="inlineStr">
        <is>
          <t>ÄNGELHOLM</t>
        </is>
      </c>
      <c r="I23" t="n">
        <v>206.8</v>
      </c>
      <c r="J23" t="n">
        <v>3</v>
      </c>
      <c r="K23" t="n">
        <v>5</v>
      </c>
      <c r="L23" t="n">
        <v>1</v>
      </c>
      <c r="M23" t="n">
        <v>5</v>
      </c>
      <c r="N23" t="n">
        <v>0</v>
      </c>
      <c r="O23" t="n">
        <v>0</v>
      </c>
      <c r="P23" t="n">
        <v>0</v>
      </c>
      <c r="Q23" t="n">
        <v>6</v>
      </c>
      <c r="R23" t="n">
        <v>5</v>
      </c>
      <c r="S23" t="n">
        <v>14</v>
      </c>
      <c r="T23" t="n">
        <v>18</v>
      </c>
      <c r="U23" t="n">
        <v>0</v>
      </c>
      <c r="V23" s="2" t="inlineStr">
        <is>
          <t>Klotgräs
Mindre bastardsvärmare
Småvänderot
Vildris
Åkersyska
Hårginst
Blåmossa
Liten stinksvamp
Smal svampklubba
Sotriska
Västlig hakmossa
Mattlummer
Skogsödla
Revlummer</t>
        </is>
      </c>
      <c r="W23">
        <f>HYPERLINK("https://klasma.github.io/Logging_1292/artfynd/S 2722-2025 artfynd.xlsx", "S 2722-2025")</f>
        <v/>
      </c>
      <c r="X23">
        <f>HYPERLINK("https://klasma.github.io/Logging_1292/kartor/S 2722-2025 karta.png", "S 2722-2025")</f>
        <v/>
      </c>
      <c r="Y23">
        <f>HYPERLINK("https://klasma.github.io/Logging_1292/kartor_geotiff/S 2722-2025 georefererad karta.tif", "S 2722-2025")</f>
        <v/>
      </c>
      <c r="AA23">
        <f>HYPERLINK("https://klasma.github.io/Logging_1292/klagomål/S 2722-2025 FSC-klagomål.docx", "S 2722-2025")</f>
        <v/>
      </c>
      <c r="AB23">
        <f>HYPERLINK("https://klasma.github.io/Logging_1292/klagomålsmail/S 2722-2025 FSC-klagomål mail.docx", "S 2722-2025")</f>
        <v/>
      </c>
      <c r="AC23">
        <f>HYPERLINK("https://klasma.github.io/Logging_1292/tillsyn/S 2722-2025 tillsynsbegäran.docx", "S 2722-2025")</f>
        <v/>
      </c>
      <c r="AD23">
        <f>HYPERLINK("https://klasma.github.io/Logging_1292/tillsynsmail/S 2722-2025 tillsynsbegäran mail.docx", "S 2722-2025")</f>
        <v/>
      </c>
    </row>
    <row r="24" ht="15" customHeight="1">
      <c r="A24" t="inlineStr">
        <is>
          <t>A 53161-2023</t>
        </is>
      </c>
      <c r="B24" t="inlineStr">
        <is>
          <t>avverkningsanmälan</t>
        </is>
      </c>
      <c r="C24" t="inlineStr">
        <is>
          <t>Föryngringsavverkning</t>
        </is>
      </c>
      <c r="D24" s="1" t="n">
        <v>45222</v>
      </c>
      <c r="E24" s="1" t="n">
        <v>46312</v>
      </c>
      <c r="F24" t="inlineStr">
        <is>
          <t>SKÅNE LÄN</t>
        </is>
      </c>
      <c r="G24" t="inlineStr">
        <is>
          <t>KRISTIANSTAD</t>
        </is>
      </c>
      <c r="I24" t="n">
        <v>4.3</v>
      </c>
      <c r="J24" t="n">
        <v>2</v>
      </c>
      <c r="K24" t="n">
        <v>4</v>
      </c>
      <c r="L24" t="n">
        <v>4</v>
      </c>
      <c r="M24" t="n">
        <v>2</v>
      </c>
      <c r="N24" t="n">
        <v>1</v>
      </c>
      <c r="O24" t="n">
        <v>0</v>
      </c>
      <c r="P24" t="n">
        <v>0</v>
      </c>
      <c r="Q24" t="n">
        <v>7</v>
      </c>
      <c r="R24" t="n">
        <v>3</v>
      </c>
      <c r="S24" t="n">
        <v>13</v>
      </c>
      <c r="T24" t="n">
        <v>17</v>
      </c>
      <c r="U24" t="n">
        <v>5</v>
      </c>
      <c r="V24" s="2" t="inlineStr">
        <is>
          <t>Grönticka
Fläckfingersvamp
Laxfingersvamp
Grå kantarell
Gulprickig vaxskivling
Silkesspindling
Vårärt
Kruskantarell
Lömsk flugsvamp
Myskmadra
Rutbläcksvamp
Blåsippa
Gullviva</t>
        </is>
      </c>
      <c r="W24">
        <f>HYPERLINK("https://klasma.github.io/Logging_1290/artfynd/A 53161-2023 artfynd.xlsx", "A 53161-2023")</f>
        <v/>
      </c>
      <c r="X24">
        <f>HYPERLINK("https://klasma.github.io/Logging_1290/kartor/A 53161-2023 karta.png", "A 53161-2023")</f>
        <v/>
      </c>
      <c r="Y24">
        <f>HYPERLINK("https://klasma.github.io/Logging_1290/kartor_geotiff/A 53161-2023 georefererad karta.tif", "A 53161-2023")</f>
        <v/>
      </c>
      <c r="AA24">
        <f>HYPERLINK("https://klasma.github.io/Logging_1290/klagomål/A 53161-2023 FSC-klagomål.docx", "A 53161-2023")</f>
        <v/>
      </c>
      <c r="AB24">
        <f>HYPERLINK("https://klasma.github.io/Logging_1290/klagomålsmail/A 53161-2023 FSC-klagomål mail.docx", "A 53161-2023")</f>
        <v/>
      </c>
      <c r="AC24">
        <f>HYPERLINK("https://klasma.github.io/Logging_1290/tillsyn/A 53161-2023 tillsynsbegäran.docx", "A 53161-2023")</f>
        <v/>
      </c>
      <c r="AD24">
        <f>HYPERLINK("https://klasma.github.io/Logging_1290/tillsynsmail/A 53161-2023 tillsynsbegäran mail.docx", "A 53161-2023")</f>
        <v/>
      </c>
    </row>
    <row r="25" ht="15" customHeight="1">
      <c r="A25" t="inlineStr">
        <is>
          <t>A 24907-2026</t>
        </is>
      </c>
      <c r="B25" t="inlineStr">
        <is>
          <t>avverkningsanmälan</t>
        </is>
      </c>
      <c r="C25" t="inlineStr">
        <is>
          <t>Föryngringsavverkning</t>
        </is>
      </c>
      <c r="D25" s="1" t="n">
        <v>46174</v>
      </c>
      <c r="E25" s="1" t="n">
        <v>46312</v>
      </c>
      <c r="F25" t="inlineStr">
        <is>
          <t>SKÅNE LÄN</t>
        </is>
      </c>
      <c r="G25" t="inlineStr">
        <is>
          <t>HÄSSLEHOLM</t>
        </is>
      </c>
      <c r="I25" t="n">
        <v>36.1</v>
      </c>
      <c r="J25" t="n">
        <v>3</v>
      </c>
      <c r="K25" t="n">
        <v>2</v>
      </c>
      <c r="L25" t="n">
        <v>2</v>
      </c>
      <c r="M25" t="n">
        <v>1</v>
      </c>
      <c r="N25" t="n">
        <v>0</v>
      </c>
      <c r="O25" t="n">
        <v>0</v>
      </c>
      <c r="P25" t="n">
        <v>0</v>
      </c>
      <c r="Q25" t="n">
        <v>3</v>
      </c>
      <c r="R25" t="n">
        <v>1</v>
      </c>
      <c r="S25" t="n">
        <v>13</v>
      </c>
      <c r="T25" t="n">
        <v>18</v>
      </c>
      <c r="U25" t="n">
        <v>16</v>
      </c>
      <c r="V25" s="2" t="inlineStr">
        <is>
          <t>Småvänderot
Entita
Grönsångare
Murgröna
Västlig hakmossa
Bäckbräsma
Glansfläck
Hultbräken
Missne
Rankstarr
Skriftlav
Skärmstarr
Svartvit flugsnappare</t>
        </is>
      </c>
      <c r="W25">
        <f>HYPERLINK("https://klasma.github.io/Logging_1293/artfynd/A 24907-2026 artfynd.xlsx", "A 24907-2026")</f>
        <v/>
      </c>
      <c r="X25">
        <f>HYPERLINK("https://klasma.github.io/Logging_1293/kartor/A 24907-2026 karta.png", "A 24907-2026")</f>
        <v/>
      </c>
      <c r="Y25">
        <f>HYPERLINK("https://klasma.github.io/Logging_1293/kartor_geotiff/A 24907-2026 georefererad karta.tif", "A 24907-2026")</f>
        <v/>
      </c>
      <c r="AA25">
        <f>HYPERLINK("https://klasma.github.io/Logging_1293/klagomål/A 24907-2026 FSC-klagomål.docx", "A 24907-2026")</f>
        <v/>
      </c>
      <c r="AB25">
        <f>HYPERLINK("https://klasma.github.io/Logging_1293/klagomålsmail/A 24907-2026 FSC-klagomål mail.docx", "A 24907-2026")</f>
        <v/>
      </c>
      <c r="AC25">
        <f>HYPERLINK("https://klasma.github.io/Logging_1293/tillsyn/A 24907-2026 tillsynsbegäran.docx", "A 24907-2026")</f>
        <v/>
      </c>
      <c r="AD25">
        <f>HYPERLINK("https://klasma.github.io/Logging_1293/tillsynsmail/A 24907-2026 tillsynsbegäran mail.docx", "A 24907-2026")</f>
        <v/>
      </c>
      <c r="AE25">
        <f>HYPERLINK("https://klasma.github.io/Logging_1293/fåglar/A 24907-2026 prioriterade fågelarter.docx", "A 24907-2026")</f>
        <v/>
      </c>
    </row>
    <row r="26" ht="15" customHeight="1">
      <c r="A26" t="inlineStr">
        <is>
          <t>S 2212-2023</t>
        </is>
      </c>
      <c r="B26" t="inlineStr">
        <is>
          <t>samrådsanmälan</t>
        </is>
      </c>
      <c r="C26" t="inlineStr">
        <is>
          <t>Askåterföring</t>
        </is>
      </c>
      <c r="D26" s="1" t="n">
        <v>45099</v>
      </c>
      <c r="E26" s="1" t="n">
        <v>46312</v>
      </c>
      <c r="F26" t="inlineStr">
        <is>
          <t>SKÅNE LÄN</t>
        </is>
      </c>
      <c r="G26" t="inlineStr">
        <is>
          <t>ÖRKELLJUNGA</t>
        </is>
      </c>
      <c r="I26" t="n">
        <v>74.40000000000001</v>
      </c>
      <c r="J26" t="n">
        <v>9</v>
      </c>
      <c r="K26" t="n">
        <v>0</v>
      </c>
      <c r="L26" t="n">
        <v>6</v>
      </c>
      <c r="M26" t="n">
        <v>0</v>
      </c>
      <c r="N26" t="n">
        <v>0</v>
      </c>
      <c r="O26" t="n">
        <v>0</v>
      </c>
      <c r="P26" t="n">
        <v>0</v>
      </c>
      <c r="Q26" t="n">
        <v>6</v>
      </c>
      <c r="R26" t="n">
        <v>0</v>
      </c>
      <c r="S26" t="n">
        <v>13</v>
      </c>
      <c r="T26" t="n">
        <v>18</v>
      </c>
      <c r="U26" t="n">
        <v>18</v>
      </c>
      <c r="V26" s="2" t="inlineStr">
        <is>
          <t>Entita
Grönsångare
Mörk dunört
Svart skogssnigel
Svinrot
Älg
Spillkråka
Kungsfågel
Röd glada
Svartvit flugsnappare
Kopparödla
Vanlig padda
Vanlig snok</t>
        </is>
      </c>
      <c r="W26">
        <f>HYPERLINK("https://klasma.github.io/Logging_1257/artfynd/S 2212-2023 artfynd.xlsx", "S 2212-2023")</f>
        <v/>
      </c>
      <c r="X26">
        <f>HYPERLINK("https://klasma.github.io/Logging_1257/kartor/S 2212-2023 karta.png", "S 2212-2023")</f>
        <v/>
      </c>
      <c r="Y26">
        <f>HYPERLINK("https://klasma.github.io/Logging_1257/kartor_geotiff/S 2212-2023 georefererad karta.tif", "S 2212-2023")</f>
        <v/>
      </c>
      <c r="AA26">
        <f>HYPERLINK("https://klasma.github.io/Logging_1257/klagomål/S 2212-2023 FSC-klagomål.docx", "S 2212-2023")</f>
        <v/>
      </c>
      <c r="AB26">
        <f>HYPERLINK("https://klasma.github.io/Logging_1257/klagomålsmail/S 2212-2023 FSC-klagomål mail.docx", "S 2212-2023")</f>
        <v/>
      </c>
      <c r="AC26">
        <f>HYPERLINK("https://klasma.github.io/Logging_1257/tillsyn/S 2212-2023 tillsynsbegäran.docx", "S 2212-2023")</f>
        <v/>
      </c>
      <c r="AD26">
        <f>HYPERLINK("https://klasma.github.io/Logging_1257/tillsynsmail/S 2212-2023 tillsynsbegäran mail.docx", "S 2212-2023")</f>
        <v/>
      </c>
      <c r="AE26">
        <f>HYPERLINK("https://klasma.github.io/Logging_1257/fåglar/S 2212-2023 prioriterade fågelarter.docx", "S 2212-2023")</f>
        <v/>
      </c>
    </row>
    <row r="27" ht="15" customHeight="1">
      <c r="A27" t="inlineStr">
        <is>
          <t>S 461-2022</t>
        </is>
      </c>
      <c r="B27" t="inlineStr">
        <is>
          <t>samrådsanmälan</t>
        </is>
      </c>
      <c r="C27" t="inlineStr">
        <is>
          <t>Askåterföring</t>
        </is>
      </c>
      <c r="D27" s="1" t="n">
        <v>44587</v>
      </c>
      <c r="E27" s="1" t="n">
        <v>46312</v>
      </c>
      <c r="F27" t="inlineStr">
        <is>
          <t>SKÅNE LÄN</t>
        </is>
      </c>
      <c r="G27" t="inlineStr">
        <is>
          <t>KRISTIANSTAD</t>
        </is>
      </c>
      <c r="I27" t="n">
        <v>154.9</v>
      </c>
      <c r="J27" t="n">
        <v>9</v>
      </c>
      <c r="K27" t="n">
        <v>0</v>
      </c>
      <c r="L27" t="n">
        <v>5</v>
      </c>
      <c r="M27" t="n">
        <v>4</v>
      </c>
      <c r="N27" t="n">
        <v>0</v>
      </c>
      <c r="O27" t="n">
        <v>0</v>
      </c>
      <c r="P27" t="n">
        <v>0</v>
      </c>
      <c r="Q27" t="n">
        <v>9</v>
      </c>
      <c r="R27" t="n">
        <v>4</v>
      </c>
      <c r="S27" t="n">
        <v>13</v>
      </c>
      <c r="T27" t="n">
        <v>20</v>
      </c>
      <c r="U27" t="n">
        <v>19</v>
      </c>
      <c r="V27" s="2" t="inlineStr">
        <is>
          <t>Bredbrämad bastardsvärmare
Knärot
Sexfläckig bastardsvärmare
Stare
Entita
Grådådra
Rödvingetrast
Tallticka
Talltita
Spillkråka
Kungsfågel
Röd glada
Revlummer</t>
        </is>
      </c>
      <c r="W27">
        <f>HYPERLINK("https://klasma.github.io/Logging_1290/artfynd/S 461-2022 artfynd.xlsx", "S 461-2022")</f>
        <v/>
      </c>
      <c r="X27">
        <f>HYPERLINK("https://klasma.github.io/Logging_1290/kartor/S 461-2022 karta.png", "S 461-2022")</f>
        <v/>
      </c>
      <c r="Y27">
        <f>HYPERLINK("https://klasma.github.io/Logging_1290/kartor_geotiff/S 461-2022 georefererad karta.tif", "S 461-2022")</f>
        <v/>
      </c>
      <c r="Z27">
        <f>HYPERLINK("https://klasma.github.io/Logging_1290/knärot/S 461-2022 karta knärot.png", "S 461-2022")</f>
        <v/>
      </c>
      <c r="AA27">
        <f>HYPERLINK("https://klasma.github.io/Logging_1290/klagomål/S 461-2022 FSC-klagomål.docx", "S 461-2022")</f>
        <v/>
      </c>
      <c r="AB27">
        <f>HYPERLINK("https://klasma.github.io/Logging_1290/klagomålsmail/S 461-2022 FSC-klagomål mail.docx", "S 461-2022")</f>
        <v/>
      </c>
      <c r="AC27">
        <f>HYPERLINK("https://klasma.github.io/Logging_1290/tillsyn/S 461-2022 tillsynsbegäran.docx", "S 461-2022")</f>
        <v/>
      </c>
      <c r="AD27">
        <f>HYPERLINK("https://klasma.github.io/Logging_1290/tillsynsmail/S 461-2022 tillsynsbegäran mail.docx", "S 461-2022")</f>
        <v/>
      </c>
      <c r="AE27">
        <f>HYPERLINK("https://klasma.github.io/Logging_1290/fåglar/S 461-2022 prioriterade fågelarter.docx", "S 461-2022")</f>
        <v/>
      </c>
    </row>
    <row r="28" ht="15" customHeight="1">
      <c r="A28" t="inlineStr">
        <is>
          <t>A 53614-2025</t>
        </is>
      </c>
      <c r="B28" t="inlineStr">
        <is>
          <t>avverkningsanmälan</t>
        </is>
      </c>
      <c r="C28" t="inlineStr">
        <is>
          <t>Föryngringsavverkning</t>
        </is>
      </c>
      <c r="D28" s="1" t="n">
        <v>45960</v>
      </c>
      <c r="E28" s="1" t="n">
        <v>46312</v>
      </c>
      <c r="F28" t="inlineStr">
        <is>
          <t>SKÅNE LÄN</t>
        </is>
      </c>
      <c r="G28" t="inlineStr">
        <is>
          <t>KLIPPAN</t>
        </is>
      </c>
      <c r="I28" t="n">
        <v>6.6</v>
      </c>
      <c r="J28" t="n">
        <v>12</v>
      </c>
      <c r="K28" t="n">
        <v>0</v>
      </c>
      <c r="L28" t="n">
        <v>5</v>
      </c>
      <c r="M28" t="n">
        <v>1</v>
      </c>
      <c r="N28" t="n">
        <v>0</v>
      </c>
      <c r="O28" t="n">
        <v>0</v>
      </c>
      <c r="P28" t="n">
        <v>0</v>
      </c>
      <c r="Q28" t="n">
        <v>6</v>
      </c>
      <c r="R28" t="n">
        <v>1</v>
      </c>
      <c r="S28" t="n">
        <v>12</v>
      </c>
      <c r="T28" t="n">
        <v>18</v>
      </c>
      <c r="U28" t="n">
        <v>18</v>
      </c>
      <c r="V28" s="2" t="inlineStr">
        <is>
          <t>Grönfink
Entita
Gulsparv
Mindre hackspett
Rödvingetrast
Talltita
Spillkråka
Stjärtmes
Gröngöling
Grönsiska
Kungsfågel
Skogsduva</t>
        </is>
      </c>
      <c r="W28">
        <f>HYPERLINK("https://klasma.github.io/Logging_1276/artfynd/A 53614-2025 artfynd.xlsx", "A 53614-2025")</f>
        <v/>
      </c>
      <c r="X28">
        <f>HYPERLINK("https://klasma.github.io/Logging_1276/kartor/A 53614-2025 karta.png", "A 53614-2025")</f>
        <v/>
      </c>
      <c r="Y28">
        <f>HYPERLINK("https://klasma.github.io/Logging_1276/kartor_geotiff/A 53614-2025 georefererad karta.tif", "A 53614-2025")</f>
        <v/>
      </c>
      <c r="AA28">
        <f>HYPERLINK("https://klasma.github.io/Logging_1276/klagomål/A 53614-2025 FSC-klagomål.docx", "A 53614-2025")</f>
        <v/>
      </c>
      <c r="AB28">
        <f>HYPERLINK("https://klasma.github.io/Logging_1276/klagomålsmail/A 53614-2025 FSC-klagomål mail.docx", "A 53614-2025")</f>
        <v/>
      </c>
      <c r="AC28">
        <f>HYPERLINK("https://klasma.github.io/Logging_1276/tillsyn/A 53614-2025 tillsynsbegäran.docx", "A 53614-2025")</f>
        <v/>
      </c>
      <c r="AD28">
        <f>HYPERLINK("https://klasma.github.io/Logging_1276/tillsynsmail/A 53614-2025 tillsynsbegäran mail.docx", "A 53614-2025")</f>
        <v/>
      </c>
      <c r="AE28">
        <f>HYPERLINK("https://klasma.github.io/Logging_1276/fåglar/A 53614-2025 prioriterade fågelarter.docx", "A 53614-2025")</f>
        <v/>
      </c>
    </row>
    <row r="29" ht="15" customHeight="1">
      <c r="A29" t="inlineStr">
        <is>
          <t>A 9599-2025</t>
        </is>
      </c>
      <c r="B29" t="inlineStr">
        <is>
          <t>avverkningsanmälan</t>
        </is>
      </c>
      <c r="C29" t="inlineStr">
        <is>
          <t>Föryngringsavverkning</t>
        </is>
      </c>
      <c r="D29" s="1" t="n">
        <v>45715</v>
      </c>
      <c r="E29" s="1" t="n">
        <v>46312</v>
      </c>
      <c r="F29" t="inlineStr">
        <is>
          <t>SKÅNE LÄN</t>
        </is>
      </c>
      <c r="G29" t="inlineStr">
        <is>
          <t>KRISTIANSTAD</t>
        </is>
      </c>
      <c r="I29" t="n">
        <v>25.7</v>
      </c>
      <c r="J29" t="n">
        <v>1</v>
      </c>
      <c r="K29" t="n">
        <v>5</v>
      </c>
      <c r="L29" t="n">
        <v>5</v>
      </c>
      <c r="M29" t="n">
        <v>1</v>
      </c>
      <c r="N29" t="n">
        <v>0</v>
      </c>
      <c r="O29" t="n">
        <v>0</v>
      </c>
      <c r="P29" t="n">
        <v>0</v>
      </c>
      <c r="Q29" t="n">
        <v>6</v>
      </c>
      <c r="R29" t="n">
        <v>1</v>
      </c>
      <c r="S29" t="n">
        <v>12</v>
      </c>
      <c r="T29" t="n">
        <v>12</v>
      </c>
      <c r="U29" t="n">
        <v>1</v>
      </c>
      <c r="V29" s="2" t="inlineStr">
        <is>
          <t>Sydlig taggfingersvamp
Bokkantlav
Bokvårtlav
Lövfagerspindling
Rävspindling
Silkesspindling
Fällmossa
Jättesvampmal
Klippfrullania
Lönnlav
Rutbläcksvamp
Skogsödla</t>
        </is>
      </c>
      <c r="W29">
        <f>HYPERLINK("https://klasma.github.io/Logging_1290/artfynd/A 9599-2025 artfynd.xlsx", "A 9599-2025")</f>
        <v/>
      </c>
      <c r="X29">
        <f>HYPERLINK("https://klasma.github.io/Logging_1290/kartor/A 9599-2025 karta.png", "A 9599-2025")</f>
        <v/>
      </c>
      <c r="Y29">
        <f>HYPERLINK("https://klasma.github.io/Logging_1290/kartor_geotiff/A 9599-2025 georefererad karta.tif", "A 9599-2025")</f>
        <v/>
      </c>
      <c r="AA29">
        <f>HYPERLINK("https://klasma.github.io/Logging_1290/klagomål/A 9599-2025 FSC-klagomål.docx", "A 9599-2025")</f>
        <v/>
      </c>
      <c r="AB29">
        <f>HYPERLINK("https://klasma.github.io/Logging_1290/klagomålsmail/A 9599-2025 FSC-klagomål mail.docx", "A 9599-2025")</f>
        <v/>
      </c>
      <c r="AC29">
        <f>HYPERLINK("https://klasma.github.io/Logging_1290/tillsyn/A 9599-2025 tillsynsbegäran.docx", "A 9599-2025")</f>
        <v/>
      </c>
      <c r="AD29">
        <f>HYPERLINK("https://klasma.github.io/Logging_1290/tillsynsmail/A 9599-2025 tillsynsbegäran mail.docx", "A 9599-2025")</f>
        <v/>
      </c>
    </row>
    <row r="30" ht="15" customHeight="1">
      <c r="A30" t="inlineStr">
        <is>
          <t>S 2856-2024</t>
        </is>
      </c>
      <c r="B30" t="inlineStr">
        <is>
          <t>samrådsanmälan</t>
        </is>
      </c>
      <c r="C30" t="inlineStr">
        <is>
          <t>Annan skogsbruksåtgärd</t>
        </is>
      </c>
      <c r="D30" s="1" t="n">
        <v>45496</v>
      </c>
      <c r="E30" s="1" t="n">
        <v>46312</v>
      </c>
      <c r="F30" t="inlineStr">
        <is>
          <t>SKÅNE LÄN</t>
        </is>
      </c>
      <c r="G30" t="inlineStr">
        <is>
          <t>ÖRKELLJUNGA</t>
        </is>
      </c>
      <c r="I30" t="n">
        <v>0.9</v>
      </c>
      <c r="J30" t="n">
        <v>0</v>
      </c>
      <c r="K30" t="n">
        <v>8</v>
      </c>
      <c r="L30" t="n">
        <v>4</v>
      </c>
      <c r="M30" t="n">
        <v>0</v>
      </c>
      <c r="N30" t="n">
        <v>0</v>
      </c>
      <c r="O30" t="n">
        <v>0</v>
      </c>
      <c r="P30" t="n">
        <v>0</v>
      </c>
      <c r="Q30" t="n">
        <v>4</v>
      </c>
      <c r="R30" t="n">
        <v>0</v>
      </c>
      <c r="S30" t="n">
        <v>12</v>
      </c>
      <c r="T30" t="n">
        <v>15</v>
      </c>
      <c r="U30" t="n">
        <v>0</v>
      </c>
      <c r="V30" s="2" t="inlineStr">
        <is>
          <t>Bokvårtlav
Dunmossa
Flikbålmossa
Gullpudra
Blåmossa
Blåsfliksmossa
Platt fjädermossa
Skogshakmossa
Skuggsprötmossa
Trubbfjädermossa
Västlig hakmossa
Västlig husmossa</t>
        </is>
      </c>
      <c r="W30">
        <f>HYPERLINK("https://klasma.github.io/Logging_1257/artfynd/S 2856-2024 artfynd.xlsx", "S 2856-2024")</f>
        <v/>
      </c>
      <c r="X30">
        <f>HYPERLINK("https://klasma.github.io/Logging_1257/kartor/S 2856-2024 karta.png", "S 2856-2024")</f>
        <v/>
      </c>
      <c r="Y30">
        <f>HYPERLINK("https://klasma.github.io/Logging_1257/kartor_geotiff/S 2856-2024 georefererad karta.tif", "S 2856-2024")</f>
        <v/>
      </c>
      <c r="AA30">
        <f>HYPERLINK("https://klasma.github.io/Logging_1257/klagomål/S 2856-2024 FSC-klagomål.docx", "S 2856-2024")</f>
        <v/>
      </c>
      <c r="AB30">
        <f>HYPERLINK("https://klasma.github.io/Logging_1257/klagomålsmail/S 2856-2024 FSC-klagomål mail.docx", "S 2856-2024")</f>
        <v/>
      </c>
      <c r="AC30">
        <f>HYPERLINK("https://klasma.github.io/Logging_1257/tillsyn/S 2856-2024 tillsynsbegäran.docx", "S 2856-2024")</f>
        <v/>
      </c>
      <c r="AD30">
        <f>HYPERLINK("https://klasma.github.io/Logging_1257/tillsynsmail/S 2856-2024 tillsynsbegäran mail.docx", "S 2856-2024")</f>
        <v/>
      </c>
    </row>
    <row r="31" ht="15" customHeight="1">
      <c r="A31" t="inlineStr">
        <is>
          <t>S 28-2026</t>
        </is>
      </c>
      <c r="B31" t="inlineStr">
        <is>
          <t>samrådsanmälan</t>
        </is>
      </c>
      <c r="C31" t="inlineStr">
        <is>
          <t>Askåterföring</t>
        </is>
      </c>
      <c r="D31" s="1" t="n">
        <v>46030</v>
      </c>
      <c r="E31" s="1" t="n">
        <v>46312</v>
      </c>
      <c r="F31" t="inlineStr">
        <is>
          <t>SKÅNE LÄN</t>
        </is>
      </c>
      <c r="G31" t="inlineStr">
        <is>
          <t>OSBY</t>
        </is>
      </c>
      <c r="I31" t="n">
        <v>100.4</v>
      </c>
      <c r="J31" t="n">
        <v>11</v>
      </c>
      <c r="K31" t="n">
        <v>1</v>
      </c>
      <c r="L31" t="n">
        <v>4</v>
      </c>
      <c r="M31" t="n">
        <v>1</v>
      </c>
      <c r="N31" t="n">
        <v>0</v>
      </c>
      <c r="O31" t="n">
        <v>0</v>
      </c>
      <c r="P31" t="n">
        <v>0</v>
      </c>
      <c r="Q31" t="n">
        <v>5</v>
      </c>
      <c r="R31" t="n">
        <v>1</v>
      </c>
      <c r="S31" t="n">
        <v>12</v>
      </c>
      <c r="T31" t="n">
        <v>105</v>
      </c>
      <c r="U31" t="n">
        <v>0</v>
      </c>
      <c r="V31" s="2" t="inlineStr">
        <is>
          <t>Grönfink
Entita
Järnsparv
Sädesärla
Talltita
Blåmossa
Spillkråka
Grönsiska
Kråka
Kungsfågel
Svartvit flugsnappare
Ärtsångare</t>
        </is>
      </c>
      <c r="W31">
        <f>HYPERLINK("https://klasma.github.io/Logging_1273/artfynd/S 28-2026 artfynd.xlsx", "S 28-2026")</f>
        <v/>
      </c>
      <c r="X31">
        <f>HYPERLINK("https://klasma.github.io/Logging_1273/kartor/S 28-2026 karta.png", "S 28-2026")</f>
        <v/>
      </c>
      <c r="Y31">
        <f>HYPERLINK("https://klasma.github.io/Logging_1273/kartor_geotiff/S 28-2026 georefererad karta.tif", "S 28-2026")</f>
        <v/>
      </c>
      <c r="AA31">
        <f>HYPERLINK("https://klasma.github.io/Logging_1273/klagomål/S 28-2026 FSC-klagomål.docx", "S 28-2026")</f>
        <v/>
      </c>
      <c r="AB31">
        <f>HYPERLINK("https://klasma.github.io/Logging_1273/klagomålsmail/S 28-2026 FSC-klagomål mail.docx", "S 28-2026")</f>
        <v/>
      </c>
      <c r="AC31">
        <f>HYPERLINK("https://klasma.github.io/Logging_1273/tillsyn/S 28-2026 tillsynsbegäran.docx", "S 28-2026")</f>
        <v/>
      </c>
      <c r="AD31">
        <f>HYPERLINK("https://klasma.github.io/Logging_1273/tillsynsmail/S 28-2026 tillsynsbegäran mail.docx", "S 28-2026")</f>
        <v/>
      </c>
      <c r="AE31">
        <f>HYPERLINK("https://klasma.github.io/Logging_1273/fåglar/S 28-2026 prioriterade fågelarter.docx", "S 28-2026")</f>
        <v/>
      </c>
    </row>
    <row r="32" ht="15" customHeight="1">
      <c r="A32" t="inlineStr">
        <is>
          <t>A 32389-2023</t>
        </is>
      </c>
      <c r="B32" t="inlineStr">
        <is>
          <t>avverkningsanmälan</t>
        </is>
      </c>
      <c r="C32" t="inlineStr">
        <is>
          <t>Föryngringsavverkning</t>
        </is>
      </c>
      <c r="D32" s="1" t="n">
        <v>45120</v>
      </c>
      <c r="E32" s="1" t="n">
        <v>46312</v>
      </c>
      <c r="F32" t="inlineStr">
        <is>
          <t>SKÅNE LÄN</t>
        </is>
      </c>
      <c r="G32" t="inlineStr">
        <is>
          <t>TOMELILLA</t>
        </is>
      </c>
      <c r="H32" t="inlineStr">
        <is>
          <t>Övriga Aktiebolag</t>
        </is>
      </c>
      <c r="I32" t="n">
        <v>10.8</v>
      </c>
      <c r="J32" t="n">
        <v>10</v>
      </c>
      <c r="K32" t="n">
        <v>1</v>
      </c>
      <c r="L32" t="n">
        <v>4</v>
      </c>
      <c r="M32" t="n">
        <v>0</v>
      </c>
      <c r="N32" t="n">
        <v>0</v>
      </c>
      <c r="O32" t="n">
        <v>1</v>
      </c>
      <c r="P32" t="n">
        <v>0</v>
      </c>
      <c r="Q32" t="n">
        <v>5</v>
      </c>
      <c r="R32" t="n">
        <v>1</v>
      </c>
      <c r="S32" t="n">
        <v>11</v>
      </c>
      <c r="T32" t="n">
        <v>17</v>
      </c>
      <c r="U32" t="n">
        <v>2</v>
      </c>
      <c r="V32" s="2" t="inlineStr">
        <is>
          <t>Bechsteins fladdermus
Barbastell
Brunlångöra
Fransfladdermus
Nordfladdermus
Tibast
Dvärgpipistrell
Mustaschfladdermus
Större brunfladdermus
Större musöra
Vattenfladdermus</t>
        </is>
      </c>
      <c r="W32">
        <f>HYPERLINK("https://klasma.github.io/Logging_1270/artfynd/A 32389-2023 artfynd.xlsx", "A 32389-2023")</f>
        <v/>
      </c>
      <c r="X32">
        <f>HYPERLINK("https://klasma.github.io/Logging_1270/kartor/A 32389-2023 karta.png", "A 32389-2023")</f>
        <v/>
      </c>
      <c r="Y32">
        <f>HYPERLINK("https://klasma.github.io/Logging_1270/kartor_geotiff/A 32389-2023 georefererad karta.tif", "A 32389-2023")</f>
        <v/>
      </c>
      <c r="AA32">
        <f>HYPERLINK("https://klasma.github.io/Logging_1270/klagomål/A 32389-2023 FSC-klagomål.docx", "A 32389-2023")</f>
        <v/>
      </c>
      <c r="AB32">
        <f>HYPERLINK("https://klasma.github.io/Logging_1270/klagomålsmail/A 32389-2023 FSC-klagomål mail.docx", "A 32389-2023")</f>
        <v/>
      </c>
      <c r="AC32">
        <f>HYPERLINK("https://klasma.github.io/Logging_1270/tillsyn/A 32389-2023 tillsynsbegäran.docx", "A 32389-2023")</f>
        <v/>
      </c>
      <c r="AD32">
        <f>HYPERLINK("https://klasma.github.io/Logging_1270/tillsynsmail/A 32389-2023 tillsynsbegäran mail.docx", "A 32389-2023")</f>
        <v/>
      </c>
    </row>
    <row r="33" ht="15" customHeight="1">
      <c r="A33" t="inlineStr">
        <is>
          <t>A 18969-2024</t>
        </is>
      </c>
      <c r="B33" t="inlineStr">
        <is>
          <t>avverkningsanmälan</t>
        </is>
      </c>
      <c r="C33" t="inlineStr">
        <is>
          <t>Föryngringsavverkning</t>
        </is>
      </c>
      <c r="D33" s="1" t="n">
        <v>45427</v>
      </c>
      <c r="E33" s="1" t="n">
        <v>46312</v>
      </c>
      <c r="F33" t="inlineStr">
        <is>
          <t>SKÅNE LÄN</t>
        </is>
      </c>
      <c r="G33" t="inlineStr">
        <is>
          <t>HÄSSLEHOLM</t>
        </is>
      </c>
      <c r="I33" t="n">
        <v>3.2</v>
      </c>
      <c r="J33" t="n">
        <v>1</v>
      </c>
      <c r="K33" t="n">
        <v>5</v>
      </c>
      <c r="L33" t="n">
        <v>3</v>
      </c>
      <c r="M33" t="n">
        <v>2</v>
      </c>
      <c r="N33" t="n">
        <v>0</v>
      </c>
      <c r="O33" t="n">
        <v>0</v>
      </c>
      <c r="P33" t="n">
        <v>0</v>
      </c>
      <c r="Q33" t="n">
        <v>5</v>
      </c>
      <c r="R33" t="n">
        <v>2</v>
      </c>
      <c r="S33" t="n">
        <v>11</v>
      </c>
      <c r="T33" t="n">
        <v>23</v>
      </c>
      <c r="U33" t="n">
        <v>23</v>
      </c>
      <c r="V33" s="2" t="inlineStr">
        <is>
          <t>Vedlavklubba
Ädelkronlav
Gullpudra
Puderfläck
Violettgrå porlav
Gulnål
Havstulpanlav
Klippfrullania
Kornig nållav
Platt fjädermossa
Vanlig snok</t>
        </is>
      </c>
      <c r="W33">
        <f>HYPERLINK("https://klasma.github.io/Logging_1293/artfynd/A 18969-2024 artfynd.xlsx", "A 18969-2024")</f>
        <v/>
      </c>
      <c r="X33">
        <f>HYPERLINK("https://klasma.github.io/Logging_1293/kartor/A 18969-2024 karta.png", "A 18969-2024")</f>
        <v/>
      </c>
      <c r="Y33">
        <f>HYPERLINK("https://klasma.github.io/Logging_1293/kartor_geotiff/A 18969-2024 georefererad karta.tif", "A 18969-2024")</f>
        <v/>
      </c>
      <c r="AA33">
        <f>HYPERLINK("https://klasma.github.io/Logging_1293/klagomål/A 18969-2024 FSC-klagomål.docx", "A 18969-2024")</f>
        <v/>
      </c>
      <c r="AB33">
        <f>HYPERLINK("https://klasma.github.io/Logging_1293/klagomålsmail/A 18969-2024 FSC-klagomål mail.docx", "A 18969-2024")</f>
        <v/>
      </c>
      <c r="AC33">
        <f>HYPERLINK("https://klasma.github.io/Logging_1293/tillsyn/A 18969-2024 tillsynsbegäran.docx", "A 18969-2024")</f>
        <v/>
      </c>
      <c r="AD33">
        <f>HYPERLINK("https://klasma.github.io/Logging_1293/tillsynsmail/A 18969-2024 tillsynsbegäran mail.docx", "A 18969-2024")</f>
        <v/>
      </c>
    </row>
    <row r="34" ht="15" customHeight="1">
      <c r="A34" t="inlineStr">
        <is>
          <t>A 6056-2023</t>
        </is>
      </c>
      <c r="B34" t="inlineStr">
        <is>
          <t>avverkningsanmälan</t>
        </is>
      </c>
      <c r="C34" t="inlineStr">
        <is>
          <t>Föryngringsavverkning</t>
        </is>
      </c>
      <c r="D34" s="1" t="n">
        <v>44964</v>
      </c>
      <c r="E34" s="1" t="n">
        <v>46312</v>
      </c>
      <c r="F34" t="inlineStr">
        <is>
          <t>SKÅNE LÄN</t>
        </is>
      </c>
      <c r="G34" t="inlineStr">
        <is>
          <t>HÖRBY</t>
        </is>
      </c>
      <c r="I34" t="n">
        <v>0.1</v>
      </c>
      <c r="J34" t="n">
        <v>0</v>
      </c>
      <c r="K34" t="n">
        <v>8</v>
      </c>
      <c r="L34" t="n">
        <v>3</v>
      </c>
      <c r="M34" t="n">
        <v>0</v>
      </c>
      <c r="N34" t="n">
        <v>0</v>
      </c>
      <c r="O34" t="n">
        <v>0</v>
      </c>
      <c r="P34" t="n">
        <v>0</v>
      </c>
      <c r="Q34" t="n">
        <v>3</v>
      </c>
      <c r="R34" t="n">
        <v>0</v>
      </c>
      <c r="S34" t="n">
        <v>11</v>
      </c>
      <c r="T34" t="n">
        <v>19</v>
      </c>
      <c r="U34" t="n">
        <v>18</v>
      </c>
      <c r="V34" s="2" t="inlineStr">
        <is>
          <t>Bokkantlav
Bokvårtlav
Lunglav
Bokfjädermossa
Guldlockmossa
Havstulpanlav
Klippfrullania
Kransrams
Lönnlav
Trädporella
Västlig hakmossa</t>
        </is>
      </c>
      <c r="W34">
        <f>HYPERLINK("https://klasma.github.io/Logging_1266/artfynd/A 6056-2023 artfynd.xlsx", "A 6056-2023")</f>
        <v/>
      </c>
      <c r="X34">
        <f>HYPERLINK("https://klasma.github.io/Logging_1266/kartor/A 6056-2023 karta.png", "A 6056-2023")</f>
        <v/>
      </c>
      <c r="Y34">
        <f>HYPERLINK("https://klasma.github.io/Logging_1266/kartor_geotiff/A 6056-2023 georefererad karta.tif", "A 6056-2023")</f>
        <v/>
      </c>
      <c r="AA34">
        <f>HYPERLINK("https://klasma.github.io/Logging_1266/klagomål/A 6056-2023 FSC-klagomål.docx", "A 6056-2023")</f>
        <v/>
      </c>
      <c r="AB34">
        <f>HYPERLINK("https://klasma.github.io/Logging_1266/klagomålsmail/A 6056-2023 FSC-klagomål mail.docx", "A 6056-2023")</f>
        <v/>
      </c>
      <c r="AC34">
        <f>HYPERLINK("https://klasma.github.io/Logging_1266/tillsyn/A 6056-2023 tillsynsbegäran.docx", "A 6056-2023")</f>
        <v/>
      </c>
      <c r="AD34">
        <f>HYPERLINK("https://klasma.github.io/Logging_1266/tillsynsmail/A 6056-2023 tillsynsbegäran mail.docx", "A 6056-2023")</f>
        <v/>
      </c>
    </row>
    <row r="35" ht="15" customHeight="1">
      <c r="A35" t="inlineStr">
        <is>
          <t>A 11693-2025</t>
        </is>
      </c>
      <c r="B35" t="inlineStr">
        <is>
          <t>avverkningsanmälan</t>
        </is>
      </c>
      <c r="C35" t="inlineStr">
        <is>
          <t>Föryngringsavverkning</t>
        </is>
      </c>
      <c r="D35" s="1" t="n">
        <v>45727</v>
      </c>
      <c r="E35" s="1" t="n">
        <v>46312</v>
      </c>
      <c r="F35" t="inlineStr">
        <is>
          <t>SKÅNE LÄN</t>
        </is>
      </c>
      <c r="G35" t="inlineStr">
        <is>
          <t>KRISTIANSTAD</t>
        </is>
      </c>
      <c r="I35" t="n">
        <v>2.2</v>
      </c>
      <c r="J35" t="n">
        <v>0</v>
      </c>
      <c r="K35" t="n">
        <v>2</v>
      </c>
      <c r="L35" t="n">
        <v>5</v>
      </c>
      <c r="M35" t="n">
        <v>4</v>
      </c>
      <c r="N35" t="n">
        <v>0</v>
      </c>
      <c r="O35" t="n">
        <v>0</v>
      </c>
      <c r="P35" t="n">
        <v>0</v>
      </c>
      <c r="Q35" t="n">
        <v>9</v>
      </c>
      <c r="R35" t="n">
        <v>4</v>
      </c>
      <c r="S35" t="n">
        <v>11</v>
      </c>
      <c r="T35" t="n">
        <v>17</v>
      </c>
      <c r="U35" t="n">
        <v>6</v>
      </c>
      <c r="V35" s="2" t="inlineStr">
        <is>
          <t>Blå lökspindling
Kejsarspindling
Nunnespindling
Själlandsspindling
Bokvårtlav
Cinnoberspindling
Juvelspindling
Rävspindling
Stiftklotterlav
Igelkottsröksvamp
Trädporella</t>
        </is>
      </c>
      <c r="W35">
        <f>HYPERLINK("https://klasma.github.io/Logging_1290/artfynd/A 11693-2025 artfynd.xlsx", "A 11693-2025")</f>
        <v/>
      </c>
      <c r="X35">
        <f>HYPERLINK("https://klasma.github.io/Logging_1290/kartor/A 11693-2025 karta.png", "A 11693-2025")</f>
        <v/>
      </c>
      <c r="Y35">
        <f>HYPERLINK("https://klasma.github.io/Logging_1290/kartor_geotiff/A 11693-2025 georefererad karta.tif", "A 11693-2025")</f>
        <v/>
      </c>
      <c r="AA35">
        <f>HYPERLINK("https://klasma.github.io/Logging_1290/klagomål/A 11693-2025 FSC-klagomål.docx", "A 11693-2025")</f>
        <v/>
      </c>
      <c r="AB35">
        <f>HYPERLINK("https://klasma.github.io/Logging_1290/klagomålsmail/A 11693-2025 FSC-klagomål mail.docx", "A 11693-2025")</f>
        <v/>
      </c>
      <c r="AC35">
        <f>HYPERLINK("https://klasma.github.io/Logging_1290/tillsyn/A 11693-2025 tillsynsbegäran.docx", "A 11693-2025")</f>
        <v/>
      </c>
      <c r="AD35">
        <f>HYPERLINK("https://klasma.github.io/Logging_1290/tillsynsmail/A 11693-2025 tillsynsbegäran mail.docx", "A 11693-2025")</f>
        <v/>
      </c>
    </row>
    <row r="36" ht="15" customHeight="1">
      <c r="A36" t="inlineStr">
        <is>
          <t>A 36870-2026</t>
        </is>
      </c>
      <c r="B36" t="inlineStr">
        <is>
          <t>avverkningsanmälan</t>
        </is>
      </c>
      <c r="C36" t="inlineStr">
        <is>
          <t>Föryngringsavverkning</t>
        </is>
      </c>
      <c r="D36" s="1" t="n">
        <v>46272</v>
      </c>
      <c r="E36" s="1" t="n">
        <v>46312</v>
      </c>
      <c r="F36" t="inlineStr">
        <is>
          <t>SKÅNE LÄN</t>
        </is>
      </c>
      <c r="G36" t="inlineStr">
        <is>
          <t>KRISTIANSTAD</t>
        </is>
      </c>
      <c r="I36" t="n">
        <v>6.9</v>
      </c>
      <c r="J36" t="n">
        <v>11</v>
      </c>
      <c r="K36" t="n">
        <v>0</v>
      </c>
      <c r="L36" t="n">
        <v>3</v>
      </c>
      <c r="M36" t="n">
        <v>1</v>
      </c>
      <c r="N36" t="n">
        <v>0</v>
      </c>
      <c r="O36" t="n">
        <v>0</v>
      </c>
      <c r="P36" t="n">
        <v>0</v>
      </c>
      <c r="Q36" t="n">
        <v>4</v>
      </c>
      <c r="R36" t="n">
        <v>1</v>
      </c>
      <c r="S36" t="n">
        <v>11</v>
      </c>
      <c r="T36" t="n">
        <v>27</v>
      </c>
      <c r="U36" t="n">
        <v>0</v>
      </c>
      <c r="V36" s="2" t="inlineStr">
        <is>
          <t>Grönfink
Grönsångare
Järnsparv
Nordfladdermus
Blåsippa
Dvärgpipistrell
Grönsiska
Kungsfågel
Större brunfladdermus
Trollpipistrell
Gullviva</t>
        </is>
      </c>
      <c r="W36">
        <f>HYPERLINK("https://klasma.github.io/Logging_1290/artfynd/A 36870-2026 artfynd.xlsx", "A 36870-2026")</f>
        <v/>
      </c>
      <c r="X36">
        <f>HYPERLINK("https://klasma.github.io/Logging_1290/kartor/A 36870-2026 karta.png", "A 36870-2026")</f>
        <v/>
      </c>
      <c r="Y36">
        <f>HYPERLINK("https://klasma.github.io/Logging_1290/kartor_geotiff/A 36870-2026 georefererad karta.tif", "A 36870-2026")</f>
        <v/>
      </c>
      <c r="AA36">
        <f>HYPERLINK("https://klasma.github.io/Logging_1290/klagomål/A 36870-2026 FSC-klagomål.docx", "A 36870-2026")</f>
        <v/>
      </c>
      <c r="AB36">
        <f>HYPERLINK("https://klasma.github.io/Logging_1290/klagomålsmail/A 36870-2026 FSC-klagomål mail.docx", "A 36870-2026")</f>
        <v/>
      </c>
      <c r="AC36">
        <f>HYPERLINK("https://klasma.github.io/Logging_1290/tillsyn/A 36870-2026 tillsynsbegäran.docx", "A 36870-2026")</f>
        <v/>
      </c>
      <c r="AD36">
        <f>HYPERLINK("https://klasma.github.io/Logging_1290/tillsynsmail/A 36870-2026 tillsynsbegäran mail.docx", "A 36870-2026")</f>
        <v/>
      </c>
      <c r="AE36">
        <f>HYPERLINK("https://klasma.github.io/Logging_1290/fåglar/A 36870-2026 prioriterade fågelarter.docx", "A 36870-2026")</f>
        <v/>
      </c>
    </row>
    <row r="37" ht="15" customHeight="1">
      <c r="A37" t="inlineStr">
        <is>
          <t>S 534-2023</t>
        </is>
      </c>
      <c r="B37" t="inlineStr">
        <is>
          <t>samrådsanmälan</t>
        </is>
      </c>
      <c r="C37" t="inlineStr">
        <is>
          <t>Askåterföring</t>
        </is>
      </c>
      <c r="D37" s="1" t="n">
        <v>44967</v>
      </c>
      <c r="E37" s="1" t="n">
        <v>46312</v>
      </c>
      <c r="F37" t="inlineStr">
        <is>
          <t>SKÅNE LÄN</t>
        </is>
      </c>
      <c r="G37" t="inlineStr">
        <is>
          <t>HÖRBY</t>
        </is>
      </c>
      <c r="I37" t="n">
        <v>173.2</v>
      </c>
      <c r="J37" t="n">
        <v>2</v>
      </c>
      <c r="K37" t="n">
        <v>3</v>
      </c>
      <c r="L37" t="n">
        <v>5</v>
      </c>
      <c r="M37" t="n">
        <v>0</v>
      </c>
      <c r="N37" t="n">
        <v>2</v>
      </c>
      <c r="O37" t="n">
        <v>0</v>
      </c>
      <c r="P37" t="n">
        <v>0</v>
      </c>
      <c r="Q37" t="n">
        <v>7</v>
      </c>
      <c r="R37" t="n">
        <v>2</v>
      </c>
      <c r="S37" t="n">
        <v>11</v>
      </c>
      <c r="T37" t="n">
        <v>17</v>
      </c>
      <c r="U37" t="n">
        <v>8</v>
      </c>
      <c r="V37" s="2" t="inlineStr">
        <is>
          <t>Ask
Skogsalm
Atheta fungivora
Dvärgbägarlav
Grönsångare
Svart skogssnigel
Sårläka
Liten stinksvamp
Skogsbräsma
Västlig hakmossa
Kopparödla</t>
        </is>
      </c>
      <c r="W37">
        <f>HYPERLINK("https://klasma.github.io/Logging_1266/artfynd/S 534-2023 artfynd.xlsx", "S 534-2023")</f>
        <v/>
      </c>
      <c r="X37">
        <f>HYPERLINK("https://klasma.github.io/Logging_1266/kartor/S 534-2023 karta.png", "S 534-2023")</f>
        <v/>
      </c>
      <c r="Y37">
        <f>HYPERLINK("https://klasma.github.io/Logging_1266/kartor_geotiff/S 534-2023 georefererad karta.tif", "S 534-2023")</f>
        <v/>
      </c>
      <c r="AA37">
        <f>HYPERLINK("https://klasma.github.io/Logging_1266/klagomål/S 534-2023 FSC-klagomål.docx", "S 534-2023")</f>
        <v/>
      </c>
      <c r="AB37">
        <f>HYPERLINK("https://klasma.github.io/Logging_1266/klagomålsmail/S 534-2023 FSC-klagomål mail.docx", "S 534-2023")</f>
        <v/>
      </c>
      <c r="AC37">
        <f>HYPERLINK("https://klasma.github.io/Logging_1266/tillsyn/S 534-2023 tillsynsbegäran.docx", "S 534-2023")</f>
        <v/>
      </c>
      <c r="AD37">
        <f>HYPERLINK("https://klasma.github.io/Logging_1266/tillsynsmail/S 534-2023 tillsynsbegäran mail.docx", "S 534-2023")</f>
        <v/>
      </c>
      <c r="AE37">
        <f>HYPERLINK("https://klasma.github.io/Logging_1266/fåglar/S 534-2023 prioriterade fågelarter.docx", "S 534-2023")</f>
        <v/>
      </c>
    </row>
    <row r="38" ht="15" customHeight="1">
      <c r="A38" t="inlineStr">
        <is>
          <t>S 8845-2021</t>
        </is>
      </c>
      <c r="B38" t="inlineStr">
        <is>
          <t>samrådsanmälan</t>
        </is>
      </c>
      <c r="C38" t="inlineStr">
        <is>
          <t>Askåterföring</t>
        </is>
      </c>
      <c r="D38" s="1" t="n">
        <v>44503</v>
      </c>
      <c r="E38" s="1" t="n">
        <v>46312</v>
      </c>
      <c r="F38" t="inlineStr">
        <is>
          <t>SKÅNE LÄN</t>
        </is>
      </c>
      <c r="G38" t="inlineStr">
        <is>
          <t>HÖÖR</t>
        </is>
      </c>
      <c r="I38" t="n">
        <v>53.3</v>
      </c>
      <c r="J38" t="n">
        <v>2</v>
      </c>
      <c r="K38" t="n">
        <v>3</v>
      </c>
      <c r="L38" t="n">
        <v>5</v>
      </c>
      <c r="M38" t="n">
        <v>1</v>
      </c>
      <c r="N38" t="n">
        <v>1</v>
      </c>
      <c r="O38" t="n">
        <v>0</v>
      </c>
      <c r="P38" t="n">
        <v>0</v>
      </c>
      <c r="Q38" t="n">
        <v>7</v>
      </c>
      <c r="R38" t="n">
        <v>2</v>
      </c>
      <c r="S38" t="n">
        <v>11</v>
      </c>
      <c r="T38" t="n">
        <v>14</v>
      </c>
      <c r="U38" t="n">
        <v>14</v>
      </c>
      <c r="V38" s="2" t="inlineStr">
        <is>
          <t>Ask
Småvänderot
Engelskt björnbär
Grönsångare
Gullpudra
Småjungfrukam
Svinrot
Dvärghäxört
Kambräken
Skogsbräsma
Skogsduva</t>
        </is>
      </c>
      <c r="W38">
        <f>HYPERLINK("https://klasma.github.io/Logging_1267/artfynd/S 8845-2021 artfynd.xlsx", "S 8845-2021")</f>
        <v/>
      </c>
      <c r="X38">
        <f>HYPERLINK("https://klasma.github.io/Logging_1267/kartor/S 8845-2021 karta.png", "S 8845-2021")</f>
        <v/>
      </c>
      <c r="Y38">
        <f>HYPERLINK("https://klasma.github.io/Logging_1267/kartor_geotiff/S 8845-2021 georefererad karta.tif", "S 8845-2021")</f>
        <v/>
      </c>
      <c r="AA38">
        <f>HYPERLINK("https://klasma.github.io/Logging_1267/klagomål/S 8845-2021 FSC-klagomål.docx", "S 8845-2021")</f>
        <v/>
      </c>
      <c r="AB38">
        <f>HYPERLINK("https://klasma.github.io/Logging_1267/klagomålsmail/S 8845-2021 FSC-klagomål mail.docx", "S 8845-2021")</f>
        <v/>
      </c>
      <c r="AC38">
        <f>HYPERLINK("https://klasma.github.io/Logging_1267/tillsyn/S 8845-2021 tillsynsbegäran.docx", "S 8845-2021")</f>
        <v/>
      </c>
      <c r="AD38">
        <f>HYPERLINK("https://klasma.github.io/Logging_1267/tillsynsmail/S 8845-2021 tillsynsbegäran mail.docx", "S 8845-2021")</f>
        <v/>
      </c>
      <c r="AE38">
        <f>HYPERLINK("https://klasma.github.io/Logging_1267/fåglar/S 8845-2021 prioriterade fågelarter.docx", "S 8845-2021")</f>
        <v/>
      </c>
    </row>
    <row r="39" ht="15" customHeight="1">
      <c r="A39" t="inlineStr">
        <is>
          <t>A 24647-2022</t>
        </is>
      </c>
      <c r="B39" t="inlineStr">
        <is>
          <t>avverkningsanmälan</t>
        </is>
      </c>
      <c r="C39" t="inlineStr">
        <is>
          <t>Avverkning för annat ändamål</t>
        </is>
      </c>
      <c r="D39" s="1" t="n">
        <v>44727</v>
      </c>
      <c r="E39" s="1" t="n">
        <v>46312</v>
      </c>
      <c r="F39" t="inlineStr">
        <is>
          <t>SKÅNE LÄN</t>
        </is>
      </c>
      <c r="G39" t="inlineStr">
        <is>
          <t>HÖRBY</t>
        </is>
      </c>
      <c r="I39" t="n">
        <v>0.9</v>
      </c>
      <c r="J39" t="n">
        <v>10</v>
      </c>
      <c r="K39" t="n">
        <v>0</v>
      </c>
      <c r="L39" t="n">
        <v>3</v>
      </c>
      <c r="M39" t="n">
        <v>1</v>
      </c>
      <c r="N39" t="n">
        <v>0</v>
      </c>
      <c r="O39" t="n">
        <v>0</v>
      </c>
      <c r="P39" t="n">
        <v>0</v>
      </c>
      <c r="Q39" t="n">
        <v>4</v>
      </c>
      <c r="R39" t="n">
        <v>1</v>
      </c>
      <c r="S39" t="n">
        <v>10</v>
      </c>
      <c r="T39" t="n">
        <v>16</v>
      </c>
      <c r="U39" t="n">
        <v>6</v>
      </c>
      <c r="V39" s="2" t="inlineStr">
        <is>
          <t>Sydpipistrell
Dammfladdermus
Nordfladdermus
Sydfladdermus
Dvärgpipistrell
Gråskimlig fladdermus
Mindre brunfladdermus
Större brunfladdermus
Trollpipistrell
Vattenfladdermus</t>
        </is>
      </c>
      <c r="W39">
        <f>HYPERLINK("https://klasma.github.io/Logging_1266/artfynd/A 24647-2022 artfynd.xlsx", "A 24647-2022")</f>
        <v/>
      </c>
      <c r="X39">
        <f>HYPERLINK("https://klasma.github.io/Logging_1266/kartor/A 24647-2022 karta.png", "A 24647-2022")</f>
        <v/>
      </c>
      <c r="Y39">
        <f>HYPERLINK("https://klasma.github.io/Logging_1266/kartor_geotiff/A 24647-2022 georefererad karta.tif", "A 24647-2022")</f>
        <v/>
      </c>
      <c r="AA39">
        <f>HYPERLINK("https://klasma.github.io/Logging_1266/klagomål/A 24647-2022 FSC-klagomål.docx", "A 24647-2022")</f>
        <v/>
      </c>
      <c r="AB39">
        <f>HYPERLINK("https://klasma.github.io/Logging_1266/klagomålsmail/A 24647-2022 FSC-klagomål mail.docx", "A 24647-2022")</f>
        <v/>
      </c>
      <c r="AC39">
        <f>HYPERLINK("https://klasma.github.io/Logging_1266/tillsyn/A 24647-2022 tillsynsbegäran.docx", "A 24647-2022")</f>
        <v/>
      </c>
      <c r="AD39">
        <f>HYPERLINK("https://klasma.github.io/Logging_1266/tillsynsmail/A 24647-2022 tillsynsbegäran mail.docx", "A 24647-2022")</f>
        <v/>
      </c>
    </row>
    <row r="40" ht="15" customHeight="1">
      <c r="A40" t="inlineStr">
        <is>
          <t>A 2719-2025</t>
        </is>
      </c>
      <c r="B40" t="inlineStr">
        <is>
          <t>avverkningsanmälan</t>
        </is>
      </c>
      <c r="C40" t="inlineStr">
        <is>
          <t>Avverkning för annat ändamål</t>
        </is>
      </c>
      <c r="D40" s="1" t="n">
        <v>45677</v>
      </c>
      <c r="E40" s="1" t="n">
        <v>46312</v>
      </c>
      <c r="F40" t="inlineStr">
        <is>
          <t>SKÅNE LÄN</t>
        </is>
      </c>
      <c r="G40" t="inlineStr">
        <is>
          <t>KRISTIANSTAD</t>
        </is>
      </c>
      <c r="I40" t="n">
        <v>7</v>
      </c>
      <c r="J40" t="n">
        <v>6</v>
      </c>
      <c r="K40" t="n">
        <v>0</v>
      </c>
      <c r="L40" t="n">
        <v>4</v>
      </c>
      <c r="M40" t="n">
        <v>2</v>
      </c>
      <c r="N40" t="n">
        <v>2</v>
      </c>
      <c r="O40" t="n">
        <v>0</v>
      </c>
      <c r="P40" t="n">
        <v>0</v>
      </c>
      <c r="Q40" t="n">
        <v>8</v>
      </c>
      <c r="R40" t="n">
        <v>4</v>
      </c>
      <c r="S40" t="n">
        <v>10</v>
      </c>
      <c r="T40" t="n">
        <v>35</v>
      </c>
      <c r="U40" t="n">
        <v>23</v>
      </c>
      <c r="V40" s="2" t="inlineStr">
        <is>
          <t>Backsvala
Grå stjälkröksvamp
Backsippa
Hedblomster
Backtimjan
Etternässla
Rapssandbi
Sandnejlika
Skogsödla
Gullviva</t>
        </is>
      </c>
      <c r="W40">
        <f>HYPERLINK("https://klasma.github.io/Logging_1290/artfynd/A 2719-2025 artfynd.xlsx", "A 2719-2025")</f>
        <v/>
      </c>
      <c r="X40">
        <f>HYPERLINK("https://klasma.github.io/Logging_1290/kartor/A 2719-2025 karta.png", "A 2719-2025")</f>
        <v/>
      </c>
      <c r="Y40">
        <f>HYPERLINK("https://klasma.github.io/Logging_1290/kartor_geotiff/A 2719-2025 georefererad karta.tif", "A 2719-2025")</f>
        <v/>
      </c>
      <c r="AA40">
        <f>HYPERLINK("https://klasma.github.io/Logging_1290/klagomål/A 2719-2025 FSC-klagomål.docx", "A 2719-2025")</f>
        <v/>
      </c>
      <c r="AB40">
        <f>HYPERLINK("https://klasma.github.io/Logging_1290/klagomålsmail/A 2719-2025 FSC-klagomål mail.docx", "A 2719-2025")</f>
        <v/>
      </c>
      <c r="AC40">
        <f>HYPERLINK("https://klasma.github.io/Logging_1290/tillsyn/A 2719-2025 tillsynsbegäran.docx", "A 2719-2025")</f>
        <v/>
      </c>
      <c r="AD40">
        <f>HYPERLINK("https://klasma.github.io/Logging_1290/tillsynsmail/A 2719-2025 tillsynsbegäran mail.docx", "A 2719-2025")</f>
        <v/>
      </c>
    </row>
    <row r="41" ht="15" customHeight="1">
      <c r="A41" t="inlineStr">
        <is>
          <t>A 36984-2026</t>
        </is>
      </c>
      <c r="B41" t="inlineStr">
        <is>
          <t>avverkningsanmälan</t>
        </is>
      </c>
      <c r="C41" t="inlineStr">
        <is>
          <t>Avverkning för annat ändamål</t>
        </is>
      </c>
      <c r="D41" s="1" t="n">
        <v>46273</v>
      </c>
      <c r="E41" s="1" t="n">
        <v>46312</v>
      </c>
      <c r="F41" t="inlineStr">
        <is>
          <t>SKÅNE LÄN</t>
        </is>
      </c>
      <c r="G41" t="inlineStr">
        <is>
          <t>LUND</t>
        </is>
      </c>
      <c r="I41" t="n">
        <v>1.2</v>
      </c>
      <c r="J41" t="n">
        <v>3</v>
      </c>
      <c r="K41" t="n">
        <v>0</v>
      </c>
      <c r="L41" t="n">
        <v>5</v>
      </c>
      <c r="M41" t="n">
        <v>2</v>
      </c>
      <c r="N41" t="n">
        <v>2</v>
      </c>
      <c r="O41" t="n">
        <v>0</v>
      </c>
      <c r="P41" t="n">
        <v>0</v>
      </c>
      <c r="Q41" t="n">
        <v>9</v>
      </c>
      <c r="R41" t="n">
        <v>4</v>
      </c>
      <c r="S41" t="n">
        <v>10</v>
      </c>
      <c r="T41" t="n">
        <v>36</v>
      </c>
      <c r="U41" t="n">
        <v>0</v>
      </c>
      <c r="V41" s="2" t="inlineStr">
        <is>
          <t>Klubbfibbla
Åkerfibbla
Hedblomster
Luktvädd
Flentimotej
Sandnejlika
Vitfläckig guldvinge
Ängsmetallvinge
Åkerväddsantennmal
Kopparödla</t>
        </is>
      </c>
      <c r="W41">
        <f>HYPERLINK("https://klasma.github.io/Logging_1281/artfynd/A 36984-2026 artfynd.xlsx", "A 36984-2026")</f>
        <v/>
      </c>
      <c r="X41">
        <f>HYPERLINK("https://klasma.github.io/Logging_1281/kartor/A 36984-2026 karta.png", "A 36984-2026")</f>
        <v/>
      </c>
      <c r="Y41">
        <f>HYPERLINK("https://klasma.github.io/Logging_1281/kartor_geotiff/A 36984-2026 georefererad karta.tif", "A 36984-2026")</f>
        <v/>
      </c>
      <c r="AA41">
        <f>HYPERLINK("https://klasma.github.io/Logging_1281/klagomål/A 36984-2026 FSC-klagomål.docx", "A 36984-2026")</f>
        <v/>
      </c>
      <c r="AB41">
        <f>HYPERLINK("https://klasma.github.io/Logging_1281/klagomålsmail/A 36984-2026 FSC-klagomål mail.docx", "A 36984-2026")</f>
        <v/>
      </c>
      <c r="AC41">
        <f>HYPERLINK("https://klasma.github.io/Logging_1281/tillsyn/A 36984-2026 tillsynsbegäran.docx", "A 36984-2026")</f>
        <v/>
      </c>
      <c r="AD41">
        <f>HYPERLINK("https://klasma.github.io/Logging_1281/tillsynsmail/A 36984-2026 tillsynsbegäran mail.docx", "A 36984-2026")</f>
        <v/>
      </c>
    </row>
    <row r="42" ht="15" customHeight="1">
      <c r="A42" t="inlineStr">
        <is>
          <t>S 1099-2024</t>
        </is>
      </c>
      <c r="B42" t="inlineStr">
        <is>
          <t>samrådsanmälan</t>
        </is>
      </c>
      <c r="C42" t="inlineStr">
        <is>
          <t>Askåterföring</t>
        </is>
      </c>
      <c r="D42" s="1" t="n">
        <v>45391</v>
      </c>
      <c r="E42" s="1" t="n">
        <v>46312</v>
      </c>
      <c r="F42" t="inlineStr">
        <is>
          <t>SKÅNE LÄN</t>
        </is>
      </c>
      <c r="G42" t="inlineStr">
        <is>
          <t>PERSTORP</t>
        </is>
      </c>
      <c r="I42" t="n">
        <v>51.5</v>
      </c>
      <c r="J42" t="n">
        <v>4</v>
      </c>
      <c r="K42" t="n">
        <v>6</v>
      </c>
      <c r="L42" t="n">
        <v>0</v>
      </c>
      <c r="M42" t="n">
        <v>0</v>
      </c>
      <c r="N42" t="n">
        <v>0</v>
      </c>
      <c r="O42" t="n">
        <v>0</v>
      </c>
      <c r="P42" t="n">
        <v>0</v>
      </c>
      <c r="Q42" t="n">
        <v>0</v>
      </c>
      <c r="R42" t="n">
        <v>0</v>
      </c>
      <c r="S42" t="n">
        <v>10</v>
      </c>
      <c r="T42" t="n">
        <v>20</v>
      </c>
      <c r="U42" t="n">
        <v>0</v>
      </c>
      <c r="V42" s="2" t="inlineStr">
        <is>
          <t>Blåmossa
Brandticka
Guldlockmossa
Rostfläck
Strutbräken
Västlig hakmossa
Spillkråka
Kopparödla
Vanlig padda
Revlummer</t>
        </is>
      </c>
      <c r="W42">
        <f>HYPERLINK("https://klasma.github.io/Logging_1275/artfynd/S 1099-2024 artfynd.xlsx", "S 1099-2024")</f>
        <v/>
      </c>
      <c r="X42">
        <f>HYPERLINK("https://klasma.github.io/Logging_1275/kartor/S 1099-2024 karta.png", "S 1099-2024")</f>
        <v/>
      </c>
      <c r="Y42">
        <f>HYPERLINK("https://klasma.github.io/Logging_1275/kartor_geotiff/S 1099-2024 georefererad karta.tif", "S 1099-2024")</f>
        <v/>
      </c>
      <c r="AA42">
        <f>HYPERLINK("https://klasma.github.io/Logging_1275/klagomål/S 1099-2024 FSC-klagomål.docx", "S 1099-2024")</f>
        <v/>
      </c>
      <c r="AB42">
        <f>HYPERLINK("https://klasma.github.io/Logging_1275/klagomålsmail/S 1099-2024 FSC-klagomål mail.docx", "S 1099-2024")</f>
        <v/>
      </c>
      <c r="AC42">
        <f>HYPERLINK("https://klasma.github.io/Logging_1275/tillsyn/S 1099-2024 tillsynsbegäran.docx", "S 1099-2024")</f>
        <v/>
      </c>
      <c r="AD42">
        <f>HYPERLINK("https://klasma.github.io/Logging_1275/tillsynsmail/S 1099-2024 tillsynsbegäran mail.docx", "S 1099-2024")</f>
        <v/>
      </c>
      <c r="AE42">
        <f>HYPERLINK("https://klasma.github.io/Logging_1275/fåglar/S 1099-2024 prioriterade fågelarter.docx", "S 1099-2024")</f>
        <v/>
      </c>
    </row>
    <row r="43" ht="15" customHeight="1">
      <c r="A43" t="inlineStr">
        <is>
          <t>S 10270-2021</t>
        </is>
      </c>
      <c r="B43" t="inlineStr">
        <is>
          <t>samrådsanmälan</t>
        </is>
      </c>
      <c r="C43" t="inlineStr">
        <is>
          <t>Åtgärd i nyckelbiotop</t>
        </is>
      </c>
      <c r="D43" s="1" t="n">
        <v>44544</v>
      </c>
      <c r="E43" s="1" t="n">
        <v>46312</v>
      </c>
      <c r="F43" t="inlineStr">
        <is>
          <t>SKÅNE LÄN</t>
        </is>
      </c>
      <c r="G43" t="inlineStr">
        <is>
          <t>SJÖBO</t>
        </is>
      </c>
      <c r="I43" t="n">
        <v>10.3</v>
      </c>
      <c r="J43" t="n">
        <v>7</v>
      </c>
      <c r="K43" t="n">
        <v>0</v>
      </c>
      <c r="L43" t="n">
        <v>4</v>
      </c>
      <c r="M43" t="n">
        <v>1</v>
      </c>
      <c r="N43" t="n">
        <v>1</v>
      </c>
      <c r="O43" t="n">
        <v>0</v>
      </c>
      <c r="P43" t="n">
        <v>0</v>
      </c>
      <c r="Q43" t="n">
        <v>6</v>
      </c>
      <c r="R43" t="n">
        <v>2</v>
      </c>
      <c r="S43" t="n">
        <v>10</v>
      </c>
      <c r="T43" t="n">
        <v>19</v>
      </c>
      <c r="U43" t="n">
        <v>8</v>
      </c>
      <c r="V43" s="2" t="inlineStr">
        <is>
          <t>Ask
Mulmknäppare
Brunlångöra
Fransfladdermus
Nordfladdermus
Oxtungssvamp
Dvärgpipistrell
Större brunfladdermus
Trollpipistrell
Vattenfladdermus</t>
        </is>
      </c>
      <c r="W43">
        <f>HYPERLINK("https://klasma.github.io/Logging_1265/artfynd/S 10270-2021 artfynd.xlsx", "S 10270-2021")</f>
        <v/>
      </c>
      <c r="X43">
        <f>HYPERLINK("https://klasma.github.io/Logging_1265/kartor/S 10270-2021 karta.png", "S 10270-2021")</f>
        <v/>
      </c>
      <c r="Y43">
        <f>HYPERLINK("https://klasma.github.io/Logging_1265/kartor_geotiff/S 10270-2021 georefererad karta.tif", "S 10270-2021")</f>
        <v/>
      </c>
      <c r="AA43">
        <f>HYPERLINK("https://klasma.github.io/Logging_1265/klagomål/S 10270-2021 FSC-klagomål.docx", "S 10270-2021")</f>
        <v/>
      </c>
      <c r="AB43">
        <f>HYPERLINK("https://klasma.github.io/Logging_1265/klagomålsmail/S 10270-2021 FSC-klagomål mail.docx", "S 10270-2021")</f>
        <v/>
      </c>
      <c r="AC43">
        <f>HYPERLINK("https://klasma.github.io/Logging_1265/tillsyn/S 10270-2021 tillsynsbegäran.docx", "S 10270-2021")</f>
        <v/>
      </c>
      <c r="AD43">
        <f>HYPERLINK("https://klasma.github.io/Logging_1265/tillsynsmail/S 10270-2021 tillsynsbegäran mail.docx", "S 10270-2021")</f>
        <v/>
      </c>
    </row>
    <row r="44" ht="15" customHeight="1">
      <c r="A44" t="inlineStr">
        <is>
          <t>S 1930-2024</t>
        </is>
      </c>
      <c r="B44" t="inlineStr">
        <is>
          <t>samrådsanmälan</t>
        </is>
      </c>
      <c r="C44" t="inlineStr">
        <is>
          <t>Askåterföring</t>
        </is>
      </c>
      <c r="D44" s="1" t="n">
        <v>45443</v>
      </c>
      <c r="E44" s="1" t="n">
        <v>46312</v>
      </c>
      <c r="F44" t="inlineStr">
        <is>
          <t>SKÅNE LÄN</t>
        </is>
      </c>
      <c r="G44" t="inlineStr">
        <is>
          <t>HÄSSLEHOLM</t>
        </is>
      </c>
      <c r="I44" t="n">
        <v>26.9</v>
      </c>
      <c r="J44" t="n">
        <v>0</v>
      </c>
      <c r="K44" t="n">
        <v>5</v>
      </c>
      <c r="L44" t="n">
        <v>4</v>
      </c>
      <c r="M44" t="n">
        <v>1</v>
      </c>
      <c r="N44" t="n">
        <v>0</v>
      </c>
      <c r="O44" t="n">
        <v>0</v>
      </c>
      <c r="P44" t="n">
        <v>0</v>
      </c>
      <c r="Q44" t="n">
        <v>5</v>
      </c>
      <c r="R44" t="n">
        <v>1</v>
      </c>
      <c r="S44" t="n">
        <v>10</v>
      </c>
      <c r="T44" t="n">
        <v>22</v>
      </c>
      <c r="U44" t="n">
        <v>22</v>
      </c>
      <c r="V44" s="2" t="inlineStr">
        <is>
          <t>Ädelkronlav
Bokvårtlav
Stiftklotterlav
Sydlig sotticka
Violettgrå porlav
Fällmossa
Havstulpanlav
Klippfrullania
Kornig nållav
Platt fjädermossa</t>
        </is>
      </c>
      <c r="W44">
        <f>HYPERLINK("https://klasma.github.io/Logging_1293/artfynd/S 1930-2024 artfynd.xlsx", "S 1930-2024")</f>
        <v/>
      </c>
      <c r="X44">
        <f>HYPERLINK("https://klasma.github.io/Logging_1293/kartor/S 1930-2024 karta.png", "S 1930-2024")</f>
        <v/>
      </c>
      <c r="Y44">
        <f>HYPERLINK("https://klasma.github.io/Logging_1293/kartor_geotiff/S 1930-2024 georefererad karta.tif", "S 1930-2024")</f>
        <v/>
      </c>
      <c r="AA44">
        <f>HYPERLINK("https://klasma.github.io/Logging_1293/klagomål/S 1930-2024 FSC-klagomål.docx", "S 1930-2024")</f>
        <v/>
      </c>
      <c r="AB44">
        <f>HYPERLINK("https://klasma.github.io/Logging_1293/klagomålsmail/S 1930-2024 FSC-klagomål mail.docx", "S 1930-2024")</f>
        <v/>
      </c>
      <c r="AC44">
        <f>HYPERLINK("https://klasma.github.io/Logging_1293/tillsyn/S 1930-2024 tillsynsbegäran.docx", "S 1930-2024")</f>
        <v/>
      </c>
      <c r="AD44">
        <f>HYPERLINK("https://klasma.github.io/Logging_1293/tillsynsmail/S 1930-2024 tillsynsbegäran mail.docx", "S 1930-2024")</f>
        <v/>
      </c>
    </row>
    <row r="45" ht="15" customHeight="1">
      <c r="A45" t="inlineStr">
        <is>
          <t>S 864-2026</t>
        </is>
      </c>
      <c r="B45" t="inlineStr">
        <is>
          <t>samrådsanmälan</t>
        </is>
      </c>
      <c r="C45" t="inlineStr">
        <is>
          <t>Skogsgödsling</t>
        </is>
      </c>
      <c r="D45" s="1" t="n">
        <v>46106</v>
      </c>
      <c r="E45" s="1" t="n">
        <v>46312</v>
      </c>
      <c r="F45" t="inlineStr">
        <is>
          <t>SKÅNE LÄN</t>
        </is>
      </c>
      <c r="G45" t="inlineStr">
        <is>
          <t>ÄNGELHOLM</t>
        </is>
      </c>
      <c r="I45" t="n">
        <v>4.2</v>
      </c>
      <c r="J45" t="n">
        <v>2</v>
      </c>
      <c r="K45" t="n">
        <v>3</v>
      </c>
      <c r="L45" t="n">
        <v>2</v>
      </c>
      <c r="M45" t="n">
        <v>4</v>
      </c>
      <c r="N45" t="n">
        <v>0</v>
      </c>
      <c r="O45" t="n">
        <v>0</v>
      </c>
      <c r="P45" t="n">
        <v>0</v>
      </c>
      <c r="Q45" t="n">
        <v>6</v>
      </c>
      <c r="R45" t="n">
        <v>4</v>
      </c>
      <c r="S45" t="n">
        <v>10</v>
      </c>
      <c r="T45" t="n">
        <v>24</v>
      </c>
      <c r="U45" t="n">
        <v>1</v>
      </c>
      <c r="V45" s="2" t="inlineStr">
        <is>
          <t>Skirmossa
Småvänderot
Strandviol
Vedlavklubba
Dunmossa
Flikbålmossa
Blåmossa
Skuggmossa
Västlig hakmossa
Äkta lopplummer</t>
        </is>
      </c>
      <c r="W45">
        <f>HYPERLINK("https://klasma.github.io/Logging_1292/artfynd/S 864-2026 artfynd.xlsx", "S 864-2026")</f>
        <v/>
      </c>
      <c r="X45">
        <f>HYPERLINK("https://klasma.github.io/Logging_1292/kartor/S 864-2026 karta.png", "S 864-2026")</f>
        <v/>
      </c>
      <c r="Y45">
        <f>HYPERLINK("https://klasma.github.io/Logging_1292/kartor_geotiff/S 864-2026 georefererad karta.tif", "S 864-2026")</f>
        <v/>
      </c>
      <c r="AA45">
        <f>HYPERLINK("https://klasma.github.io/Logging_1292/klagomål/S 864-2026 FSC-klagomål.docx", "S 864-2026")</f>
        <v/>
      </c>
      <c r="AB45">
        <f>HYPERLINK("https://klasma.github.io/Logging_1292/klagomålsmail/S 864-2026 FSC-klagomål mail.docx", "S 864-2026")</f>
        <v/>
      </c>
      <c r="AC45">
        <f>HYPERLINK("https://klasma.github.io/Logging_1292/tillsyn/S 864-2026 tillsynsbegäran.docx", "S 864-2026")</f>
        <v/>
      </c>
      <c r="AD45">
        <f>HYPERLINK("https://klasma.github.io/Logging_1292/tillsynsmail/S 864-2026 tillsynsbegäran mail.docx", "S 864-2026")</f>
        <v/>
      </c>
    </row>
    <row r="46" ht="15" customHeight="1">
      <c r="A46" t="inlineStr">
        <is>
          <t>A 60427-2022</t>
        </is>
      </c>
      <c r="B46" t="inlineStr">
        <is>
          <t>avverkningsanmälan</t>
        </is>
      </c>
      <c r="C46" t="inlineStr">
        <is>
          <t>Föryngringsavverkning</t>
        </is>
      </c>
      <c r="D46" s="1" t="n">
        <v>44911</v>
      </c>
      <c r="E46" s="1" t="n">
        <v>46312</v>
      </c>
      <c r="F46" t="inlineStr">
        <is>
          <t>SKÅNE LÄN</t>
        </is>
      </c>
      <c r="G46" t="inlineStr">
        <is>
          <t>HÖÖR</t>
        </is>
      </c>
      <c r="I46" t="n">
        <v>4.1</v>
      </c>
      <c r="J46" t="n">
        <v>1</v>
      </c>
      <c r="K46" t="n">
        <v>5</v>
      </c>
      <c r="L46" t="n">
        <v>3</v>
      </c>
      <c r="M46" t="n">
        <v>0</v>
      </c>
      <c r="N46" t="n">
        <v>0</v>
      </c>
      <c r="O46" t="n">
        <v>0</v>
      </c>
      <c r="P46" t="n">
        <v>0</v>
      </c>
      <c r="Q46" t="n">
        <v>3</v>
      </c>
      <c r="R46" t="n">
        <v>0</v>
      </c>
      <c r="S46" t="n">
        <v>9</v>
      </c>
      <c r="T46" t="n">
        <v>12</v>
      </c>
      <c r="U46" t="n">
        <v>12</v>
      </c>
      <c r="V46" s="2" t="inlineStr">
        <is>
          <t>Bokvårtlav
Stiftklotterlav
Vårärt
Klippfrullania
Kransrams
Myskmadra
Trädporella
Västlig hakmossa
Blåsippa</t>
        </is>
      </c>
      <c r="W46">
        <f>HYPERLINK("https://klasma.github.io/Logging_1267/artfynd/A 60427-2022 artfynd.xlsx", "A 60427-2022")</f>
        <v/>
      </c>
      <c r="X46">
        <f>HYPERLINK("https://klasma.github.io/Logging_1267/kartor/A 60427-2022 karta.png", "A 60427-2022")</f>
        <v/>
      </c>
      <c r="Y46">
        <f>HYPERLINK("https://klasma.github.io/Logging_1267/kartor_geotiff/A 60427-2022 georefererad karta.tif", "A 60427-2022")</f>
        <v/>
      </c>
      <c r="AA46">
        <f>HYPERLINK("https://klasma.github.io/Logging_1267/klagomål/A 60427-2022 FSC-klagomål.docx", "A 60427-2022")</f>
        <v/>
      </c>
      <c r="AB46">
        <f>HYPERLINK("https://klasma.github.io/Logging_1267/klagomålsmail/A 60427-2022 FSC-klagomål mail.docx", "A 60427-2022")</f>
        <v/>
      </c>
      <c r="AC46">
        <f>HYPERLINK("https://klasma.github.io/Logging_1267/tillsyn/A 60427-2022 tillsynsbegäran.docx", "A 60427-2022")</f>
        <v/>
      </c>
      <c r="AD46">
        <f>HYPERLINK("https://klasma.github.io/Logging_1267/tillsynsmail/A 60427-2022 tillsynsbegäran mail.docx", "A 60427-2022")</f>
        <v/>
      </c>
    </row>
    <row r="47" ht="15" customHeight="1">
      <c r="A47" t="inlineStr">
        <is>
          <t>A 419-2025</t>
        </is>
      </c>
      <c r="B47" t="inlineStr">
        <is>
          <t>avverkningsanmälan</t>
        </is>
      </c>
      <c r="C47" t="inlineStr">
        <is>
          <t>Avverkning för annat ändamål</t>
        </is>
      </c>
      <c r="D47" s="1" t="n">
        <v>45663</v>
      </c>
      <c r="E47" s="1" t="n">
        <v>46312</v>
      </c>
      <c r="F47" t="inlineStr">
        <is>
          <t>SKÅNE LÄN</t>
        </is>
      </c>
      <c r="G47" t="inlineStr">
        <is>
          <t>KRISTIANSTAD</t>
        </is>
      </c>
      <c r="I47" t="n">
        <v>14.5</v>
      </c>
      <c r="J47" t="n">
        <v>5</v>
      </c>
      <c r="K47" t="n">
        <v>1</v>
      </c>
      <c r="L47" t="n">
        <v>3</v>
      </c>
      <c r="M47" t="n">
        <v>1</v>
      </c>
      <c r="N47" t="n">
        <v>1</v>
      </c>
      <c r="O47" t="n">
        <v>0</v>
      </c>
      <c r="P47" t="n">
        <v>0</v>
      </c>
      <c r="Q47" t="n">
        <v>5</v>
      </c>
      <c r="R47" t="n">
        <v>2</v>
      </c>
      <c r="S47" t="n">
        <v>9</v>
      </c>
      <c r="T47" t="n">
        <v>10</v>
      </c>
      <c r="U47" t="n">
        <v>0</v>
      </c>
      <c r="V47" s="2" t="inlineStr">
        <is>
          <t>Vit stork
Plattsäv
Gulsparv
Luddfingerört
Vårstarr
Murgröna
Näktergal
Vanlig groda
Gullviva</t>
        </is>
      </c>
      <c r="W47">
        <f>HYPERLINK("https://klasma.github.io/Logging_1290/artfynd/A 419-2025 artfynd.xlsx", "A 419-2025")</f>
        <v/>
      </c>
      <c r="X47">
        <f>HYPERLINK("https://klasma.github.io/Logging_1290/kartor/A 419-2025 karta.png", "A 419-2025")</f>
        <v/>
      </c>
      <c r="Y47">
        <f>HYPERLINK("https://klasma.github.io/Logging_1290/kartor_geotiff/A 419-2025 georefererad karta.tif", "A 419-2025")</f>
        <v/>
      </c>
      <c r="AA47">
        <f>HYPERLINK("https://klasma.github.io/Logging_1290/klagomål/A 419-2025 FSC-klagomål.docx", "A 419-2025")</f>
        <v/>
      </c>
      <c r="AB47">
        <f>HYPERLINK("https://klasma.github.io/Logging_1290/klagomålsmail/A 419-2025 FSC-klagomål mail.docx", "A 419-2025")</f>
        <v/>
      </c>
      <c r="AC47">
        <f>HYPERLINK("https://klasma.github.io/Logging_1290/tillsyn/A 419-2025 tillsynsbegäran.docx", "A 419-2025")</f>
        <v/>
      </c>
      <c r="AD47">
        <f>HYPERLINK("https://klasma.github.io/Logging_1290/tillsynsmail/A 419-2025 tillsynsbegäran mail.docx", "A 419-2025")</f>
        <v/>
      </c>
      <c r="AE47">
        <f>HYPERLINK("https://klasma.github.io/Logging_1290/fåglar/A 419-2025 prioriterade fågelarter.docx", "A 419-2025")</f>
        <v/>
      </c>
    </row>
    <row r="48" ht="15" customHeight="1">
      <c r="A48" t="inlineStr">
        <is>
          <t>A 70984-2021</t>
        </is>
      </c>
      <c r="B48" t="inlineStr">
        <is>
          <t>avverkningsanmälan</t>
        </is>
      </c>
      <c r="C48" t="inlineStr">
        <is>
          <t>Föryngringsavverkning</t>
        </is>
      </c>
      <c r="D48" s="1" t="n">
        <v>44538</v>
      </c>
      <c r="E48" s="1" t="n">
        <v>46312</v>
      </c>
      <c r="F48" t="inlineStr">
        <is>
          <t>SKÅNE LÄN</t>
        </is>
      </c>
      <c r="G48" t="inlineStr">
        <is>
          <t>HÖÖR</t>
        </is>
      </c>
      <c r="I48" t="n">
        <v>1.2</v>
      </c>
      <c r="J48" t="n">
        <v>9</v>
      </c>
      <c r="K48" t="n">
        <v>0</v>
      </c>
      <c r="L48" t="n">
        <v>4</v>
      </c>
      <c r="M48" t="n">
        <v>0</v>
      </c>
      <c r="N48" t="n">
        <v>0</v>
      </c>
      <c r="O48" t="n">
        <v>0</v>
      </c>
      <c r="P48" t="n">
        <v>0</v>
      </c>
      <c r="Q48" t="n">
        <v>4</v>
      </c>
      <c r="R48" t="n">
        <v>0</v>
      </c>
      <c r="S48" t="n">
        <v>9</v>
      </c>
      <c r="T48" t="n">
        <v>9</v>
      </c>
      <c r="U48" t="n">
        <v>9</v>
      </c>
      <c r="V48" s="2" t="inlineStr">
        <is>
          <t>Barbastell
Brunlångöra
Fransfladdermus
Nordfladdermus
Dvärgpipistrell
Gråskimlig fladdermus
Större brunfladdermus
Trollpipistrell
Vattenfladdermus</t>
        </is>
      </c>
      <c r="W48">
        <f>HYPERLINK("https://klasma.github.io/Logging_1267/artfynd/A 70984-2021 artfynd.xlsx", "A 70984-2021")</f>
        <v/>
      </c>
      <c r="X48">
        <f>HYPERLINK("https://klasma.github.io/Logging_1267/kartor/A 70984-2021 karta.png", "A 70984-2021")</f>
        <v/>
      </c>
      <c r="Y48">
        <f>HYPERLINK("https://klasma.github.io/Logging_1267/kartor_geotiff/A 70984-2021 georefererad karta.tif", "A 70984-2021")</f>
        <v/>
      </c>
      <c r="AA48">
        <f>HYPERLINK("https://klasma.github.io/Logging_1267/klagomål/A 70984-2021 FSC-klagomål.docx", "A 70984-2021")</f>
        <v/>
      </c>
      <c r="AB48">
        <f>HYPERLINK("https://klasma.github.io/Logging_1267/klagomålsmail/A 70984-2021 FSC-klagomål mail.docx", "A 70984-2021")</f>
        <v/>
      </c>
      <c r="AC48">
        <f>HYPERLINK("https://klasma.github.io/Logging_1267/tillsyn/A 70984-2021 tillsynsbegäran.docx", "A 70984-2021")</f>
        <v/>
      </c>
      <c r="AD48">
        <f>HYPERLINK("https://klasma.github.io/Logging_1267/tillsynsmail/A 70984-2021 tillsynsbegäran mail.docx", "A 70984-2021")</f>
        <v/>
      </c>
    </row>
    <row r="49" ht="15" customHeight="1">
      <c r="A49" t="inlineStr">
        <is>
          <t>A 37724-2026</t>
        </is>
      </c>
      <c r="B49" t="inlineStr">
        <is>
          <t>avverkningsanmälan</t>
        </is>
      </c>
      <c r="C49" t="inlineStr">
        <is>
          <t>Föryngringsavverkning</t>
        </is>
      </c>
      <c r="D49" s="1" t="n">
        <v>46279</v>
      </c>
      <c r="E49" s="1" t="n">
        <v>46312</v>
      </c>
      <c r="F49" t="inlineStr">
        <is>
          <t>SKÅNE LÄN</t>
        </is>
      </c>
      <c r="G49" t="inlineStr">
        <is>
          <t>KLIPPAN</t>
        </is>
      </c>
      <c r="I49" t="n">
        <v>5.3</v>
      </c>
      <c r="J49" t="n">
        <v>5</v>
      </c>
      <c r="K49" t="n">
        <v>1</v>
      </c>
      <c r="L49" t="n">
        <v>4</v>
      </c>
      <c r="M49" t="n">
        <v>0</v>
      </c>
      <c r="N49" t="n">
        <v>0</v>
      </c>
      <c r="O49" t="n">
        <v>0</v>
      </c>
      <c r="P49" t="n">
        <v>0</v>
      </c>
      <c r="Q49" t="n">
        <v>4</v>
      </c>
      <c r="R49" t="n">
        <v>0</v>
      </c>
      <c r="S49" t="n">
        <v>9</v>
      </c>
      <c r="T49" t="n">
        <v>12</v>
      </c>
      <c r="U49" t="n">
        <v>12</v>
      </c>
      <c r="V49" s="2" t="inlineStr">
        <is>
          <t>Entita
Mindre hackspett
Talltita
Älg
Västlig hakmossa
Blåbär
Majbräken
Spillkråka
Stjärtmes</t>
        </is>
      </c>
      <c r="W49">
        <f>HYPERLINK("https://klasma.github.io/Logging_1276/artfynd/A 37724-2026 artfynd.xlsx", "A 37724-2026")</f>
        <v/>
      </c>
      <c r="X49">
        <f>HYPERLINK("https://klasma.github.io/Logging_1276/kartor/A 37724-2026 karta.png", "A 37724-2026")</f>
        <v/>
      </c>
      <c r="Y49">
        <f>HYPERLINK("https://klasma.github.io/Logging_1276/kartor_geotiff/A 37724-2026 georefererad karta.tif", "A 37724-2026")</f>
        <v/>
      </c>
      <c r="AA49">
        <f>HYPERLINK("https://klasma.github.io/Logging_1276/klagomål/A 37724-2026 FSC-klagomål.docx", "A 37724-2026")</f>
        <v/>
      </c>
      <c r="AB49">
        <f>HYPERLINK("https://klasma.github.io/Logging_1276/klagomålsmail/A 37724-2026 FSC-klagomål mail.docx", "A 37724-2026")</f>
        <v/>
      </c>
      <c r="AC49">
        <f>HYPERLINK("https://klasma.github.io/Logging_1276/tillsyn/A 37724-2026 tillsynsbegäran.docx", "A 37724-2026")</f>
        <v/>
      </c>
      <c r="AD49">
        <f>HYPERLINK("https://klasma.github.io/Logging_1276/tillsynsmail/A 37724-2026 tillsynsbegäran mail.docx", "A 37724-2026")</f>
        <v/>
      </c>
      <c r="AE49">
        <f>HYPERLINK("https://klasma.github.io/Logging_1276/fåglar/A 37724-2026 prioriterade fågelarter.docx", "A 37724-2026")</f>
        <v/>
      </c>
    </row>
    <row r="50" ht="15" customHeight="1">
      <c r="A50" t="inlineStr">
        <is>
          <t>S 229-2022</t>
        </is>
      </c>
      <c r="B50" t="inlineStr">
        <is>
          <t>samrådsanmälan</t>
        </is>
      </c>
      <c r="C50" t="inlineStr">
        <is>
          <t>Askåterföring</t>
        </is>
      </c>
      <c r="D50" s="1" t="n">
        <v>44574</v>
      </c>
      <c r="E50" s="1" t="n">
        <v>46312</v>
      </c>
      <c r="F50" t="inlineStr">
        <is>
          <t>SKÅNE LÄN</t>
        </is>
      </c>
      <c r="G50" t="inlineStr">
        <is>
          <t>SJÖBO</t>
        </is>
      </c>
      <c r="I50" t="n">
        <v>195.3</v>
      </c>
      <c r="J50" t="n">
        <v>7</v>
      </c>
      <c r="K50" t="n">
        <v>0</v>
      </c>
      <c r="L50" t="n">
        <v>4</v>
      </c>
      <c r="M50" t="n">
        <v>1</v>
      </c>
      <c r="N50" t="n">
        <v>0</v>
      </c>
      <c r="O50" t="n">
        <v>0</v>
      </c>
      <c r="P50" t="n">
        <v>0</v>
      </c>
      <c r="Q50" t="n">
        <v>5</v>
      </c>
      <c r="R50" t="n">
        <v>1</v>
      </c>
      <c r="S50" t="n">
        <v>9</v>
      </c>
      <c r="T50" t="n">
        <v>9</v>
      </c>
      <c r="U50" t="n">
        <v>6</v>
      </c>
      <c r="V50" s="2" t="inlineStr">
        <is>
          <t>Hedblomster
Gullpudra
Klofibbla
Kungsörn
Lökgroda
Havsörn
Lövgroda
Större vattensalamander
Vanlig groda</t>
        </is>
      </c>
      <c r="W50">
        <f>HYPERLINK("https://klasma.github.io/Logging_1265/artfynd/S 229-2022 artfynd.xlsx", "S 229-2022")</f>
        <v/>
      </c>
      <c r="X50">
        <f>HYPERLINK("https://klasma.github.io/Logging_1265/kartor/S 229-2022 karta.png", "S 229-2022")</f>
        <v/>
      </c>
      <c r="Y50">
        <f>HYPERLINK("https://klasma.github.io/Logging_1265/kartor_geotiff/S 229-2022 georefererad karta.tif", "S 229-2022")</f>
        <v/>
      </c>
      <c r="AA50">
        <f>HYPERLINK("https://klasma.github.io/Logging_1265/klagomål/S 229-2022 FSC-klagomål.docx", "S 229-2022")</f>
        <v/>
      </c>
      <c r="AB50">
        <f>HYPERLINK("https://klasma.github.io/Logging_1265/klagomålsmail/S 229-2022 FSC-klagomål mail.docx", "S 229-2022")</f>
        <v/>
      </c>
      <c r="AC50">
        <f>HYPERLINK("https://klasma.github.io/Logging_1265/tillsyn/S 229-2022 tillsynsbegäran.docx", "S 229-2022")</f>
        <v/>
      </c>
      <c r="AD50">
        <f>HYPERLINK("https://klasma.github.io/Logging_1265/tillsynsmail/S 229-2022 tillsynsbegäran mail.docx", "S 229-2022")</f>
        <v/>
      </c>
      <c r="AE50">
        <f>HYPERLINK("https://klasma.github.io/Logging_1265/fåglar/S 229-2022 prioriterade fågelarter.docx", "S 229-2022")</f>
        <v/>
      </c>
    </row>
    <row r="51" ht="15" customHeight="1">
      <c r="A51" t="inlineStr">
        <is>
          <t>S 2774-2023</t>
        </is>
      </c>
      <c r="B51" t="inlineStr">
        <is>
          <t>samrådsanmälan</t>
        </is>
      </c>
      <c r="C51" t="inlineStr">
        <is>
          <t>Annan skogsbruksåtgärd</t>
        </is>
      </c>
      <c r="D51" s="1" t="n">
        <v>45160</v>
      </c>
      <c r="E51" s="1" t="n">
        <v>46312</v>
      </c>
      <c r="F51" t="inlineStr">
        <is>
          <t>SKÅNE LÄN</t>
        </is>
      </c>
      <c r="G51" t="inlineStr">
        <is>
          <t>KRISTIANSTAD</t>
        </is>
      </c>
      <c r="I51" t="n">
        <v>0.9</v>
      </c>
      <c r="J51" t="n">
        <v>1</v>
      </c>
      <c r="K51" t="n">
        <v>3</v>
      </c>
      <c r="L51" t="n">
        <v>2</v>
      </c>
      <c r="M51" t="n">
        <v>3</v>
      </c>
      <c r="N51" t="n">
        <v>0</v>
      </c>
      <c r="O51" t="n">
        <v>0</v>
      </c>
      <c r="P51" t="n">
        <v>0</v>
      </c>
      <c r="Q51" t="n">
        <v>5</v>
      </c>
      <c r="R51" t="n">
        <v>3</v>
      </c>
      <c r="S51" t="n">
        <v>9</v>
      </c>
      <c r="T51" t="n">
        <v>13</v>
      </c>
      <c r="U51" t="n">
        <v>8</v>
      </c>
      <c r="V51" s="2" t="inlineStr">
        <is>
          <t>Blek kraterlav
Ekpricklav
Stare
Gammelekslav
Stiftklotterlav
Grå skärelav
Guldlockmossa
Platt fjädermossa
Olivklotterlav</t>
        </is>
      </c>
      <c r="W51">
        <f>HYPERLINK("https://klasma.github.io/Logging_1290/artfynd/S 2774-2023 artfynd.xlsx", "S 2774-2023")</f>
        <v/>
      </c>
      <c r="X51">
        <f>HYPERLINK("https://klasma.github.io/Logging_1290/kartor/S 2774-2023 karta.png", "S 2774-2023")</f>
        <v/>
      </c>
      <c r="Y51">
        <f>HYPERLINK("https://klasma.github.io/Logging_1290/kartor_geotiff/S 2774-2023 georefererad karta.tif", "S 2774-2023")</f>
        <v/>
      </c>
      <c r="AA51">
        <f>HYPERLINK("https://klasma.github.io/Logging_1290/klagomål/S 2774-2023 FSC-klagomål.docx", "S 2774-2023")</f>
        <v/>
      </c>
      <c r="AB51">
        <f>HYPERLINK("https://klasma.github.io/Logging_1290/klagomålsmail/S 2774-2023 FSC-klagomål mail.docx", "S 2774-2023")</f>
        <v/>
      </c>
      <c r="AC51">
        <f>HYPERLINK("https://klasma.github.io/Logging_1290/tillsyn/S 2774-2023 tillsynsbegäran.docx", "S 2774-2023")</f>
        <v/>
      </c>
      <c r="AD51">
        <f>HYPERLINK("https://klasma.github.io/Logging_1290/tillsynsmail/S 2774-2023 tillsynsbegäran mail.docx", "S 2774-2023")</f>
        <v/>
      </c>
      <c r="AE51">
        <f>HYPERLINK("https://klasma.github.io/Logging_1290/fåglar/S 2774-2023 prioriterade fågelarter.docx", "S 2774-2023")</f>
        <v/>
      </c>
    </row>
    <row r="52" ht="15" customHeight="1">
      <c r="A52" t="inlineStr">
        <is>
          <t>S 1130-2026</t>
        </is>
      </c>
      <c r="B52" t="inlineStr">
        <is>
          <t>samrådsanmälan</t>
        </is>
      </c>
      <c r="C52" t="inlineStr">
        <is>
          <t>Askåterföring</t>
        </is>
      </c>
      <c r="D52" s="1" t="n">
        <v>46134</v>
      </c>
      <c r="E52" s="1" t="n">
        <v>46312</v>
      </c>
      <c r="F52" t="inlineStr">
        <is>
          <t>SKÅNE LÄN</t>
        </is>
      </c>
      <c r="G52" t="inlineStr">
        <is>
          <t>OSBY</t>
        </is>
      </c>
      <c r="I52" t="n">
        <v>78.09999999999999</v>
      </c>
      <c r="J52" t="n">
        <v>6</v>
      </c>
      <c r="K52" t="n">
        <v>3</v>
      </c>
      <c r="L52" t="n">
        <v>3</v>
      </c>
      <c r="M52" t="n">
        <v>0</v>
      </c>
      <c r="N52" t="n">
        <v>0</v>
      </c>
      <c r="O52" t="n">
        <v>0</v>
      </c>
      <c r="P52" t="n">
        <v>0</v>
      </c>
      <c r="Q52" t="n">
        <v>3</v>
      </c>
      <c r="R52" t="n">
        <v>0</v>
      </c>
      <c r="S52" t="n">
        <v>9</v>
      </c>
      <c r="T52" t="n">
        <v>13</v>
      </c>
      <c r="U52" t="n">
        <v>0</v>
      </c>
      <c r="V52" s="2" t="inlineStr">
        <is>
          <t>Gulsparv
Järnsparv
Talltita
Bårdlav
Fällmossa
Västlig hakmossa
Mattlummer
Spillkråka
Kungsfågel</t>
        </is>
      </c>
      <c r="W52">
        <f>HYPERLINK("https://klasma.github.io/Logging_1273/artfynd/S 1130-2026 artfynd.xlsx", "S 1130-2026")</f>
        <v/>
      </c>
      <c r="X52">
        <f>HYPERLINK("https://klasma.github.io/Logging_1273/kartor/S 1130-2026 karta.png", "S 1130-2026")</f>
        <v/>
      </c>
      <c r="Y52">
        <f>HYPERLINK("https://klasma.github.io/Logging_1273/kartor_geotiff/S 1130-2026 georefererad karta.tif", "S 1130-2026")</f>
        <v/>
      </c>
      <c r="AA52">
        <f>HYPERLINK("https://klasma.github.io/Logging_1273/klagomål/S 1130-2026 FSC-klagomål.docx", "S 1130-2026")</f>
        <v/>
      </c>
      <c r="AB52">
        <f>HYPERLINK("https://klasma.github.io/Logging_1273/klagomålsmail/S 1130-2026 FSC-klagomål mail.docx", "S 1130-2026")</f>
        <v/>
      </c>
      <c r="AC52">
        <f>HYPERLINK("https://klasma.github.io/Logging_1273/tillsyn/S 1130-2026 tillsynsbegäran.docx", "S 1130-2026")</f>
        <v/>
      </c>
      <c r="AD52">
        <f>HYPERLINK("https://klasma.github.io/Logging_1273/tillsynsmail/S 1130-2026 tillsynsbegäran mail.docx", "S 1130-2026")</f>
        <v/>
      </c>
      <c r="AE52">
        <f>HYPERLINK("https://klasma.github.io/Logging_1273/fåglar/S 1130-2026 prioriterade fågelarter.docx", "S 1130-2026")</f>
        <v/>
      </c>
    </row>
    <row r="53" ht="15" customHeight="1">
      <c r="A53" t="inlineStr">
        <is>
          <t>S 1994-2026</t>
        </is>
      </c>
      <c r="B53" t="inlineStr">
        <is>
          <t>samrådsanmälan</t>
        </is>
      </c>
      <c r="C53" t="inlineStr">
        <is>
          <t>Askåterföring</t>
        </is>
      </c>
      <c r="D53" s="1" t="n">
        <v>46213</v>
      </c>
      <c r="E53" s="1" t="n">
        <v>46312</v>
      </c>
      <c r="F53" t="inlineStr">
        <is>
          <t>SKÅNE LÄN</t>
        </is>
      </c>
      <c r="G53" t="inlineStr">
        <is>
          <t>LUND</t>
        </is>
      </c>
      <c r="I53" t="n">
        <v>73.8</v>
      </c>
      <c r="J53" t="n">
        <v>4</v>
      </c>
      <c r="K53" t="n">
        <v>3</v>
      </c>
      <c r="L53" t="n">
        <v>1</v>
      </c>
      <c r="M53" t="n">
        <v>0</v>
      </c>
      <c r="N53" t="n">
        <v>1</v>
      </c>
      <c r="O53" t="n">
        <v>0</v>
      </c>
      <c r="P53" t="n">
        <v>0</v>
      </c>
      <c r="Q53" t="n">
        <v>2</v>
      </c>
      <c r="R53" t="n">
        <v>1</v>
      </c>
      <c r="S53" t="n">
        <v>9</v>
      </c>
      <c r="T53" t="n">
        <v>11</v>
      </c>
      <c r="U53" t="n">
        <v>0</v>
      </c>
      <c r="V53" s="2" t="inlineStr">
        <is>
          <t>Skogsalm
Sydlig sotticka
Guldlockmossa
Rutbläcksvamp
Strutbräken
Lövgroda
Större vattensalamander
Svartvit flugsnappare
Kopparödla</t>
        </is>
      </c>
      <c r="W53">
        <f>HYPERLINK("https://klasma.github.io/Logging_1281/artfynd/S 1994-2026 artfynd.xlsx", "S 1994-2026")</f>
        <v/>
      </c>
      <c r="X53">
        <f>HYPERLINK("https://klasma.github.io/Logging_1281/kartor/S 1994-2026 karta.png", "S 1994-2026")</f>
        <v/>
      </c>
      <c r="Y53">
        <f>HYPERLINK("https://klasma.github.io/Logging_1281/kartor_geotiff/S 1994-2026 georefererad karta.tif", "S 1994-2026")</f>
        <v/>
      </c>
      <c r="AA53">
        <f>HYPERLINK("https://klasma.github.io/Logging_1281/klagomål/S 1994-2026 FSC-klagomål.docx", "S 1994-2026")</f>
        <v/>
      </c>
      <c r="AB53">
        <f>HYPERLINK("https://klasma.github.io/Logging_1281/klagomålsmail/S 1994-2026 FSC-klagomål mail.docx", "S 1994-2026")</f>
        <v/>
      </c>
      <c r="AC53">
        <f>HYPERLINK("https://klasma.github.io/Logging_1281/tillsyn/S 1994-2026 tillsynsbegäran.docx", "S 1994-2026")</f>
        <v/>
      </c>
      <c r="AD53">
        <f>HYPERLINK("https://klasma.github.io/Logging_1281/tillsynsmail/S 1994-2026 tillsynsbegäran mail.docx", "S 1994-2026")</f>
        <v/>
      </c>
    </row>
    <row r="54" ht="15" customHeight="1">
      <c r="A54" t="inlineStr">
        <is>
          <t>A 36038-2022</t>
        </is>
      </c>
      <c r="B54" t="inlineStr">
        <is>
          <t>avverkningsanmälan</t>
        </is>
      </c>
      <c r="C54" t="inlineStr">
        <is>
          <t>Föryngringsavverkning</t>
        </is>
      </c>
      <c r="D54" s="1" t="n">
        <v>44802</v>
      </c>
      <c r="E54" s="1" t="n">
        <v>46312</v>
      </c>
      <c r="F54" t="inlineStr">
        <is>
          <t>SKÅNE LÄN</t>
        </is>
      </c>
      <c r="G54" t="inlineStr">
        <is>
          <t>ÄNGELHOLM</t>
        </is>
      </c>
      <c r="I54" t="n">
        <v>1.7</v>
      </c>
      <c r="J54" t="n">
        <v>0</v>
      </c>
      <c r="K54" t="n">
        <v>6</v>
      </c>
      <c r="L54" t="n">
        <v>2</v>
      </c>
      <c r="M54" t="n">
        <v>0</v>
      </c>
      <c r="N54" t="n">
        <v>0</v>
      </c>
      <c r="O54" t="n">
        <v>0</v>
      </c>
      <c r="P54" t="n">
        <v>0</v>
      </c>
      <c r="Q54" t="n">
        <v>2</v>
      </c>
      <c r="R54" t="n">
        <v>0</v>
      </c>
      <c r="S54" t="n">
        <v>8</v>
      </c>
      <c r="T54" t="n">
        <v>19</v>
      </c>
      <c r="U54" t="n">
        <v>11</v>
      </c>
      <c r="V54" s="2" t="inlineStr">
        <is>
          <t>Bokvårtlav
Stiftklotterlav
Bokfjädermossa
Guldlockmossa
Lönnlav
Platt fjädermossa
Trädporella
Västlig hakmossa</t>
        </is>
      </c>
      <c r="W54">
        <f>HYPERLINK("https://klasma.github.io/Logging_1292/artfynd/A 36038-2022 artfynd.xlsx", "A 36038-2022")</f>
        <v/>
      </c>
      <c r="X54">
        <f>HYPERLINK("https://klasma.github.io/Logging_1292/kartor/A 36038-2022 karta.png", "A 36038-2022")</f>
        <v/>
      </c>
      <c r="Y54">
        <f>HYPERLINK("https://klasma.github.io/Logging_1292/kartor_geotiff/A 36038-2022 georefererad karta.tif", "A 36038-2022")</f>
        <v/>
      </c>
      <c r="AA54">
        <f>HYPERLINK("https://klasma.github.io/Logging_1292/klagomål/A 36038-2022 FSC-klagomål.docx", "A 36038-2022")</f>
        <v/>
      </c>
      <c r="AB54">
        <f>HYPERLINK("https://klasma.github.io/Logging_1292/klagomålsmail/A 36038-2022 FSC-klagomål mail.docx", "A 36038-2022")</f>
        <v/>
      </c>
      <c r="AC54">
        <f>HYPERLINK("https://klasma.github.io/Logging_1292/tillsyn/A 36038-2022 tillsynsbegäran.docx", "A 36038-2022")</f>
        <v/>
      </c>
      <c r="AD54">
        <f>HYPERLINK("https://klasma.github.io/Logging_1292/tillsynsmail/A 36038-2022 tillsynsbegäran mail.docx", "A 36038-2022")</f>
        <v/>
      </c>
    </row>
    <row r="55" ht="15" customHeight="1">
      <c r="A55" t="inlineStr">
        <is>
          <t>A 22392-2022</t>
        </is>
      </c>
      <c r="B55" t="inlineStr">
        <is>
          <t>avverkningsanmälan</t>
        </is>
      </c>
      <c r="C55" t="inlineStr">
        <is>
          <t>Föryngringsavverkning</t>
        </is>
      </c>
      <c r="D55" s="1" t="n">
        <v>44713</v>
      </c>
      <c r="E55" s="1" t="n">
        <v>46312</v>
      </c>
      <c r="F55" t="inlineStr">
        <is>
          <t>SKÅNE LÄN</t>
        </is>
      </c>
      <c r="G55" t="inlineStr">
        <is>
          <t>HÖÖR</t>
        </is>
      </c>
      <c r="I55" t="n">
        <v>1</v>
      </c>
      <c r="J55" t="n">
        <v>8</v>
      </c>
      <c r="K55" t="n">
        <v>0</v>
      </c>
      <c r="L55" t="n">
        <v>1</v>
      </c>
      <c r="M55" t="n">
        <v>1</v>
      </c>
      <c r="N55" t="n">
        <v>0</v>
      </c>
      <c r="O55" t="n">
        <v>0</v>
      </c>
      <c r="P55" t="n">
        <v>0</v>
      </c>
      <c r="Q55" t="n">
        <v>2</v>
      </c>
      <c r="R55" t="n">
        <v>1</v>
      </c>
      <c r="S55" t="n">
        <v>8</v>
      </c>
      <c r="T55" t="n">
        <v>8</v>
      </c>
      <c r="U55" t="n">
        <v>8</v>
      </c>
      <c r="V55" s="2" t="inlineStr">
        <is>
          <t>Grönfink
Gulsparv
Spillkråka
Buskskvätta
Gröngöling
Trana
Törnskata
Ärtsångare</t>
        </is>
      </c>
      <c r="W55">
        <f>HYPERLINK("https://klasma.github.io/Logging_1267/artfynd/A 22392-2022 artfynd.xlsx", "A 22392-2022")</f>
        <v/>
      </c>
      <c r="X55">
        <f>HYPERLINK("https://klasma.github.io/Logging_1267/kartor/A 22392-2022 karta.png", "A 22392-2022")</f>
        <v/>
      </c>
      <c r="Y55">
        <f>HYPERLINK("https://klasma.github.io/Logging_1267/kartor_geotiff/A 22392-2022 georefererad karta.tif", "A 22392-2022")</f>
        <v/>
      </c>
      <c r="AA55">
        <f>HYPERLINK("https://klasma.github.io/Logging_1267/klagomål/A 22392-2022 FSC-klagomål.docx", "A 22392-2022")</f>
        <v/>
      </c>
      <c r="AB55">
        <f>HYPERLINK("https://klasma.github.io/Logging_1267/klagomålsmail/A 22392-2022 FSC-klagomål mail.docx", "A 22392-2022")</f>
        <v/>
      </c>
      <c r="AC55">
        <f>HYPERLINK("https://klasma.github.io/Logging_1267/tillsyn/A 22392-2022 tillsynsbegäran.docx", "A 22392-2022")</f>
        <v/>
      </c>
      <c r="AD55">
        <f>HYPERLINK("https://klasma.github.io/Logging_1267/tillsynsmail/A 22392-2022 tillsynsbegäran mail.docx", "A 22392-2022")</f>
        <v/>
      </c>
      <c r="AE55">
        <f>HYPERLINK("https://klasma.github.io/Logging_1267/fåglar/A 22392-2022 prioriterade fågelarter.docx", "A 22392-2022")</f>
        <v/>
      </c>
    </row>
    <row r="56" ht="15" customHeight="1">
      <c r="A56" t="inlineStr">
        <is>
          <t>A 19439-2024</t>
        </is>
      </c>
      <c r="B56" t="inlineStr">
        <is>
          <t>avverkningsanmälan</t>
        </is>
      </c>
      <c r="C56" t="inlineStr">
        <is>
          <t>Föryngringsavverkning</t>
        </is>
      </c>
      <c r="D56" s="1" t="n">
        <v>45429</v>
      </c>
      <c r="E56" s="1" t="n">
        <v>46312</v>
      </c>
      <c r="F56" t="inlineStr">
        <is>
          <t>SKÅNE LÄN</t>
        </is>
      </c>
      <c r="G56" t="inlineStr">
        <is>
          <t>SIMRISHAMN</t>
        </is>
      </c>
      <c r="I56" t="n">
        <v>3.1</v>
      </c>
      <c r="J56" t="n">
        <v>1</v>
      </c>
      <c r="K56" t="n">
        <v>4</v>
      </c>
      <c r="L56" t="n">
        <v>2</v>
      </c>
      <c r="M56" t="n">
        <v>1</v>
      </c>
      <c r="N56" t="n">
        <v>0</v>
      </c>
      <c r="O56" t="n">
        <v>0</v>
      </c>
      <c r="P56" t="n">
        <v>0</v>
      </c>
      <c r="Q56" t="n">
        <v>3</v>
      </c>
      <c r="R56" t="n">
        <v>1</v>
      </c>
      <c r="S56" t="n">
        <v>8</v>
      </c>
      <c r="T56" t="n">
        <v>8</v>
      </c>
      <c r="U56" t="n">
        <v>0</v>
      </c>
      <c r="V56" s="2" t="inlineStr">
        <is>
          <t>Rosa lundlav
Bokvårtlav
Stiftklotterlav
Guldlockmossa
Lönnlav
Platt fjädermossa
Trädporella
Gröngöling</t>
        </is>
      </c>
      <c r="W56">
        <f>HYPERLINK("https://klasma.github.io/Logging_1291/artfynd/A 19439-2024 artfynd.xlsx", "A 19439-2024")</f>
        <v/>
      </c>
      <c r="X56">
        <f>HYPERLINK("https://klasma.github.io/Logging_1291/kartor/A 19439-2024 karta.png", "A 19439-2024")</f>
        <v/>
      </c>
      <c r="Y56">
        <f>HYPERLINK("https://klasma.github.io/Logging_1291/kartor_geotiff/A 19439-2024 georefererad karta.tif", "A 19439-2024")</f>
        <v/>
      </c>
      <c r="AA56">
        <f>HYPERLINK("https://klasma.github.io/Logging_1291/klagomål/A 19439-2024 FSC-klagomål.docx", "A 19439-2024")</f>
        <v/>
      </c>
      <c r="AB56">
        <f>HYPERLINK("https://klasma.github.io/Logging_1291/klagomålsmail/A 19439-2024 FSC-klagomål mail.docx", "A 19439-2024")</f>
        <v/>
      </c>
      <c r="AC56">
        <f>HYPERLINK("https://klasma.github.io/Logging_1291/tillsyn/A 19439-2024 tillsynsbegäran.docx", "A 19439-2024")</f>
        <v/>
      </c>
      <c r="AD56">
        <f>HYPERLINK("https://klasma.github.io/Logging_1291/tillsynsmail/A 19439-2024 tillsynsbegäran mail.docx", "A 19439-2024")</f>
        <v/>
      </c>
    </row>
    <row r="57" ht="15" customHeight="1">
      <c r="A57" t="inlineStr">
        <is>
          <t>A 19019-2024</t>
        </is>
      </c>
      <c r="B57" t="inlineStr">
        <is>
          <t>avverkningsanmälan</t>
        </is>
      </c>
      <c r="C57" t="inlineStr">
        <is>
          <t>Föryngringsavverkning</t>
        </is>
      </c>
      <c r="D57" s="1" t="n">
        <v>45427</v>
      </c>
      <c r="E57" s="1" t="n">
        <v>46312</v>
      </c>
      <c r="F57" t="inlineStr">
        <is>
          <t>SKÅNE LÄN</t>
        </is>
      </c>
      <c r="G57" t="inlineStr">
        <is>
          <t>HÄSSLEHOLM</t>
        </is>
      </c>
      <c r="I57" t="n">
        <v>5.4</v>
      </c>
      <c r="J57" t="n">
        <v>0</v>
      </c>
      <c r="K57" t="n">
        <v>7</v>
      </c>
      <c r="L57" t="n">
        <v>0</v>
      </c>
      <c r="M57" t="n">
        <v>1</v>
      </c>
      <c r="N57" t="n">
        <v>0</v>
      </c>
      <c r="O57" t="n">
        <v>0</v>
      </c>
      <c r="P57" t="n">
        <v>0</v>
      </c>
      <c r="Q57" t="n">
        <v>1</v>
      </c>
      <c r="R57" t="n">
        <v>1</v>
      </c>
      <c r="S57" t="n">
        <v>8</v>
      </c>
      <c r="T57" t="n">
        <v>12</v>
      </c>
      <c r="U57" t="n">
        <v>12</v>
      </c>
      <c r="V57" s="2" t="inlineStr">
        <is>
          <t>Ädelkronlav
Fällmossa
Guldlockmossa
Gulnål
Havstulpanlav
Klippfrullania
Kornig nållav
Rostfläck</t>
        </is>
      </c>
      <c r="W57">
        <f>HYPERLINK("https://klasma.github.io/Logging_1293/artfynd/A 19019-2024 artfynd.xlsx", "A 19019-2024")</f>
        <v/>
      </c>
      <c r="X57">
        <f>HYPERLINK("https://klasma.github.io/Logging_1293/kartor/A 19019-2024 karta.png", "A 19019-2024")</f>
        <v/>
      </c>
      <c r="Y57">
        <f>HYPERLINK("https://klasma.github.io/Logging_1293/kartor_geotiff/A 19019-2024 georefererad karta.tif", "A 19019-2024")</f>
        <v/>
      </c>
      <c r="AA57">
        <f>HYPERLINK("https://klasma.github.io/Logging_1293/klagomål/A 19019-2024 FSC-klagomål.docx", "A 19019-2024")</f>
        <v/>
      </c>
      <c r="AB57">
        <f>HYPERLINK("https://klasma.github.io/Logging_1293/klagomålsmail/A 19019-2024 FSC-klagomål mail.docx", "A 19019-2024")</f>
        <v/>
      </c>
      <c r="AC57">
        <f>HYPERLINK("https://klasma.github.io/Logging_1293/tillsyn/A 19019-2024 tillsynsbegäran.docx", "A 19019-2024")</f>
        <v/>
      </c>
      <c r="AD57">
        <f>HYPERLINK("https://klasma.github.io/Logging_1293/tillsynsmail/A 19019-2024 tillsynsbegäran mail.docx", "A 19019-2024")</f>
        <v/>
      </c>
    </row>
    <row r="58" ht="15" customHeight="1">
      <c r="A58" t="inlineStr">
        <is>
          <t>A 32268-2022</t>
        </is>
      </c>
      <c r="B58" t="inlineStr">
        <is>
          <t>avverkningsanmälan</t>
        </is>
      </c>
      <c r="C58" t="inlineStr">
        <is>
          <t>Föryngringsavverkning</t>
        </is>
      </c>
      <c r="D58" s="1" t="n">
        <v>44781</v>
      </c>
      <c r="E58" s="1" t="n">
        <v>46312</v>
      </c>
      <c r="F58" t="inlineStr">
        <is>
          <t>SKÅNE LÄN</t>
        </is>
      </c>
      <c r="G58" t="inlineStr">
        <is>
          <t>ÄNGELHOLM</t>
        </is>
      </c>
      <c r="I58" t="n">
        <v>8.6</v>
      </c>
      <c r="J58" t="n">
        <v>2</v>
      </c>
      <c r="K58" t="n">
        <v>5</v>
      </c>
      <c r="L58" t="n">
        <v>1</v>
      </c>
      <c r="M58" t="n">
        <v>0</v>
      </c>
      <c r="N58" t="n">
        <v>0</v>
      </c>
      <c r="O58" t="n">
        <v>0</v>
      </c>
      <c r="P58" t="n">
        <v>0</v>
      </c>
      <c r="Q58" t="n">
        <v>1</v>
      </c>
      <c r="R58" t="n">
        <v>0</v>
      </c>
      <c r="S58" t="n">
        <v>8</v>
      </c>
      <c r="T58" t="n">
        <v>14</v>
      </c>
      <c r="U58" t="n">
        <v>14</v>
      </c>
      <c r="V58" s="2" t="inlineStr">
        <is>
          <t>Bokvårtlav
Blåmossa
Dvärghäxört
Skuggsprötmossa
Trubbfjädermossa
Västlig hakmossa
Vanlig groda
Vanlig padda</t>
        </is>
      </c>
      <c r="W58">
        <f>HYPERLINK("https://klasma.github.io/Logging_1292/artfynd/A 32268-2022 artfynd.xlsx", "A 32268-2022")</f>
        <v/>
      </c>
      <c r="X58">
        <f>HYPERLINK("https://klasma.github.io/Logging_1292/kartor/A 32268-2022 karta.png", "A 32268-2022")</f>
        <v/>
      </c>
      <c r="Y58">
        <f>HYPERLINK("https://klasma.github.io/Logging_1292/kartor_geotiff/A 32268-2022 georefererad karta.tif", "A 32268-2022")</f>
        <v/>
      </c>
      <c r="AA58">
        <f>HYPERLINK("https://klasma.github.io/Logging_1292/klagomål/A 32268-2022 FSC-klagomål.docx", "A 32268-2022")</f>
        <v/>
      </c>
      <c r="AB58">
        <f>HYPERLINK("https://klasma.github.io/Logging_1292/klagomålsmail/A 32268-2022 FSC-klagomål mail.docx", "A 32268-2022")</f>
        <v/>
      </c>
      <c r="AC58">
        <f>HYPERLINK("https://klasma.github.io/Logging_1292/tillsyn/A 32268-2022 tillsynsbegäran.docx", "A 32268-2022")</f>
        <v/>
      </c>
      <c r="AD58">
        <f>HYPERLINK("https://klasma.github.io/Logging_1292/tillsynsmail/A 32268-2022 tillsynsbegäran mail.docx", "A 32268-2022")</f>
        <v/>
      </c>
    </row>
    <row r="59" ht="15" customHeight="1">
      <c r="A59" t="inlineStr">
        <is>
          <t>A 9048-2024</t>
        </is>
      </c>
      <c r="B59" t="inlineStr">
        <is>
          <t>avverkningsanmälan</t>
        </is>
      </c>
      <c r="C59" t="inlineStr">
        <is>
          <t>Föryngringsavverkning</t>
        </is>
      </c>
      <c r="D59" s="1" t="n">
        <v>45357</v>
      </c>
      <c r="E59" s="1" t="n">
        <v>46312</v>
      </c>
      <c r="F59" t="inlineStr">
        <is>
          <t>SKÅNE LÄN</t>
        </is>
      </c>
      <c r="G59" t="inlineStr">
        <is>
          <t>KRISTIANSTAD</t>
        </is>
      </c>
      <c r="I59" t="n">
        <v>5.9</v>
      </c>
      <c r="J59" t="n">
        <v>3</v>
      </c>
      <c r="K59" t="n">
        <v>3</v>
      </c>
      <c r="L59" t="n">
        <v>1</v>
      </c>
      <c r="M59" t="n">
        <v>1</v>
      </c>
      <c r="N59" t="n">
        <v>1</v>
      </c>
      <c r="O59" t="n">
        <v>0</v>
      </c>
      <c r="P59" t="n">
        <v>0</v>
      </c>
      <c r="Q59" t="n">
        <v>3</v>
      </c>
      <c r="R59" t="n">
        <v>2</v>
      </c>
      <c r="S59" t="n">
        <v>8</v>
      </c>
      <c r="T59" t="n">
        <v>11</v>
      </c>
      <c r="U59" t="n">
        <v>10</v>
      </c>
      <c r="V59" s="2" t="inlineStr">
        <is>
          <t>Glappmaskros
Ryl
Backtimjan
Grönpyrola
Skogsknipprot
Ögonpyrola
Blåsippa
Johannesnycklar</t>
        </is>
      </c>
      <c r="W59">
        <f>HYPERLINK("https://klasma.github.io/Logging_1290/artfynd/A 9048-2024 artfynd.xlsx", "A 9048-2024")</f>
        <v/>
      </c>
      <c r="X59">
        <f>HYPERLINK("https://klasma.github.io/Logging_1290/kartor/A 9048-2024 karta.png", "A 9048-2024")</f>
        <v/>
      </c>
      <c r="Y59">
        <f>HYPERLINK("https://klasma.github.io/Logging_1290/kartor_geotiff/A 9048-2024 georefererad karta.tif", "A 9048-2024")</f>
        <v/>
      </c>
      <c r="AA59">
        <f>HYPERLINK("https://klasma.github.io/Logging_1290/klagomål/A 9048-2024 FSC-klagomål.docx", "A 9048-2024")</f>
        <v/>
      </c>
      <c r="AB59">
        <f>HYPERLINK("https://klasma.github.io/Logging_1290/klagomålsmail/A 9048-2024 FSC-klagomål mail.docx", "A 9048-2024")</f>
        <v/>
      </c>
      <c r="AC59">
        <f>HYPERLINK("https://klasma.github.io/Logging_1290/tillsyn/A 9048-2024 tillsynsbegäran.docx", "A 9048-2024")</f>
        <v/>
      </c>
      <c r="AD59">
        <f>HYPERLINK("https://klasma.github.io/Logging_1290/tillsynsmail/A 9048-2024 tillsynsbegäran mail.docx", "A 9048-2024")</f>
        <v/>
      </c>
    </row>
    <row r="60" ht="15" customHeight="1">
      <c r="A60" t="inlineStr">
        <is>
          <t>A 43497-2025</t>
        </is>
      </c>
      <c r="B60" t="inlineStr">
        <is>
          <t>avverkningsanmälan</t>
        </is>
      </c>
      <c r="C60" t="inlineStr">
        <is>
          <t>Föryngringsavverkning</t>
        </is>
      </c>
      <c r="D60" s="1" t="n">
        <v>45911</v>
      </c>
      <c r="E60" s="1" t="n">
        <v>46312</v>
      </c>
      <c r="F60" t="inlineStr">
        <is>
          <t>SKÅNE LÄN</t>
        </is>
      </c>
      <c r="G60" t="inlineStr">
        <is>
          <t>KRISTIANSTAD</t>
        </is>
      </c>
      <c r="I60" t="n">
        <v>3</v>
      </c>
      <c r="J60" t="n">
        <v>0</v>
      </c>
      <c r="K60" t="n">
        <v>3</v>
      </c>
      <c r="L60" t="n">
        <v>3</v>
      </c>
      <c r="M60" t="n">
        <v>2</v>
      </c>
      <c r="N60" t="n">
        <v>0</v>
      </c>
      <c r="O60" t="n">
        <v>0</v>
      </c>
      <c r="P60" t="n">
        <v>0</v>
      </c>
      <c r="Q60" t="n">
        <v>5</v>
      </c>
      <c r="R60" t="n">
        <v>2</v>
      </c>
      <c r="S60" t="n">
        <v>8</v>
      </c>
      <c r="T60" t="n">
        <v>10</v>
      </c>
      <c r="U60" t="n">
        <v>3</v>
      </c>
      <c r="V60" s="2" t="inlineStr">
        <is>
          <t>Bukspolsnäcka
Tandsnäcka
Bokvårtlav
Orangepudrad klotterlav
Skogsveronika
Platt fjädermossa
Strutbräken
Trubbfjädermossa</t>
        </is>
      </c>
      <c r="W60">
        <f>HYPERLINK("https://klasma.github.io/Logging_1290/artfynd/A 43497-2025 artfynd.xlsx", "A 43497-2025")</f>
        <v/>
      </c>
      <c r="X60">
        <f>HYPERLINK("https://klasma.github.io/Logging_1290/kartor/A 43497-2025 karta.png", "A 43497-2025")</f>
        <v/>
      </c>
      <c r="Y60">
        <f>HYPERLINK("https://klasma.github.io/Logging_1290/kartor_geotiff/A 43497-2025 georefererad karta.tif", "A 43497-2025")</f>
        <v/>
      </c>
      <c r="AA60">
        <f>HYPERLINK("https://klasma.github.io/Logging_1290/klagomål/A 43497-2025 FSC-klagomål.docx", "A 43497-2025")</f>
        <v/>
      </c>
      <c r="AB60">
        <f>HYPERLINK("https://klasma.github.io/Logging_1290/klagomålsmail/A 43497-2025 FSC-klagomål mail.docx", "A 43497-2025")</f>
        <v/>
      </c>
      <c r="AC60">
        <f>HYPERLINK("https://klasma.github.io/Logging_1290/tillsyn/A 43497-2025 tillsynsbegäran.docx", "A 43497-2025")</f>
        <v/>
      </c>
      <c r="AD60">
        <f>HYPERLINK("https://klasma.github.io/Logging_1290/tillsynsmail/A 43497-2025 tillsynsbegäran mail.docx", "A 43497-2025")</f>
        <v/>
      </c>
    </row>
    <row r="61" ht="15" customHeight="1">
      <c r="A61" t="inlineStr">
        <is>
          <t>A 74502-2021</t>
        </is>
      </c>
      <c r="B61" t="inlineStr">
        <is>
          <t>avverkningsanmälan</t>
        </is>
      </c>
      <c r="C61" t="inlineStr">
        <is>
          <t>Föryngringsavverkning</t>
        </is>
      </c>
      <c r="D61" s="1" t="n">
        <v>44560</v>
      </c>
      <c r="E61" s="1" t="n">
        <v>46312</v>
      </c>
      <c r="F61" t="inlineStr">
        <is>
          <t>SKÅNE LÄN</t>
        </is>
      </c>
      <c r="G61" t="inlineStr">
        <is>
          <t>ÄNGELHOLM</t>
        </is>
      </c>
      <c r="I61" t="n">
        <v>5.6</v>
      </c>
      <c r="J61" t="n">
        <v>6</v>
      </c>
      <c r="K61" t="n">
        <v>1</v>
      </c>
      <c r="L61" t="n">
        <v>3</v>
      </c>
      <c r="M61" t="n">
        <v>0</v>
      </c>
      <c r="N61" t="n">
        <v>0</v>
      </c>
      <c r="O61" t="n">
        <v>0</v>
      </c>
      <c r="P61" t="n">
        <v>0</v>
      </c>
      <c r="Q61" t="n">
        <v>3</v>
      </c>
      <c r="R61" t="n">
        <v>0</v>
      </c>
      <c r="S61" t="n">
        <v>8</v>
      </c>
      <c r="T61" t="n">
        <v>9</v>
      </c>
      <c r="U61" t="n">
        <v>9</v>
      </c>
      <c r="V61" s="2" t="inlineStr">
        <is>
          <t>Entita
Grönsångare
Sydlig sotticka
Västlig hakmossa
Spillkråka
Gröngöling
Kungsfågel
Skogsduva</t>
        </is>
      </c>
      <c r="W61">
        <f>HYPERLINK("https://klasma.github.io/Logging_1292/artfynd/A 74502-2021 artfynd.xlsx", "A 74502-2021")</f>
        <v/>
      </c>
      <c r="X61">
        <f>HYPERLINK("https://klasma.github.io/Logging_1292/kartor/A 74502-2021 karta.png", "A 74502-2021")</f>
        <v/>
      </c>
      <c r="Y61">
        <f>HYPERLINK("https://klasma.github.io/Logging_1292/kartor_geotiff/A 74502-2021 georefererad karta.tif", "A 74502-2021")</f>
        <v/>
      </c>
      <c r="AA61">
        <f>HYPERLINK("https://klasma.github.io/Logging_1292/klagomål/A 74502-2021 FSC-klagomål.docx", "A 74502-2021")</f>
        <v/>
      </c>
      <c r="AB61">
        <f>HYPERLINK("https://klasma.github.io/Logging_1292/klagomålsmail/A 74502-2021 FSC-klagomål mail.docx", "A 74502-2021")</f>
        <v/>
      </c>
      <c r="AC61">
        <f>HYPERLINK("https://klasma.github.io/Logging_1292/tillsyn/A 74502-2021 tillsynsbegäran.docx", "A 74502-2021")</f>
        <v/>
      </c>
      <c r="AD61">
        <f>HYPERLINK("https://klasma.github.io/Logging_1292/tillsynsmail/A 74502-2021 tillsynsbegäran mail.docx", "A 74502-2021")</f>
        <v/>
      </c>
      <c r="AE61">
        <f>HYPERLINK("https://klasma.github.io/Logging_1292/fåglar/A 74502-2021 prioriterade fågelarter.docx", "A 74502-2021")</f>
        <v/>
      </c>
    </row>
    <row r="62" ht="15" customHeight="1">
      <c r="A62" t="inlineStr">
        <is>
          <t>A 13475-2024</t>
        </is>
      </c>
      <c r="B62" t="inlineStr">
        <is>
          <t>avverkningsanmälan</t>
        </is>
      </c>
      <c r="C62" t="inlineStr">
        <is>
          <t>Föryngringsavverkning</t>
        </is>
      </c>
      <c r="D62" s="1" t="n">
        <v>45387</v>
      </c>
      <c r="E62" s="1" t="n">
        <v>46312</v>
      </c>
      <c r="F62" t="inlineStr">
        <is>
          <t>SKÅNE LÄN</t>
        </is>
      </c>
      <c r="G62" t="inlineStr">
        <is>
          <t>HÖÖR</t>
        </is>
      </c>
      <c r="I62" t="n">
        <v>1.5</v>
      </c>
      <c r="J62" t="n">
        <v>8</v>
      </c>
      <c r="K62" t="n">
        <v>0</v>
      </c>
      <c r="L62" t="n">
        <v>3</v>
      </c>
      <c r="M62" t="n">
        <v>1</v>
      </c>
      <c r="N62" t="n">
        <v>0</v>
      </c>
      <c r="O62" t="n">
        <v>0</v>
      </c>
      <c r="P62" t="n">
        <v>0</v>
      </c>
      <c r="Q62" t="n">
        <v>4</v>
      </c>
      <c r="R62" t="n">
        <v>1</v>
      </c>
      <c r="S62" t="n">
        <v>8</v>
      </c>
      <c r="T62" t="n">
        <v>8</v>
      </c>
      <c r="U62" t="n">
        <v>2</v>
      </c>
      <c r="V62" s="2" t="inlineStr">
        <is>
          <t>Grönfink
Entita
Gulsparv
Rödvingetrast
Spillkråka
Grönsiska
Kungsfågel
Röd glada</t>
        </is>
      </c>
      <c r="W62">
        <f>HYPERLINK("https://klasma.github.io/Logging_1267/artfynd/A 13475-2024 artfynd.xlsx", "A 13475-2024")</f>
        <v/>
      </c>
      <c r="X62">
        <f>HYPERLINK("https://klasma.github.io/Logging_1267/kartor/A 13475-2024 karta.png", "A 13475-2024")</f>
        <v/>
      </c>
      <c r="Y62">
        <f>HYPERLINK("https://klasma.github.io/Logging_1267/kartor_geotiff/A 13475-2024 georefererad karta.tif", "A 13475-2024")</f>
        <v/>
      </c>
      <c r="AA62">
        <f>HYPERLINK("https://klasma.github.io/Logging_1267/klagomål/A 13475-2024 FSC-klagomål.docx", "A 13475-2024")</f>
        <v/>
      </c>
      <c r="AB62">
        <f>HYPERLINK("https://klasma.github.io/Logging_1267/klagomålsmail/A 13475-2024 FSC-klagomål mail.docx", "A 13475-2024")</f>
        <v/>
      </c>
      <c r="AC62">
        <f>HYPERLINK("https://klasma.github.io/Logging_1267/tillsyn/A 13475-2024 tillsynsbegäran.docx", "A 13475-2024")</f>
        <v/>
      </c>
      <c r="AD62">
        <f>HYPERLINK("https://klasma.github.io/Logging_1267/tillsynsmail/A 13475-2024 tillsynsbegäran mail.docx", "A 13475-2024")</f>
        <v/>
      </c>
      <c r="AE62">
        <f>HYPERLINK("https://klasma.github.io/Logging_1267/fåglar/A 13475-2024 prioriterade fågelarter.docx", "A 13475-2024")</f>
        <v/>
      </c>
    </row>
    <row r="63" ht="15" customHeight="1">
      <c r="A63" t="inlineStr">
        <is>
          <t>S 3028-2023</t>
        </is>
      </c>
      <c r="B63" t="inlineStr">
        <is>
          <t>samrådsanmälan</t>
        </is>
      </c>
      <c r="C63" t="inlineStr">
        <is>
          <t>Askåterföring</t>
        </is>
      </c>
      <c r="D63" s="1" t="n">
        <v>45177</v>
      </c>
      <c r="E63" s="1" t="n">
        <v>46312</v>
      </c>
      <c r="F63" t="inlineStr">
        <is>
          <t>SKÅNE LÄN</t>
        </is>
      </c>
      <c r="G63" t="inlineStr">
        <is>
          <t>OSBY</t>
        </is>
      </c>
      <c r="H63" t="inlineStr">
        <is>
          <t>Kommuner</t>
        </is>
      </c>
      <c r="I63" t="n">
        <v>80.3</v>
      </c>
      <c r="J63" t="n">
        <v>7</v>
      </c>
      <c r="K63" t="n">
        <v>0</v>
      </c>
      <c r="L63" t="n">
        <v>3</v>
      </c>
      <c r="M63" t="n">
        <v>1</v>
      </c>
      <c r="N63" t="n">
        <v>0</v>
      </c>
      <c r="O63" t="n">
        <v>0</v>
      </c>
      <c r="P63" t="n">
        <v>0</v>
      </c>
      <c r="Q63" t="n">
        <v>4</v>
      </c>
      <c r="R63" t="n">
        <v>1</v>
      </c>
      <c r="S63" t="n">
        <v>8</v>
      </c>
      <c r="T63" t="n">
        <v>8</v>
      </c>
      <c r="U63" t="n">
        <v>7</v>
      </c>
      <c r="V63" s="2" t="inlineStr">
        <is>
          <t>Dvärglin
Barbastell
Nordfladdermus
Talltita
Dvärgpipistrell
Havsörn
Trollpipistrell
Vattenfladdermus</t>
        </is>
      </c>
      <c r="W63">
        <f>HYPERLINK("https://klasma.github.io/Logging_1273/artfynd/S 3028-2023 artfynd.xlsx", "S 3028-2023")</f>
        <v/>
      </c>
      <c r="X63">
        <f>HYPERLINK("https://klasma.github.io/Logging_1273/kartor/S 3028-2023 karta.png", "S 3028-2023")</f>
        <v/>
      </c>
      <c r="Y63">
        <f>HYPERLINK("https://klasma.github.io/Logging_1273/kartor_geotiff/S 3028-2023 georefererad karta.tif", "S 3028-2023")</f>
        <v/>
      </c>
      <c r="AA63">
        <f>HYPERLINK("https://klasma.github.io/Logging_1273/klagomål/S 3028-2023 FSC-klagomål.docx", "S 3028-2023")</f>
        <v/>
      </c>
      <c r="AB63">
        <f>HYPERLINK("https://klasma.github.io/Logging_1273/klagomålsmail/S 3028-2023 FSC-klagomål mail.docx", "S 3028-2023")</f>
        <v/>
      </c>
      <c r="AC63">
        <f>HYPERLINK("https://klasma.github.io/Logging_1273/tillsyn/S 3028-2023 tillsynsbegäran.docx", "S 3028-2023")</f>
        <v/>
      </c>
      <c r="AD63">
        <f>HYPERLINK("https://klasma.github.io/Logging_1273/tillsynsmail/S 3028-2023 tillsynsbegäran mail.docx", "S 3028-2023")</f>
        <v/>
      </c>
      <c r="AE63">
        <f>HYPERLINK("https://klasma.github.io/Logging_1273/fåglar/S 3028-2023 prioriterade fågelarter.docx", "S 3028-2023")</f>
        <v/>
      </c>
    </row>
    <row r="64" ht="15" customHeight="1">
      <c r="A64" t="inlineStr">
        <is>
          <t>S 7007-2022</t>
        </is>
      </c>
      <c r="B64" t="inlineStr">
        <is>
          <t>samrådsanmälan</t>
        </is>
      </c>
      <c r="C64" t="inlineStr">
        <is>
          <t>Askåterföring</t>
        </is>
      </c>
      <c r="D64" s="1" t="n">
        <v>44903</v>
      </c>
      <c r="E64" s="1" t="n">
        <v>46312</v>
      </c>
      <c r="F64" t="inlineStr">
        <is>
          <t>SKÅNE LÄN</t>
        </is>
      </c>
      <c r="G64" t="inlineStr">
        <is>
          <t>HÄSSLEHOLM</t>
        </is>
      </c>
      <c r="I64" t="n">
        <v>41</v>
      </c>
      <c r="J64" t="n">
        <v>0</v>
      </c>
      <c r="K64" t="n">
        <v>1</v>
      </c>
      <c r="L64" t="n">
        <v>0</v>
      </c>
      <c r="M64" t="n">
        <v>0</v>
      </c>
      <c r="N64" t="n">
        <v>0</v>
      </c>
      <c r="O64" t="n">
        <v>0</v>
      </c>
      <c r="P64" t="n">
        <v>0</v>
      </c>
      <c r="Q64" t="n">
        <v>0</v>
      </c>
      <c r="R64" t="n">
        <v>0</v>
      </c>
      <c r="S64" t="n">
        <v>8</v>
      </c>
      <c r="T64" t="n">
        <v>8</v>
      </c>
      <c r="U64" t="n">
        <v>8</v>
      </c>
      <c r="V64" s="2" t="inlineStr">
        <is>
          <t>Kransrams
Blåbär
Ekorrbär
Kärrviol
Majbräken
Skogsstjärna
Stjärnstarr
Ängskovall</t>
        </is>
      </c>
      <c r="W64">
        <f>HYPERLINK("https://klasma.github.io/Logging_1293/artfynd/S 7007-2022 artfynd.xlsx", "S 7007-2022")</f>
        <v/>
      </c>
      <c r="X64">
        <f>HYPERLINK("https://klasma.github.io/Logging_1293/kartor/S 7007-2022 karta.png", "S 7007-2022")</f>
        <v/>
      </c>
      <c r="Y64">
        <f>HYPERLINK("https://klasma.github.io/Logging_1293/kartor_geotiff/S 7007-2022 georefererad karta.tif", "S 7007-2022")</f>
        <v/>
      </c>
      <c r="AA64">
        <f>HYPERLINK("https://klasma.github.io/Logging_1293/klagomål/S 7007-2022 FSC-klagomål.docx", "S 7007-2022")</f>
        <v/>
      </c>
      <c r="AB64">
        <f>HYPERLINK("https://klasma.github.io/Logging_1293/klagomålsmail/S 7007-2022 FSC-klagomål mail.docx", "S 7007-2022")</f>
        <v/>
      </c>
      <c r="AC64">
        <f>HYPERLINK("https://klasma.github.io/Logging_1293/tillsyn/S 7007-2022 tillsynsbegäran.docx", "S 7007-2022")</f>
        <v/>
      </c>
      <c r="AD64">
        <f>HYPERLINK("https://klasma.github.io/Logging_1293/tillsynsmail/S 7007-2022 tillsynsbegäran mail.docx", "S 7007-2022")</f>
        <v/>
      </c>
    </row>
    <row r="65" ht="15" customHeight="1">
      <c r="A65" t="inlineStr">
        <is>
          <t>S 1105-2024</t>
        </is>
      </c>
      <c r="B65" t="inlineStr">
        <is>
          <t>samrådsanmälan</t>
        </is>
      </c>
      <c r="C65" t="inlineStr">
        <is>
          <t>Askåterföring</t>
        </is>
      </c>
      <c r="D65" s="1" t="n">
        <v>45391</v>
      </c>
      <c r="E65" s="1" t="n">
        <v>46312</v>
      </c>
      <c r="F65" t="inlineStr">
        <is>
          <t>SKÅNE LÄN</t>
        </is>
      </c>
      <c r="G65" t="inlineStr">
        <is>
          <t>KLIPPAN</t>
        </is>
      </c>
      <c r="I65" t="n">
        <v>55.1</v>
      </c>
      <c r="J65" t="n">
        <v>4</v>
      </c>
      <c r="K65" t="n">
        <v>0</v>
      </c>
      <c r="L65" t="n">
        <v>3</v>
      </c>
      <c r="M65" t="n">
        <v>0</v>
      </c>
      <c r="N65" t="n">
        <v>0</v>
      </c>
      <c r="O65" t="n">
        <v>0</v>
      </c>
      <c r="P65" t="n">
        <v>0</v>
      </c>
      <c r="Q65" t="n">
        <v>3</v>
      </c>
      <c r="R65" t="n">
        <v>0</v>
      </c>
      <c r="S65" t="n">
        <v>8</v>
      </c>
      <c r="T65" t="n">
        <v>13</v>
      </c>
      <c r="U65" t="n">
        <v>4</v>
      </c>
      <c r="V65" s="2" t="inlineStr">
        <is>
          <t>Bokkantlav
Stiftklotterlav
Talltita
Glansfläck
Skriftlav
Spillkråka
Kungsfågel
Vanlig padda</t>
        </is>
      </c>
      <c r="W65">
        <f>HYPERLINK("https://klasma.github.io/Logging_1276/artfynd/S 1105-2024 artfynd.xlsx", "S 1105-2024")</f>
        <v/>
      </c>
      <c r="X65">
        <f>HYPERLINK("https://klasma.github.io/Logging_1276/kartor/S 1105-2024 karta.png", "S 1105-2024")</f>
        <v/>
      </c>
      <c r="Y65">
        <f>HYPERLINK("https://klasma.github.io/Logging_1276/kartor_geotiff/S 1105-2024 georefererad karta.tif", "S 1105-2024")</f>
        <v/>
      </c>
      <c r="AA65">
        <f>HYPERLINK("https://klasma.github.io/Logging_1276/klagomål/S 1105-2024 FSC-klagomål.docx", "S 1105-2024")</f>
        <v/>
      </c>
      <c r="AB65">
        <f>HYPERLINK("https://klasma.github.io/Logging_1276/klagomålsmail/S 1105-2024 FSC-klagomål mail.docx", "S 1105-2024")</f>
        <v/>
      </c>
      <c r="AC65">
        <f>HYPERLINK("https://klasma.github.io/Logging_1276/tillsyn/S 1105-2024 tillsynsbegäran.docx", "S 1105-2024")</f>
        <v/>
      </c>
      <c r="AD65">
        <f>HYPERLINK("https://klasma.github.io/Logging_1276/tillsynsmail/S 1105-2024 tillsynsbegäran mail.docx", "S 1105-2024")</f>
        <v/>
      </c>
      <c r="AE65">
        <f>HYPERLINK("https://klasma.github.io/Logging_1276/fåglar/S 1105-2024 prioriterade fågelarter.docx", "S 1105-2024")</f>
        <v/>
      </c>
    </row>
    <row r="66" ht="15" customHeight="1">
      <c r="A66" t="inlineStr">
        <is>
          <t>S 5154-2024</t>
        </is>
      </c>
      <c r="B66" t="inlineStr">
        <is>
          <t>samrådsanmälan</t>
        </is>
      </c>
      <c r="C66" t="inlineStr">
        <is>
          <t>Skogsbilväg</t>
        </is>
      </c>
      <c r="D66" s="1" t="n">
        <v>45646</v>
      </c>
      <c r="E66" s="1" t="n">
        <v>46312</v>
      </c>
      <c r="F66" t="inlineStr">
        <is>
          <t>SKÅNE LÄN</t>
        </is>
      </c>
      <c r="G66" t="inlineStr">
        <is>
          <t>KRISTIANSTAD</t>
        </is>
      </c>
      <c r="I66" t="n">
        <v>1.7</v>
      </c>
      <c r="J66" t="n">
        <v>0</v>
      </c>
      <c r="K66" t="n">
        <v>3</v>
      </c>
      <c r="L66" t="n">
        <v>2</v>
      </c>
      <c r="M66" t="n">
        <v>1</v>
      </c>
      <c r="N66" t="n">
        <v>0</v>
      </c>
      <c r="O66" t="n">
        <v>0</v>
      </c>
      <c r="P66" t="n">
        <v>0</v>
      </c>
      <c r="Q66" t="n">
        <v>3</v>
      </c>
      <c r="R66" t="n">
        <v>1</v>
      </c>
      <c r="S66" t="n">
        <v>8</v>
      </c>
      <c r="T66" t="n">
        <v>8</v>
      </c>
      <c r="U66" t="n">
        <v>2</v>
      </c>
      <c r="V66" s="2" t="inlineStr">
        <is>
          <t>Kejsarspindling
Bokkantlav
Bokvårtlav
Guldlockmossa
Jättesvampmal
Platt fjädermossa
Hampflockel
Skogsbingel</t>
        </is>
      </c>
      <c r="W66">
        <f>HYPERLINK("https://klasma.github.io/Logging_1290/artfynd/S 5154-2024 artfynd.xlsx", "S 5154-2024")</f>
        <v/>
      </c>
      <c r="X66">
        <f>HYPERLINK("https://klasma.github.io/Logging_1290/kartor/S 5154-2024 karta.png", "S 5154-2024")</f>
        <v/>
      </c>
      <c r="Y66">
        <f>HYPERLINK("https://klasma.github.io/Logging_1290/kartor_geotiff/S 5154-2024 georefererad karta.tif", "S 5154-2024")</f>
        <v/>
      </c>
      <c r="AA66">
        <f>HYPERLINK("https://klasma.github.io/Logging_1290/klagomål/S 5154-2024 FSC-klagomål.docx", "S 5154-2024")</f>
        <v/>
      </c>
      <c r="AB66">
        <f>HYPERLINK("https://klasma.github.io/Logging_1290/klagomålsmail/S 5154-2024 FSC-klagomål mail.docx", "S 5154-2024")</f>
        <v/>
      </c>
      <c r="AC66">
        <f>HYPERLINK("https://klasma.github.io/Logging_1290/tillsyn/S 5154-2024 tillsynsbegäran.docx", "S 5154-2024")</f>
        <v/>
      </c>
      <c r="AD66">
        <f>HYPERLINK("https://klasma.github.io/Logging_1290/tillsynsmail/S 5154-2024 tillsynsbegäran mail.docx", "S 5154-2024")</f>
        <v/>
      </c>
    </row>
    <row r="67" ht="15" customHeight="1">
      <c r="A67" t="inlineStr">
        <is>
          <t>S 3928-2024</t>
        </is>
      </c>
      <c r="B67" t="inlineStr">
        <is>
          <t>samrådsanmälan</t>
        </is>
      </c>
      <c r="C67" t="inlineStr">
        <is>
          <t>Askåterföring</t>
        </is>
      </c>
      <c r="D67" s="1" t="n">
        <v>45565</v>
      </c>
      <c r="E67" s="1" t="n">
        <v>46312</v>
      </c>
      <c r="F67" t="inlineStr">
        <is>
          <t>SKÅNE LÄN</t>
        </is>
      </c>
      <c r="G67" t="inlineStr">
        <is>
          <t>BÅSTAD</t>
        </is>
      </c>
      <c r="I67" t="n">
        <v>52.8</v>
      </c>
      <c r="J67" t="n">
        <v>6</v>
      </c>
      <c r="K67" t="n">
        <v>1</v>
      </c>
      <c r="L67" t="n">
        <v>3</v>
      </c>
      <c r="M67" t="n">
        <v>0</v>
      </c>
      <c r="N67" t="n">
        <v>0</v>
      </c>
      <c r="O67" t="n">
        <v>0</v>
      </c>
      <c r="P67" t="n">
        <v>0</v>
      </c>
      <c r="Q67" t="n">
        <v>3</v>
      </c>
      <c r="R67" t="n">
        <v>0</v>
      </c>
      <c r="S67" t="n">
        <v>8</v>
      </c>
      <c r="T67" t="n">
        <v>12</v>
      </c>
      <c r="U67" t="n">
        <v>0</v>
      </c>
      <c r="V67" s="2" t="inlineStr">
        <is>
          <t>Entita
Talltita
Älg
Kambräken
Spillkråka
Grönsiska
Kungsfågel
Revlummer</t>
        </is>
      </c>
      <c r="W67">
        <f>HYPERLINK("https://klasma.github.io/Logging_1278/artfynd/S 3928-2024 artfynd.xlsx", "S 3928-2024")</f>
        <v/>
      </c>
      <c r="X67">
        <f>HYPERLINK("https://klasma.github.io/Logging_1278/kartor/S 3928-2024 karta.png", "S 3928-2024")</f>
        <v/>
      </c>
      <c r="Y67">
        <f>HYPERLINK("https://klasma.github.io/Logging_1278/kartor_geotiff/S 3928-2024 georefererad karta.tif", "S 3928-2024")</f>
        <v/>
      </c>
      <c r="AA67">
        <f>HYPERLINK("https://klasma.github.io/Logging_1278/klagomål/S 3928-2024 FSC-klagomål.docx", "S 3928-2024")</f>
        <v/>
      </c>
      <c r="AB67">
        <f>HYPERLINK("https://klasma.github.io/Logging_1278/klagomålsmail/S 3928-2024 FSC-klagomål mail.docx", "S 3928-2024")</f>
        <v/>
      </c>
      <c r="AC67">
        <f>HYPERLINK("https://klasma.github.io/Logging_1278/tillsyn/S 3928-2024 tillsynsbegäran.docx", "S 3928-2024")</f>
        <v/>
      </c>
      <c r="AD67">
        <f>HYPERLINK("https://klasma.github.io/Logging_1278/tillsynsmail/S 3928-2024 tillsynsbegäran mail.docx", "S 3928-2024")</f>
        <v/>
      </c>
      <c r="AE67">
        <f>HYPERLINK("https://klasma.github.io/Logging_1278/fåglar/S 3928-2024 prioriterade fågelarter.docx", "S 3928-2024")</f>
        <v/>
      </c>
    </row>
    <row r="68" ht="15" customHeight="1">
      <c r="A68" t="inlineStr">
        <is>
          <t>S 10275-2021</t>
        </is>
      </c>
      <c r="B68" t="inlineStr">
        <is>
          <t>samrådsanmälan</t>
        </is>
      </c>
      <c r="C68" t="inlineStr">
        <is>
          <t>Åtgärd i nyckelbiotop</t>
        </is>
      </c>
      <c r="D68" s="1" t="n">
        <v>44544</v>
      </c>
      <c r="E68" s="1" t="n">
        <v>46312</v>
      </c>
      <c r="F68" t="inlineStr">
        <is>
          <t>SKÅNE LÄN</t>
        </is>
      </c>
      <c r="G68" t="inlineStr">
        <is>
          <t>SJÖBO</t>
        </is>
      </c>
      <c r="I68" t="n">
        <v>1.7</v>
      </c>
      <c r="J68" t="n">
        <v>7</v>
      </c>
      <c r="K68" t="n">
        <v>0</v>
      </c>
      <c r="L68" t="n">
        <v>4</v>
      </c>
      <c r="M68" t="n">
        <v>0</v>
      </c>
      <c r="N68" t="n">
        <v>0</v>
      </c>
      <c r="O68" t="n">
        <v>0</v>
      </c>
      <c r="P68" t="n">
        <v>0</v>
      </c>
      <c r="Q68" t="n">
        <v>4</v>
      </c>
      <c r="R68" t="n">
        <v>0</v>
      </c>
      <c r="S68" t="n">
        <v>8</v>
      </c>
      <c r="T68" t="n">
        <v>8</v>
      </c>
      <c r="U68" t="n">
        <v>8</v>
      </c>
      <c r="V68" s="2" t="inlineStr">
        <is>
          <t>Brunlångöra
Fransfladdermus
Nordfladdermus
Åkerrödtoppa
Dvärgpipistrell
Större brunfladdermus
Trollpipistrell
Vattenfladdermus</t>
        </is>
      </c>
      <c r="W68">
        <f>HYPERLINK("https://klasma.github.io/Logging_1265/artfynd/S 10275-2021 artfynd.xlsx", "S 10275-2021")</f>
        <v/>
      </c>
      <c r="X68">
        <f>HYPERLINK("https://klasma.github.io/Logging_1265/kartor/S 10275-2021 karta.png", "S 10275-2021")</f>
        <v/>
      </c>
      <c r="Y68">
        <f>HYPERLINK("https://klasma.github.io/Logging_1265/kartor_geotiff/S 10275-2021 georefererad karta.tif", "S 10275-2021")</f>
        <v/>
      </c>
      <c r="AA68">
        <f>HYPERLINK("https://klasma.github.io/Logging_1265/klagomål/S 10275-2021 FSC-klagomål.docx", "S 10275-2021")</f>
        <v/>
      </c>
      <c r="AB68">
        <f>HYPERLINK("https://klasma.github.io/Logging_1265/klagomålsmail/S 10275-2021 FSC-klagomål mail.docx", "S 10275-2021")</f>
        <v/>
      </c>
      <c r="AC68">
        <f>HYPERLINK("https://klasma.github.io/Logging_1265/tillsyn/S 10275-2021 tillsynsbegäran.docx", "S 10275-2021")</f>
        <v/>
      </c>
      <c r="AD68">
        <f>HYPERLINK("https://klasma.github.io/Logging_1265/tillsynsmail/S 10275-2021 tillsynsbegäran mail.docx", "S 10275-2021")</f>
        <v/>
      </c>
    </row>
    <row r="69" ht="15" customHeight="1">
      <c r="A69" t="inlineStr">
        <is>
          <t>S 146-2024</t>
        </is>
      </c>
      <c r="B69" t="inlineStr">
        <is>
          <t>samrådsanmälan</t>
        </is>
      </c>
      <c r="C69" t="inlineStr">
        <is>
          <t>Askåterföring</t>
        </is>
      </c>
      <c r="D69" s="1" t="n">
        <v>45307</v>
      </c>
      <c r="E69" s="1" t="n">
        <v>46312</v>
      </c>
      <c r="F69" t="inlineStr">
        <is>
          <t>SKÅNE LÄN</t>
        </is>
      </c>
      <c r="G69" t="inlineStr">
        <is>
          <t>ESLÖV</t>
        </is>
      </c>
      <c r="I69" t="n">
        <v>126.5</v>
      </c>
      <c r="J69" t="n">
        <v>5</v>
      </c>
      <c r="K69" t="n">
        <v>0</v>
      </c>
      <c r="L69" t="n">
        <v>2</v>
      </c>
      <c r="M69" t="n">
        <v>2</v>
      </c>
      <c r="N69" t="n">
        <v>0</v>
      </c>
      <c r="O69" t="n">
        <v>0</v>
      </c>
      <c r="P69" t="n">
        <v>1</v>
      </c>
      <c r="Q69" t="n">
        <v>5</v>
      </c>
      <c r="R69" t="n">
        <v>2</v>
      </c>
      <c r="S69" t="n">
        <v>8</v>
      </c>
      <c r="T69" t="n">
        <v>11</v>
      </c>
      <c r="U69" t="n">
        <v>5</v>
      </c>
      <c r="V69" s="2" t="inlineStr">
        <is>
          <t>Förgyllt metallfly
Grönfink
Revig blodrot
Gulsparv
Skogsveronika
Spillkråka
Kungsfågel
Revlummer</t>
        </is>
      </c>
      <c r="W69">
        <f>HYPERLINK("https://klasma.github.io/Logging_1285/artfynd/S 146-2024 artfynd.xlsx", "S 146-2024")</f>
        <v/>
      </c>
      <c r="X69">
        <f>HYPERLINK("https://klasma.github.io/Logging_1285/kartor/S 146-2024 karta.png", "S 146-2024")</f>
        <v/>
      </c>
      <c r="Y69">
        <f>HYPERLINK("https://klasma.github.io/Logging_1285/kartor_geotiff/S 146-2024 georefererad karta.tif", "S 146-2024")</f>
        <v/>
      </c>
      <c r="AA69">
        <f>HYPERLINK("https://klasma.github.io/Logging_1285/klagomål/S 146-2024 FSC-klagomål.docx", "S 146-2024")</f>
        <v/>
      </c>
      <c r="AB69">
        <f>HYPERLINK("https://klasma.github.io/Logging_1285/klagomålsmail/S 146-2024 FSC-klagomål mail.docx", "S 146-2024")</f>
        <v/>
      </c>
      <c r="AC69">
        <f>HYPERLINK("https://klasma.github.io/Logging_1285/tillsyn/S 146-2024 tillsynsbegäran.docx", "S 146-2024")</f>
        <v/>
      </c>
      <c r="AD69">
        <f>HYPERLINK("https://klasma.github.io/Logging_1285/tillsynsmail/S 146-2024 tillsynsbegäran mail.docx", "S 146-2024")</f>
        <v/>
      </c>
      <c r="AE69">
        <f>HYPERLINK("https://klasma.github.io/Logging_1285/fåglar/S 146-2024 prioriterade fågelarter.docx", "S 146-2024")</f>
        <v/>
      </c>
    </row>
    <row r="70" ht="15" customHeight="1">
      <c r="A70" t="inlineStr">
        <is>
          <t>S 1478-2025</t>
        </is>
      </c>
      <c r="B70" t="inlineStr">
        <is>
          <t>samrådsanmälan</t>
        </is>
      </c>
      <c r="C70" t="inlineStr">
        <is>
          <t>Askåterföring</t>
        </is>
      </c>
      <c r="D70" s="1" t="n">
        <v>45786</v>
      </c>
      <c r="E70" s="1" t="n">
        <v>46312</v>
      </c>
      <c r="F70" t="inlineStr">
        <is>
          <t>SKÅNE LÄN</t>
        </is>
      </c>
      <c r="G70" t="inlineStr">
        <is>
          <t>HÖRBY</t>
        </is>
      </c>
      <c r="I70" t="n">
        <v>153.7</v>
      </c>
      <c r="J70" t="n">
        <v>1</v>
      </c>
      <c r="K70" t="n">
        <v>0</v>
      </c>
      <c r="L70" t="n">
        <v>2</v>
      </c>
      <c r="M70" t="n">
        <v>0</v>
      </c>
      <c r="N70" t="n">
        <v>0</v>
      </c>
      <c r="O70" t="n">
        <v>0</v>
      </c>
      <c r="P70" t="n">
        <v>0</v>
      </c>
      <c r="Q70" t="n">
        <v>2</v>
      </c>
      <c r="R70" t="n">
        <v>0</v>
      </c>
      <c r="S70" t="n">
        <v>8</v>
      </c>
      <c r="T70" t="n">
        <v>8</v>
      </c>
      <c r="U70" t="n">
        <v>7</v>
      </c>
      <c r="V70" s="2" t="inlineStr">
        <is>
          <t>Borsttåg
Mörk dunört
Blåbär
Skogsstjärna
Stjärnstarr
Sälg
Ängskovall
Kopparödla</t>
        </is>
      </c>
      <c r="W70">
        <f>HYPERLINK("https://klasma.github.io/Logging_1266/artfynd/S 1478-2025 artfynd.xlsx", "S 1478-2025")</f>
        <v/>
      </c>
      <c r="X70">
        <f>HYPERLINK("https://klasma.github.io/Logging_1266/kartor/S 1478-2025 karta.png", "S 1478-2025")</f>
        <v/>
      </c>
      <c r="Y70">
        <f>HYPERLINK("https://klasma.github.io/Logging_1266/kartor_geotiff/S 1478-2025 georefererad karta.tif", "S 1478-2025")</f>
        <v/>
      </c>
      <c r="AA70">
        <f>HYPERLINK("https://klasma.github.io/Logging_1266/klagomål/S 1478-2025 FSC-klagomål.docx", "S 1478-2025")</f>
        <v/>
      </c>
      <c r="AB70">
        <f>HYPERLINK("https://klasma.github.io/Logging_1266/klagomålsmail/S 1478-2025 FSC-klagomål mail.docx", "S 1478-2025")</f>
        <v/>
      </c>
      <c r="AC70">
        <f>HYPERLINK("https://klasma.github.io/Logging_1266/tillsyn/S 1478-2025 tillsynsbegäran.docx", "S 1478-2025")</f>
        <v/>
      </c>
      <c r="AD70">
        <f>HYPERLINK("https://klasma.github.io/Logging_1266/tillsynsmail/S 1478-2025 tillsynsbegäran mail.docx", "S 1478-2025")</f>
        <v/>
      </c>
    </row>
    <row r="71" ht="15" customHeight="1">
      <c r="A71" t="inlineStr">
        <is>
          <t>S 2933-2025</t>
        </is>
      </c>
      <c r="B71" t="inlineStr">
        <is>
          <t>samrådsanmälan</t>
        </is>
      </c>
      <c r="C71" t="inlineStr">
        <is>
          <t>Askåterföring</t>
        </is>
      </c>
      <c r="D71" s="1" t="n">
        <v>45951</v>
      </c>
      <c r="E71" s="1" t="n">
        <v>46312</v>
      </c>
      <c r="F71" t="inlineStr">
        <is>
          <t>SKÅNE LÄN</t>
        </is>
      </c>
      <c r="G71" t="inlineStr">
        <is>
          <t>HÄSSLEHOLM</t>
        </is>
      </c>
      <c r="I71" t="n">
        <v>35.6</v>
      </c>
      <c r="J71" t="n">
        <v>5</v>
      </c>
      <c r="K71" t="n">
        <v>1</v>
      </c>
      <c r="L71" t="n">
        <v>2</v>
      </c>
      <c r="M71" t="n">
        <v>0</v>
      </c>
      <c r="N71" t="n">
        <v>1</v>
      </c>
      <c r="O71" t="n">
        <v>0</v>
      </c>
      <c r="P71" t="n">
        <v>0</v>
      </c>
      <c r="Q71" t="n">
        <v>3</v>
      </c>
      <c r="R71" t="n">
        <v>1</v>
      </c>
      <c r="S71" t="n">
        <v>8</v>
      </c>
      <c r="T71" t="n">
        <v>13</v>
      </c>
      <c r="U71" t="n">
        <v>0</v>
      </c>
      <c r="V71" s="2" t="inlineStr">
        <is>
          <t>Ask
Grönsångare
Gullpudra
Dvärghäxört
Skogsduva
Vanlig groda
Grönvit nattviol
Revlummer</t>
        </is>
      </c>
      <c r="W71">
        <f>HYPERLINK("https://klasma.github.io/Logging_1293/artfynd/S 2933-2025 artfynd.xlsx", "S 2933-2025")</f>
        <v/>
      </c>
      <c r="X71">
        <f>HYPERLINK("https://klasma.github.io/Logging_1293/kartor/S 2933-2025 karta.png", "S 2933-2025")</f>
        <v/>
      </c>
      <c r="Y71">
        <f>HYPERLINK("https://klasma.github.io/Logging_1293/kartor_geotiff/S 2933-2025 georefererad karta.tif", "S 2933-2025")</f>
        <v/>
      </c>
      <c r="AA71">
        <f>HYPERLINK("https://klasma.github.io/Logging_1293/klagomål/S 2933-2025 FSC-klagomål.docx", "S 2933-2025")</f>
        <v/>
      </c>
      <c r="AB71">
        <f>HYPERLINK("https://klasma.github.io/Logging_1293/klagomålsmail/S 2933-2025 FSC-klagomål mail.docx", "S 2933-2025")</f>
        <v/>
      </c>
      <c r="AC71">
        <f>HYPERLINK("https://klasma.github.io/Logging_1293/tillsyn/S 2933-2025 tillsynsbegäran.docx", "S 2933-2025")</f>
        <v/>
      </c>
      <c r="AD71">
        <f>HYPERLINK("https://klasma.github.io/Logging_1293/tillsynsmail/S 2933-2025 tillsynsbegäran mail.docx", "S 2933-2025")</f>
        <v/>
      </c>
      <c r="AE71">
        <f>HYPERLINK("https://klasma.github.io/Logging_1293/fåglar/S 2933-2025 prioriterade fågelarter.docx", "S 2933-2025")</f>
        <v/>
      </c>
    </row>
    <row r="72" ht="15" customHeight="1">
      <c r="A72" t="inlineStr">
        <is>
          <t>S 1447-2026</t>
        </is>
      </c>
      <c r="B72" t="inlineStr">
        <is>
          <t>samrådsanmälan</t>
        </is>
      </c>
      <c r="C72" t="inlineStr">
        <is>
          <t>Askåterföring</t>
        </is>
      </c>
      <c r="D72" s="1" t="n">
        <v>46160</v>
      </c>
      <c r="E72" s="1" t="n">
        <v>46312</v>
      </c>
      <c r="F72" t="inlineStr">
        <is>
          <t>SKÅNE LÄN</t>
        </is>
      </c>
      <c r="G72" t="inlineStr">
        <is>
          <t>HÖRBY</t>
        </is>
      </c>
      <c r="I72" t="n">
        <v>13.1</v>
      </c>
      <c r="J72" t="n">
        <v>6</v>
      </c>
      <c r="K72" t="n">
        <v>0</v>
      </c>
      <c r="L72" t="n">
        <v>3</v>
      </c>
      <c r="M72" t="n">
        <v>0</v>
      </c>
      <c r="N72" t="n">
        <v>0</v>
      </c>
      <c r="O72" t="n">
        <v>0</v>
      </c>
      <c r="P72" t="n">
        <v>0</v>
      </c>
      <c r="Q72" t="n">
        <v>3</v>
      </c>
      <c r="R72" t="n">
        <v>0</v>
      </c>
      <c r="S72" t="n">
        <v>8</v>
      </c>
      <c r="T72" t="n">
        <v>8</v>
      </c>
      <c r="U72" t="n">
        <v>5</v>
      </c>
      <c r="V72" s="2" t="inlineStr">
        <is>
          <t>Grönsångare
Gulsparv
Mindre hackspett
Gulplister
Liljekonvalj
Spillkråka
Kråka
Svartvit flugsnappare</t>
        </is>
      </c>
      <c r="W72">
        <f>HYPERLINK("https://klasma.github.io/Logging_1266/artfynd/S 1447-2026 artfynd.xlsx", "S 1447-2026")</f>
        <v/>
      </c>
      <c r="X72">
        <f>HYPERLINK("https://klasma.github.io/Logging_1266/kartor/S 1447-2026 karta.png", "S 1447-2026")</f>
        <v/>
      </c>
      <c r="Y72">
        <f>HYPERLINK("https://klasma.github.io/Logging_1266/kartor_geotiff/S 1447-2026 georefererad karta.tif", "S 1447-2026")</f>
        <v/>
      </c>
      <c r="AA72">
        <f>HYPERLINK("https://klasma.github.io/Logging_1266/klagomål/S 1447-2026 FSC-klagomål.docx", "S 1447-2026")</f>
        <v/>
      </c>
      <c r="AB72">
        <f>HYPERLINK("https://klasma.github.io/Logging_1266/klagomålsmail/S 1447-2026 FSC-klagomål mail.docx", "S 1447-2026")</f>
        <v/>
      </c>
      <c r="AC72">
        <f>HYPERLINK("https://klasma.github.io/Logging_1266/tillsyn/S 1447-2026 tillsynsbegäran.docx", "S 1447-2026")</f>
        <v/>
      </c>
      <c r="AD72">
        <f>HYPERLINK("https://klasma.github.io/Logging_1266/tillsynsmail/S 1447-2026 tillsynsbegäran mail.docx", "S 1447-2026")</f>
        <v/>
      </c>
      <c r="AE72">
        <f>HYPERLINK("https://klasma.github.io/Logging_1266/fåglar/S 1447-2026 prioriterade fågelarter.docx", "S 1447-2026")</f>
        <v/>
      </c>
    </row>
    <row r="73" ht="15" customHeight="1">
      <c r="A73" t="inlineStr">
        <is>
          <t>A 1481-2022</t>
        </is>
      </c>
      <c r="B73" t="inlineStr">
        <is>
          <t>avverkningsanmälan</t>
        </is>
      </c>
      <c r="C73" t="inlineStr">
        <is>
          <t>Föryngringsavverkning</t>
        </is>
      </c>
      <c r="D73" s="1" t="n">
        <v>44573</v>
      </c>
      <c r="E73" s="1" t="n">
        <v>46312</v>
      </c>
      <c r="F73" t="inlineStr">
        <is>
          <t>SKÅNE LÄN</t>
        </is>
      </c>
      <c r="G73" t="inlineStr">
        <is>
          <t>KÄVLINGE</t>
        </is>
      </c>
      <c r="I73" t="n">
        <v>7.8</v>
      </c>
      <c r="J73" t="n">
        <v>4</v>
      </c>
      <c r="K73" t="n">
        <v>2</v>
      </c>
      <c r="L73" t="n">
        <v>3</v>
      </c>
      <c r="M73" t="n">
        <v>0</v>
      </c>
      <c r="N73" t="n">
        <v>0</v>
      </c>
      <c r="O73" t="n">
        <v>0</v>
      </c>
      <c r="P73" t="n">
        <v>0</v>
      </c>
      <c r="Q73" t="n">
        <v>3</v>
      </c>
      <c r="R73" t="n">
        <v>0</v>
      </c>
      <c r="S73" t="n">
        <v>7</v>
      </c>
      <c r="T73" t="n">
        <v>7</v>
      </c>
      <c r="U73" t="n">
        <v>3</v>
      </c>
      <c r="V73" s="2" t="inlineStr">
        <is>
          <t>Grönsångare
Kardinalrödrock
Sadelmurkla
Kragjordstjärna
Skogsknipprot
Spillkråka
Grönsiska</t>
        </is>
      </c>
      <c r="W73">
        <f>HYPERLINK("https://klasma.github.io/Logging_1261/artfynd/A 1481-2022 artfynd.xlsx", "A 1481-2022")</f>
        <v/>
      </c>
      <c r="X73">
        <f>HYPERLINK("https://klasma.github.io/Logging_1261/kartor/A 1481-2022 karta.png", "A 1481-2022")</f>
        <v/>
      </c>
      <c r="Y73">
        <f>HYPERLINK("https://klasma.github.io/Logging_1261/kartor_geotiff/A 1481-2022 georefererad karta.tif", "A 1481-2022")</f>
        <v/>
      </c>
      <c r="AA73">
        <f>HYPERLINK("https://klasma.github.io/Logging_1261/klagomål/A 1481-2022 FSC-klagomål.docx", "A 1481-2022")</f>
        <v/>
      </c>
      <c r="AB73">
        <f>HYPERLINK("https://klasma.github.io/Logging_1261/klagomålsmail/A 1481-2022 FSC-klagomål mail.docx", "A 1481-2022")</f>
        <v/>
      </c>
      <c r="AC73">
        <f>HYPERLINK("https://klasma.github.io/Logging_1261/tillsyn/A 1481-2022 tillsynsbegäran.docx", "A 1481-2022")</f>
        <v/>
      </c>
      <c r="AD73">
        <f>HYPERLINK("https://klasma.github.io/Logging_1261/tillsynsmail/A 1481-2022 tillsynsbegäran mail.docx", "A 1481-2022")</f>
        <v/>
      </c>
      <c r="AE73">
        <f>HYPERLINK("https://klasma.github.io/Logging_1261/fåglar/A 1481-2022 prioriterade fågelarter.docx", "A 1481-2022")</f>
        <v/>
      </c>
    </row>
    <row r="74" ht="15" customHeight="1">
      <c r="A74" t="inlineStr">
        <is>
          <t>A 53826-2024</t>
        </is>
      </c>
      <c r="B74" t="inlineStr">
        <is>
          <t>avverkningsanmälan</t>
        </is>
      </c>
      <c r="C74" t="inlineStr">
        <is>
          <t>Avverkning för annat ändamål</t>
        </is>
      </c>
      <c r="D74" s="1" t="n">
        <v>45615</v>
      </c>
      <c r="E74" s="1" t="n">
        <v>46312</v>
      </c>
      <c r="F74" t="inlineStr">
        <is>
          <t>SKÅNE LÄN</t>
        </is>
      </c>
      <c r="G74" t="inlineStr">
        <is>
          <t>ESLÖV</t>
        </is>
      </c>
      <c r="I74" t="n">
        <v>1.2</v>
      </c>
      <c r="J74" t="n">
        <v>1</v>
      </c>
      <c r="K74" t="n">
        <v>5</v>
      </c>
      <c r="L74" t="n">
        <v>1</v>
      </c>
      <c r="M74" t="n">
        <v>0</v>
      </c>
      <c r="N74" t="n">
        <v>1</v>
      </c>
      <c r="O74" t="n">
        <v>0</v>
      </c>
      <c r="P74" t="n">
        <v>0</v>
      </c>
      <c r="Q74" t="n">
        <v>2</v>
      </c>
      <c r="R74" t="n">
        <v>1</v>
      </c>
      <c r="S74" t="n">
        <v>7</v>
      </c>
      <c r="T74" t="n">
        <v>10</v>
      </c>
      <c r="U74" t="n">
        <v>0</v>
      </c>
      <c r="V74" s="2" t="inlineStr">
        <is>
          <t>Ask
Desmeknopp
Myskmadra
Skogsknipprot
Springkorn
Stor häxört
Svart trolldruva</t>
        </is>
      </c>
      <c r="W74">
        <f>HYPERLINK("https://klasma.github.io/Logging_1285/artfynd/A 53826-2024 artfynd.xlsx", "A 53826-2024")</f>
        <v/>
      </c>
      <c r="X74">
        <f>HYPERLINK("https://klasma.github.io/Logging_1285/kartor/A 53826-2024 karta.png", "A 53826-2024")</f>
        <v/>
      </c>
      <c r="Y74">
        <f>HYPERLINK("https://klasma.github.io/Logging_1285/kartor_geotiff/A 53826-2024 georefererad karta.tif", "A 53826-2024")</f>
        <v/>
      </c>
      <c r="AA74">
        <f>HYPERLINK("https://klasma.github.io/Logging_1285/klagomål/A 53826-2024 FSC-klagomål.docx", "A 53826-2024")</f>
        <v/>
      </c>
      <c r="AB74">
        <f>HYPERLINK("https://klasma.github.io/Logging_1285/klagomålsmail/A 53826-2024 FSC-klagomål mail.docx", "A 53826-2024")</f>
        <v/>
      </c>
      <c r="AC74">
        <f>HYPERLINK("https://klasma.github.io/Logging_1285/tillsyn/A 53826-2024 tillsynsbegäran.docx", "A 53826-2024")</f>
        <v/>
      </c>
      <c r="AD74">
        <f>HYPERLINK("https://klasma.github.io/Logging_1285/tillsynsmail/A 53826-2024 tillsynsbegäran mail.docx", "A 53826-2024")</f>
        <v/>
      </c>
    </row>
    <row r="75" ht="15" customHeight="1">
      <c r="A75" t="inlineStr">
        <is>
          <t>A 46341-2025</t>
        </is>
      </c>
      <c r="B75" t="inlineStr">
        <is>
          <t>avverkningsanmälan</t>
        </is>
      </c>
      <c r="C75" t="inlineStr">
        <is>
          <t>Föryngringsavverkning</t>
        </is>
      </c>
      <c r="D75" s="1" t="n">
        <v>45925</v>
      </c>
      <c r="E75" s="1" t="n">
        <v>46312</v>
      </c>
      <c r="F75" t="inlineStr">
        <is>
          <t>SKÅNE LÄN</t>
        </is>
      </c>
      <c r="G75" t="inlineStr">
        <is>
          <t>KRISTIANSTAD</t>
        </is>
      </c>
      <c r="I75" t="n">
        <v>2</v>
      </c>
      <c r="J75" t="n">
        <v>6</v>
      </c>
      <c r="K75" t="n">
        <v>1</v>
      </c>
      <c r="L75" t="n">
        <v>0</v>
      </c>
      <c r="M75" t="n">
        <v>1</v>
      </c>
      <c r="N75" t="n">
        <v>0</v>
      </c>
      <c r="O75" t="n">
        <v>0</v>
      </c>
      <c r="P75" t="n">
        <v>0</v>
      </c>
      <c r="Q75" t="n">
        <v>1</v>
      </c>
      <c r="R75" t="n">
        <v>1</v>
      </c>
      <c r="S75" t="n">
        <v>7</v>
      </c>
      <c r="T75" t="n">
        <v>8</v>
      </c>
      <c r="U75" t="n">
        <v>0</v>
      </c>
      <c r="V75" s="2" t="inlineStr">
        <is>
          <t>Grönfink
Lundbräsma
Blåsippa
Spillkråka
Kungsfågel
Röd glada
Gullviva</t>
        </is>
      </c>
      <c r="W75">
        <f>HYPERLINK("https://klasma.github.io/Logging_1290/artfynd/A 46341-2025 artfynd.xlsx", "A 46341-2025")</f>
        <v/>
      </c>
      <c r="X75">
        <f>HYPERLINK("https://klasma.github.io/Logging_1290/kartor/A 46341-2025 karta.png", "A 46341-2025")</f>
        <v/>
      </c>
      <c r="Y75">
        <f>HYPERLINK("https://klasma.github.io/Logging_1290/kartor_geotiff/A 46341-2025 georefererad karta.tif", "A 46341-2025")</f>
        <v/>
      </c>
      <c r="AA75">
        <f>HYPERLINK("https://klasma.github.io/Logging_1290/klagomål/A 46341-2025 FSC-klagomål.docx", "A 46341-2025")</f>
        <v/>
      </c>
      <c r="AB75">
        <f>HYPERLINK("https://klasma.github.io/Logging_1290/klagomålsmail/A 46341-2025 FSC-klagomål mail.docx", "A 46341-2025")</f>
        <v/>
      </c>
      <c r="AC75">
        <f>HYPERLINK("https://klasma.github.io/Logging_1290/tillsyn/A 46341-2025 tillsynsbegäran.docx", "A 46341-2025")</f>
        <v/>
      </c>
      <c r="AD75">
        <f>HYPERLINK("https://klasma.github.io/Logging_1290/tillsynsmail/A 46341-2025 tillsynsbegäran mail.docx", "A 46341-2025")</f>
        <v/>
      </c>
      <c r="AE75">
        <f>HYPERLINK("https://klasma.github.io/Logging_1290/fåglar/A 46341-2025 prioriterade fågelarter.docx", "A 46341-2025")</f>
        <v/>
      </c>
    </row>
    <row r="76" ht="15" customHeight="1">
      <c r="A76" t="inlineStr">
        <is>
          <t>A 25082-2026</t>
        </is>
      </c>
      <c r="B76" t="inlineStr">
        <is>
          <t>avverkningsanmälan</t>
        </is>
      </c>
      <c r="C76" t="inlineStr">
        <is>
          <t>Avverkning för att bevara och utveckla /försöksver</t>
        </is>
      </c>
      <c r="D76" s="1" t="n">
        <v>46174</v>
      </c>
      <c r="E76" s="1" t="n">
        <v>46312</v>
      </c>
      <c r="F76" t="inlineStr">
        <is>
          <t>SKÅNE LÄN</t>
        </is>
      </c>
      <c r="G76" t="inlineStr">
        <is>
          <t>KRISTIANSTAD</t>
        </is>
      </c>
      <c r="H76" t="inlineStr">
        <is>
          <t>Kommuner</t>
        </is>
      </c>
      <c r="I76" t="n">
        <v>3.8</v>
      </c>
      <c r="J76" t="n">
        <v>4</v>
      </c>
      <c r="K76" t="n">
        <v>3</v>
      </c>
      <c r="L76" t="n">
        <v>1</v>
      </c>
      <c r="M76" t="n">
        <v>0</v>
      </c>
      <c r="N76" t="n">
        <v>0</v>
      </c>
      <c r="O76" t="n">
        <v>0</v>
      </c>
      <c r="P76" t="n">
        <v>0</v>
      </c>
      <c r="Q76" t="n">
        <v>1</v>
      </c>
      <c r="R76" t="n">
        <v>0</v>
      </c>
      <c r="S76" t="n">
        <v>7</v>
      </c>
      <c r="T76" t="n">
        <v>9</v>
      </c>
      <c r="U76" t="n">
        <v>0</v>
      </c>
      <c r="V76" s="2" t="inlineStr">
        <is>
          <t>Grönsångare
Jättesvampmal
Skogsbräsma
Västlig hakmossa
Kungsfågel
Grönvit nattviol
Revlummer</t>
        </is>
      </c>
      <c r="W76">
        <f>HYPERLINK("https://klasma.github.io/Logging_1290/artfynd/A 25082-2026 artfynd.xlsx", "A 25082-2026")</f>
        <v/>
      </c>
      <c r="X76">
        <f>HYPERLINK("https://klasma.github.io/Logging_1290/kartor/A 25082-2026 karta.png", "A 25082-2026")</f>
        <v/>
      </c>
      <c r="Y76">
        <f>HYPERLINK("https://klasma.github.io/Logging_1290/kartor_geotiff/A 25082-2026 georefererad karta.tif", "A 25082-2026")</f>
        <v/>
      </c>
      <c r="AA76">
        <f>HYPERLINK("https://klasma.github.io/Logging_1290/klagomål/A 25082-2026 FSC-klagomål.docx", "A 25082-2026")</f>
        <v/>
      </c>
      <c r="AB76">
        <f>HYPERLINK("https://klasma.github.io/Logging_1290/klagomålsmail/A 25082-2026 FSC-klagomål mail.docx", "A 25082-2026")</f>
        <v/>
      </c>
      <c r="AC76">
        <f>HYPERLINK("https://klasma.github.io/Logging_1290/tillsyn/A 25082-2026 tillsynsbegäran.docx", "A 25082-2026")</f>
        <v/>
      </c>
      <c r="AD76">
        <f>HYPERLINK("https://klasma.github.io/Logging_1290/tillsynsmail/A 25082-2026 tillsynsbegäran mail.docx", "A 25082-2026")</f>
        <v/>
      </c>
      <c r="AE76">
        <f>HYPERLINK("https://klasma.github.io/Logging_1290/fåglar/A 25082-2026 prioriterade fågelarter.docx", "A 25082-2026")</f>
        <v/>
      </c>
    </row>
    <row r="77" ht="15" customHeight="1">
      <c r="A77" t="inlineStr">
        <is>
          <t>A 47608-2022</t>
        </is>
      </c>
      <c r="B77" t="inlineStr">
        <is>
          <t>avverkningsanmälan</t>
        </is>
      </c>
      <c r="C77" t="inlineStr">
        <is>
          <t>Föryngringsavverkning</t>
        </is>
      </c>
      <c r="D77" s="1" t="n">
        <v>44852</v>
      </c>
      <c r="E77" s="1" t="n">
        <v>46312</v>
      </c>
      <c r="F77" t="inlineStr">
        <is>
          <t>SKÅNE LÄN</t>
        </is>
      </c>
      <c r="G77" t="inlineStr">
        <is>
          <t>ÖRKELLJUNGA</t>
        </is>
      </c>
      <c r="H77" t="inlineStr">
        <is>
          <t>Kyrkan</t>
        </is>
      </c>
      <c r="I77" t="n">
        <v>18.8</v>
      </c>
      <c r="J77" t="n">
        <v>0</v>
      </c>
      <c r="K77" t="n">
        <v>5</v>
      </c>
      <c r="L77" t="n">
        <v>2</v>
      </c>
      <c r="M77" t="n">
        <v>0</v>
      </c>
      <c r="N77" t="n">
        <v>0</v>
      </c>
      <c r="O77" t="n">
        <v>0</v>
      </c>
      <c r="P77" t="n">
        <v>0</v>
      </c>
      <c r="Q77" t="n">
        <v>2</v>
      </c>
      <c r="R77" t="n">
        <v>0</v>
      </c>
      <c r="S77" t="n">
        <v>7</v>
      </c>
      <c r="T77" t="n">
        <v>7</v>
      </c>
      <c r="U77" t="n">
        <v>0</v>
      </c>
      <c r="V77" s="2" t="inlineStr">
        <is>
          <t>Bokkantlav
Bokvårtlav
Fjällsopp
Havstulpanlav
Mandelriska
Platt fjädermossa
Stor knopplav</t>
        </is>
      </c>
      <c r="W77">
        <f>HYPERLINK("https://klasma.github.io/Logging_1257/artfynd/A 47608-2022 artfynd.xlsx", "A 47608-2022")</f>
        <v/>
      </c>
      <c r="X77">
        <f>HYPERLINK("https://klasma.github.io/Logging_1257/kartor/A 47608-2022 karta.png", "A 47608-2022")</f>
        <v/>
      </c>
      <c r="Y77">
        <f>HYPERLINK("https://klasma.github.io/Logging_1257/kartor_geotiff/A 47608-2022 georefererad karta.tif", "A 47608-2022")</f>
        <v/>
      </c>
      <c r="AA77">
        <f>HYPERLINK("https://klasma.github.io/Logging_1257/klagomål/A 47608-2022 FSC-klagomål.docx", "A 47608-2022")</f>
        <v/>
      </c>
      <c r="AB77">
        <f>HYPERLINK("https://klasma.github.io/Logging_1257/klagomålsmail/A 47608-2022 FSC-klagomål mail.docx", "A 47608-2022")</f>
        <v/>
      </c>
      <c r="AC77">
        <f>HYPERLINK("https://klasma.github.io/Logging_1257/tillsyn/A 47608-2022 tillsynsbegäran.docx", "A 47608-2022")</f>
        <v/>
      </c>
      <c r="AD77">
        <f>HYPERLINK("https://klasma.github.io/Logging_1257/tillsynsmail/A 47608-2022 tillsynsbegäran mail.docx", "A 47608-2022")</f>
        <v/>
      </c>
    </row>
    <row r="78" ht="15" customHeight="1">
      <c r="A78" t="inlineStr">
        <is>
          <t>A 54761-2025</t>
        </is>
      </c>
      <c r="B78" t="inlineStr">
        <is>
          <t>avverkningsanmälan</t>
        </is>
      </c>
      <c r="C78" t="inlineStr">
        <is>
          <t>Föryngringsavverkning</t>
        </is>
      </c>
      <c r="D78" s="1" t="n">
        <v>45966</v>
      </c>
      <c r="E78" s="1" t="n">
        <v>46312</v>
      </c>
      <c r="F78" t="inlineStr">
        <is>
          <t>SKÅNE LÄN</t>
        </is>
      </c>
      <c r="G78" t="inlineStr">
        <is>
          <t>KRISTIANSTAD</t>
        </is>
      </c>
      <c r="I78" t="n">
        <v>8.5</v>
      </c>
      <c r="J78" t="n">
        <v>3</v>
      </c>
      <c r="K78" t="n">
        <v>1</v>
      </c>
      <c r="L78" t="n">
        <v>3</v>
      </c>
      <c r="M78" t="n">
        <v>1</v>
      </c>
      <c r="N78" t="n">
        <v>0</v>
      </c>
      <c r="O78" t="n">
        <v>0</v>
      </c>
      <c r="P78" t="n">
        <v>0</v>
      </c>
      <c r="Q78" t="n">
        <v>4</v>
      </c>
      <c r="R78" t="n">
        <v>1</v>
      </c>
      <c r="S78" t="n">
        <v>7</v>
      </c>
      <c r="T78" t="n">
        <v>7</v>
      </c>
      <c r="U78" t="n">
        <v>0</v>
      </c>
      <c r="V78" s="2" t="inlineStr">
        <is>
          <t>Mindre bastardsvärmare
Björktrast
Bronssopp
Lamellsnäcka
Lömsk flugsvamp
Spillkråka
Vanlig padda</t>
        </is>
      </c>
      <c r="W78">
        <f>HYPERLINK("https://klasma.github.io/Logging_1290/artfynd/A 54761-2025 artfynd.xlsx", "A 54761-2025")</f>
        <v/>
      </c>
      <c r="X78">
        <f>HYPERLINK("https://klasma.github.io/Logging_1290/kartor/A 54761-2025 karta.png", "A 54761-2025")</f>
        <v/>
      </c>
      <c r="Y78">
        <f>HYPERLINK("https://klasma.github.io/Logging_1290/kartor_geotiff/A 54761-2025 georefererad karta.tif", "A 54761-2025")</f>
        <v/>
      </c>
      <c r="AA78">
        <f>HYPERLINK("https://klasma.github.io/Logging_1290/klagomål/A 54761-2025 FSC-klagomål.docx", "A 54761-2025")</f>
        <v/>
      </c>
      <c r="AB78">
        <f>HYPERLINK("https://klasma.github.io/Logging_1290/klagomålsmail/A 54761-2025 FSC-klagomål mail.docx", "A 54761-2025")</f>
        <v/>
      </c>
      <c r="AC78">
        <f>HYPERLINK("https://klasma.github.io/Logging_1290/tillsyn/A 54761-2025 tillsynsbegäran.docx", "A 54761-2025")</f>
        <v/>
      </c>
      <c r="AD78">
        <f>HYPERLINK("https://klasma.github.io/Logging_1290/tillsynsmail/A 54761-2025 tillsynsbegäran mail.docx", "A 54761-2025")</f>
        <v/>
      </c>
      <c r="AE78">
        <f>HYPERLINK("https://klasma.github.io/Logging_1290/fåglar/A 54761-2025 prioriterade fågelarter.docx", "A 54761-2025")</f>
        <v/>
      </c>
    </row>
    <row r="79" ht="15" customHeight="1">
      <c r="A79" t="inlineStr">
        <is>
          <t>A 28917-2026</t>
        </is>
      </c>
      <c r="B79" t="inlineStr">
        <is>
          <t>avverkningsanmälan</t>
        </is>
      </c>
      <c r="C79" t="inlineStr">
        <is>
          <t>Föryngringsavverkning</t>
        </is>
      </c>
      <c r="D79" s="1" t="n">
        <v>46199</v>
      </c>
      <c r="E79" s="1" t="n">
        <v>46312</v>
      </c>
      <c r="F79" t="inlineStr">
        <is>
          <t>SKÅNE LÄN</t>
        </is>
      </c>
      <c r="G79" t="inlineStr">
        <is>
          <t>KLIPPAN</t>
        </is>
      </c>
      <c r="I79" t="n">
        <v>4.9</v>
      </c>
      <c r="J79" t="n">
        <v>6</v>
      </c>
      <c r="K79" t="n">
        <v>1</v>
      </c>
      <c r="L79" t="n">
        <v>3</v>
      </c>
      <c r="M79" t="n">
        <v>0</v>
      </c>
      <c r="N79" t="n">
        <v>0</v>
      </c>
      <c r="O79" t="n">
        <v>0</v>
      </c>
      <c r="P79" t="n">
        <v>0</v>
      </c>
      <c r="Q79" t="n">
        <v>3</v>
      </c>
      <c r="R79" t="n">
        <v>0</v>
      </c>
      <c r="S79" t="n">
        <v>7</v>
      </c>
      <c r="T79" t="n">
        <v>10</v>
      </c>
      <c r="U79" t="n">
        <v>0</v>
      </c>
      <c r="V79" s="2" t="inlineStr">
        <is>
          <t>Entita
Gulsparv
Mindre hackspett
Kambräken
Grönsiska
Kungsfågel
Röd glada</t>
        </is>
      </c>
      <c r="W79">
        <f>HYPERLINK("https://klasma.github.io/Logging_1276/artfynd/A 28917-2026 artfynd.xlsx", "A 28917-2026")</f>
        <v/>
      </c>
      <c r="X79">
        <f>HYPERLINK("https://klasma.github.io/Logging_1276/kartor/A 28917-2026 karta.png", "A 28917-2026")</f>
        <v/>
      </c>
      <c r="Y79">
        <f>HYPERLINK("https://klasma.github.io/Logging_1276/kartor_geotiff/A 28917-2026 georefererad karta.tif", "A 28917-2026")</f>
        <v/>
      </c>
      <c r="AA79">
        <f>HYPERLINK("https://klasma.github.io/Logging_1276/klagomål/A 28917-2026 FSC-klagomål.docx", "A 28917-2026")</f>
        <v/>
      </c>
      <c r="AB79">
        <f>HYPERLINK("https://klasma.github.io/Logging_1276/klagomålsmail/A 28917-2026 FSC-klagomål mail.docx", "A 28917-2026")</f>
        <v/>
      </c>
      <c r="AC79">
        <f>HYPERLINK("https://klasma.github.io/Logging_1276/tillsyn/A 28917-2026 tillsynsbegäran.docx", "A 28917-2026")</f>
        <v/>
      </c>
      <c r="AD79">
        <f>HYPERLINK("https://klasma.github.io/Logging_1276/tillsynsmail/A 28917-2026 tillsynsbegäran mail.docx", "A 28917-2026")</f>
        <v/>
      </c>
      <c r="AE79">
        <f>HYPERLINK("https://klasma.github.io/Logging_1276/fåglar/A 28917-2026 prioriterade fågelarter.docx", "A 28917-2026")</f>
        <v/>
      </c>
    </row>
    <row r="80" ht="15" customHeight="1">
      <c r="A80" t="inlineStr">
        <is>
          <t>A 62067-2022</t>
        </is>
      </c>
      <c r="B80" t="inlineStr">
        <is>
          <t>avverkningsanmälan</t>
        </is>
      </c>
      <c r="C80" t="inlineStr">
        <is>
          <t>Föryngringsavverkning</t>
        </is>
      </c>
      <c r="D80" s="1" t="n">
        <v>44918</v>
      </c>
      <c r="E80" s="1" t="n">
        <v>46312</v>
      </c>
      <c r="F80" t="inlineStr">
        <is>
          <t>SKÅNE LÄN</t>
        </is>
      </c>
      <c r="G80" t="inlineStr">
        <is>
          <t>KRISTIANSTAD</t>
        </is>
      </c>
      <c r="I80" t="n">
        <v>3</v>
      </c>
      <c r="J80" t="n">
        <v>0</v>
      </c>
      <c r="K80" t="n">
        <v>5</v>
      </c>
      <c r="L80" t="n">
        <v>2</v>
      </c>
      <c r="M80" t="n">
        <v>0</v>
      </c>
      <c r="N80" t="n">
        <v>0</v>
      </c>
      <c r="O80" t="n">
        <v>0</v>
      </c>
      <c r="P80" t="n">
        <v>0</v>
      </c>
      <c r="Q80" t="n">
        <v>2</v>
      </c>
      <c r="R80" t="n">
        <v>0</v>
      </c>
      <c r="S80" t="n">
        <v>7</v>
      </c>
      <c r="T80" t="n">
        <v>9</v>
      </c>
      <c r="U80" t="n">
        <v>6</v>
      </c>
      <c r="V80" s="2" t="inlineStr">
        <is>
          <t>Olivjordtunga
Rödbrun jordtunga
Blodvaxing
Papegojvaxing
Plattad jordtunga
Vitvaxing agg.
Ängsfingersvamp</t>
        </is>
      </c>
      <c r="W80">
        <f>HYPERLINK("https://klasma.github.io/Logging_1290/artfynd/A 62067-2022 artfynd.xlsx", "A 62067-2022")</f>
        <v/>
      </c>
      <c r="X80">
        <f>HYPERLINK("https://klasma.github.io/Logging_1290/kartor/A 62067-2022 karta.png", "A 62067-2022")</f>
        <v/>
      </c>
      <c r="Y80">
        <f>HYPERLINK("https://klasma.github.io/Logging_1290/kartor_geotiff/A 62067-2022 georefererad karta.tif", "A 62067-2022")</f>
        <v/>
      </c>
      <c r="AA80">
        <f>HYPERLINK("https://klasma.github.io/Logging_1290/klagomål/A 62067-2022 FSC-klagomål.docx", "A 62067-2022")</f>
        <v/>
      </c>
      <c r="AB80">
        <f>HYPERLINK("https://klasma.github.io/Logging_1290/klagomålsmail/A 62067-2022 FSC-klagomål mail.docx", "A 62067-2022")</f>
        <v/>
      </c>
      <c r="AC80">
        <f>HYPERLINK("https://klasma.github.io/Logging_1290/tillsyn/A 62067-2022 tillsynsbegäran.docx", "A 62067-2022")</f>
        <v/>
      </c>
      <c r="AD80">
        <f>HYPERLINK("https://klasma.github.io/Logging_1290/tillsynsmail/A 62067-2022 tillsynsbegäran mail.docx", "A 62067-2022")</f>
        <v/>
      </c>
    </row>
    <row r="81" ht="15" customHeight="1">
      <c r="A81" t="inlineStr">
        <is>
          <t>A 30552-2026</t>
        </is>
      </c>
      <c r="B81" t="inlineStr">
        <is>
          <t>avverkningsanmälan</t>
        </is>
      </c>
      <c r="C81" t="inlineStr">
        <is>
          <t>Föryngringsavverkning</t>
        </is>
      </c>
      <c r="D81" s="1" t="n">
        <v>46210</v>
      </c>
      <c r="E81" s="1" t="n">
        <v>46312</v>
      </c>
      <c r="F81" t="inlineStr">
        <is>
          <t>SKÅNE LÄN</t>
        </is>
      </c>
      <c r="G81" t="inlineStr">
        <is>
          <t>HÄSSLEHOLM</t>
        </is>
      </c>
      <c r="I81" t="n">
        <v>5.6</v>
      </c>
      <c r="J81" t="n">
        <v>0</v>
      </c>
      <c r="K81" t="n">
        <v>1</v>
      </c>
      <c r="L81" t="n">
        <v>0</v>
      </c>
      <c r="M81" t="n">
        <v>0</v>
      </c>
      <c r="N81" t="n">
        <v>0</v>
      </c>
      <c r="O81" t="n">
        <v>0</v>
      </c>
      <c r="P81" t="n">
        <v>0</v>
      </c>
      <c r="Q81" t="n">
        <v>0</v>
      </c>
      <c r="R81" t="n">
        <v>0</v>
      </c>
      <c r="S81" t="n">
        <v>7</v>
      </c>
      <c r="T81" t="n">
        <v>9</v>
      </c>
      <c r="U81" t="n">
        <v>9</v>
      </c>
      <c r="V81" s="2" t="inlineStr">
        <is>
          <t>Grå skärelav
Ekbräken
Glansfläck
Hultbräken
Kärrfibbla
Majbräken
Skärmstarr</t>
        </is>
      </c>
      <c r="W81">
        <f>HYPERLINK("https://klasma.github.io/Logging_1293/artfynd/A 30552-2026 artfynd.xlsx", "A 30552-2026")</f>
        <v/>
      </c>
      <c r="X81">
        <f>HYPERLINK("https://klasma.github.io/Logging_1293/kartor/A 30552-2026 karta.png", "A 30552-2026")</f>
        <v/>
      </c>
      <c r="Y81">
        <f>HYPERLINK("https://klasma.github.io/Logging_1293/kartor_geotiff/A 30552-2026 georefererad karta.tif", "A 30552-2026")</f>
        <v/>
      </c>
      <c r="AA81">
        <f>HYPERLINK("https://klasma.github.io/Logging_1293/klagomål/A 30552-2026 FSC-klagomål.docx", "A 30552-2026")</f>
        <v/>
      </c>
      <c r="AB81">
        <f>HYPERLINK("https://klasma.github.io/Logging_1293/klagomålsmail/A 30552-2026 FSC-klagomål mail.docx", "A 30552-2026")</f>
        <v/>
      </c>
      <c r="AC81">
        <f>HYPERLINK("https://klasma.github.io/Logging_1293/tillsyn/A 30552-2026 tillsynsbegäran.docx", "A 30552-2026")</f>
        <v/>
      </c>
      <c r="AD81">
        <f>HYPERLINK("https://klasma.github.io/Logging_1293/tillsynsmail/A 30552-2026 tillsynsbegäran mail.docx", "A 30552-2026")</f>
        <v/>
      </c>
    </row>
    <row r="82" ht="15" customHeight="1">
      <c r="A82" t="inlineStr">
        <is>
          <t>A 15794-2026</t>
        </is>
      </c>
      <c r="B82" t="inlineStr">
        <is>
          <t>avverkningsanmälan</t>
        </is>
      </c>
      <c r="C82" t="inlineStr">
        <is>
          <t>Föryngringsavverkning</t>
        </is>
      </c>
      <c r="D82" s="1" t="n">
        <v>46107</v>
      </c>
      <c r="E82" s="1" t="n">
        <v>46312</v>
      </c>
      <c r="F82" t="inlineStr">
        <is>
          <t>SKÅNE LÄN</t>
        </is>
      </c>
      <c r="G82" t="inlineStr">
        <is>
          <t>KLIPPAN</t>
        </is>
      </c>
      <c r="I82" t="n">
        <v>2.1</v>
      </c>
      <c r="J82" t="n">
        <v>6</v>
      </c>
      <c r="K82" t="n">
        <v>0</v>
      </c>
      <c r="L82" t="n">
        <v>4</v>
      </c>
      <c r="M82" t="n">
        <v>0</v>
      </c>
      <c r="N82" t="n">
        <v>0</v>
      </c>
      <c r="O82" t="n">
        <v>0</v>
      </c>
      <c r="P82" t="n">
        <v>0</v>
      </c>
      <c r="Q82" t="n">
        <v>4</v>
      </c>
      <c r="R82" t="n">
        <v>0</v>
      </c>
      <c r="S82" t="n">
        <v>7</v>
      </c>
      <c r="T82" t="n">
        <v>7</v>
      </c>
      <c r="U82" t="n">
        <v>7</v>
      </c>
      <c r="V82" s="2" t="inlineStr">
        <is>
          <t>Entita
Gullpudra
Gulsparv
Rödvingetrast
Spillkråka
Kungsfågel
Skogsduva</t>
        </is>
      </c>
      <c r="W82">
        <f>HYPERLINK("https://klasma.github.io/Logging_1276/artfynd/A 15794-2026 artfynd.xlsx", "A 15794-2026")</f>
        <v/>
      </c>
      <c r="X82">
        <f>HYPERLINK("https://klasma.github.io/Logging_1276/kartor/A 15794-2026 karta.png", "A 15794-2026")</f>
        <v/>
      </c>
      <c r="Y82">
        <f>HYPERLINK("https://klasma.github.io/Logging_1276/kartor_geotiff/A 15794-2026 georefererad karta.tif", "A 15794-2026")</f>
        <v/>
      </c>
      <c r="AA82">
        <f>HYPERLINK("https://klasma.github.io/Logging_1276/klagomål/A 15794-2026 FSC-klagomål.docx", "A 15794-2026")</f>
        <v/>
      </c>
      <c r="AB82">
        <f>HYPERLINK("https://klasma.github.io/Logging_1276/klagomålsmail/A 15794-2026 FSC-klagomål mail.docx", "A 15794-2026")</f>
        <v/>
      </c>
      <c r="AC82">
        <f>HYPERLINK("https://klasma.github.io/Logging_1276/tillsyn/A 15794-2026 tillsynsbegäran.docx", "A 15794-2026")</f>
        <v/>
      </c>
      <c r="AD82">
        <f>HYPERLINK("https://klasma.github.io/Logging_1276/tillsynsmail/A 15794-2026 tillsynsbegäran mail.docx", "A 15794-2026")</f>
        <v/>
      </c>
      <c r="AE82">
        <f>HYPERLINK("https://klasma.github.io/Logging_1276/fåglar/A 15794-2026 prioriterade fågelarter.docx", "A 15794-2026")</f>
        <v/>
      </c>
    </row>
    <row r="83" ht="15" customHeight="1">
      <c r="A83" t="inlineStr">
        <is>
          <t>A 56742-2023</t>
        </is>
      </c>
      <c r="B83" t="inlineStr">
        <is>
          <t>avverkningsanmälan</t>
        </is>
      </c>
      <c r="C83" t="inlineStr">
        <is>
          <t>Föryngringsavverkning</t>
        </is>
      </c>
      <c r="D83" s="1" t="n">
        <v>45238</v>
      </c>
      <c r="E83" s="1" t="n">
        <v>46312</v>
      </c>
      <c r="F83" t="inlineStr">
        <is>
          <t>SKÅNE LÄN</t>
        </is>
      </c>
      <c r="G83" t="inlineStr">
        <is>
          <t>HÖRBY</t>
        </is>
      </c>
      <c r="I83" t="n">
        <v>8.699999999999999</v>
      </c>
      <c r="J83" t="n">
        <v>6</v>
      </c>
      <c r="K83" t="n">
        <v>1</v>
      </c>
      <c r="L83" t="n">
        <v>1</v>
      </c>
      <c r="M83" t="n">
        <v>0</v>
      </c>
      <c r="N83" t="n">
        <v>0</v>
      </c>
      <c r="O83" t="n">
        <v>0</v>
      </c>
      <c r="P83" t="n">
        <v>0</v>
      </c>
      <c r="Q83" t="n">
        <v>1</v>
      </c>
      <c r="R83" t="n">
        <v>0</v>
      </c>
      <c r="S83" t="n">
        <v>7</v>
      </c>
      <c r="T83" t="n">
        <v>9</v>
      </c>
      <c r="U83" t="n">
        <v>0</v>
      </c>
      <c r="V83" s="2" t="inlineStr">
        <is>
          <t>Mindre hackspett
Scharlakansskål
Spillkråka
Kråka
Näktergal
Skogsödla
Grönvit nattviol</t>
        </is>
      </c>
      <c r="W83">
        <f>HYPERLINK("https://klasma.github.io/Logging_1266/artfynd/A 56742-2023 artfynd.xlsx", "A 56742-2023")</f>
        <v/>
      </c>
      <c r="X83">
        <f>HYPERLINK("https://klasma.github.io/Logging_1266/kartor/A 56742-2023 karta.png", "A 56742-2023")</f>
        <v/>
      </c>
      <c r="Y83">
        <f>HYPERLINK("https://klasma.github.io/Logging_1266/kartor_geotiff/A 56742-2023 georefererad karta.tif", "A 56742-2023")</f>
        <v/>
      </c>
      <c r="AA83">
        <f>HYPERLINK("https://klasma.github.io/Logging_1266/klagomål/A 56742-2023 FSC-klagomål.docx", "A 56742-2023")</f>
        <v/>
      </c>
      <c r="AB83">
        <f>HYPERLINK("https://klasma.github.io/Logging_1266/klagomålsmail/A 56742-2023 FSC-klagomål mail.docx", "A 56742-2023")</f>
        <v/>
      </c>
      <c r="AC83">
        <f>HYPERLINK("https://klasma.github.io/Logging_1266/tillsyn/A 56742-2023 tillsynsbegäran.docx", "A 56742-2023")</f>
        <v/>
      </c>
      <c r="AD83">
        <f>HYPERLINK("https://klasma.github.io/Logging_1266/tillsynsmail/A 56742-2023 tillsynsbegäran mail.docx", "A 56742-2023")</f>
        <v/>
      </c>
      <c r="AE83">
        <f>HYPERLINK("https://klasma.github.io/Logging_1266/fåglar/A 56742-2023 prioriterade fågelarter.docx", "A 56742-2023")</f>
        <v/>
      </c>
    </row>
    <row r="84" ht="15" customHeight="1">
      <c r="A84" t="inlineStr">
        <is>
          <t>A 28247-2025</t>
        </is>
      </c>
      <c r="B84" t="inlineStr">
        <is>
          <t>avverkningsanmälan</t>
        </is>
      </c>
      <c r="C84" t="inlineStr">
        <is>
          <t>Föryngringsavverkning</t>
        </is>
      </c>
      <c r="D84" s="1" t="n">
        <v>45818</v>
      </c>
      <c r="E84" s="1" t="n">
        <v>46312</v>
      </c>
      <c r="F84" t="inlineStr">
        <is>
          <t>SKÅNE LÄN</t>
        </is>
      </c>
      <c r="G84" t="inlineStr">
        <is>
          <t>SVEDALA</t>
        </is>
      </c>
      <c r="I84" t="n">
        <v>6.2</v>
      </c>
      <c r="J84" t="n">
        <v>2</v>
      </c>
      <c r="K84" t="n">
        <v>4</v>
      </c>
      <c r="L84" t="n">
        <v>2</v>
      </c>
      <c r="M84" t="n">
        <v>0</v>
      </c>
      <c r="N84" t="n">
        <v>0</v>
      </c>
      <c r="O84" t="n">
        <v>0</v>
      </c>
      <c r="P84" t="n">
        <v>0</v>
      </c>
      <c r="Q84" t="n">
        <v>2</v>
      </c>
      <c r="R84" t="n">
        <v>0</v>
      </c>
      <c r="S84" t="n">
        <v>7</v>
      </c>
      <c r="T84" t="n">
        <v>9</v>
      </c>
      <c r="U84" t="n">
        <v>1</v>
      </c>
      <c r="V84" s="2" t="inlineStr">
        <is>
          <t>Bokvårtlav
Skugglosta
Nästrot
Scharlakansskål
Scharlakansvårskål agg.
Trädporella
Kungsfågel</t>
        </is>
      </c>
      <c r="W84">
        <f>HYPERLINK("https://klasma.github.io/Logging_1263/artfynd/A 28247-2025 artfynd.xlsx", "A 28247-2025")</f>
        <v/>
      </c>
      <c r="X84">
        <f>HYPERLINK("https://klasma.github.io/Logging_1263/kartor/A 28247-2025 karta.png", "A 28247-2025")</f>
        <v/>
      </c>
      <c r="Y84">
        <f>HYPERLINK("https://klasma.github.io/Logging_1263/kartor_geotiff/A 28247-2025 georefererad karta.tif", "A 28247-2025")</f>
        <v/>
      </c>
      <c r="AA84">
        <f>HYPERLINK("https://klasma.github.io/Logging_1263/klagomål/A 28247-2025 FSC-klagomål.docx", "A 28247-2025")</f>
        <v/>
      </c>
      <c r="AB84">
        <f>HYPERLINK("https://klasma.github.io/Logging_1263/klagomålsmail/A 28247-2025 FSC-klagomål mail.docx", "A 28247-2025")</f>
        <v/>
      </c>
      <c r="AC84">
        <f>HYPERLINK("https://klasma.github.io/Logging_1263/tillsyn/A 28247-2025 tillsynsbegäran.docx", "A 28247-2025")</f>
        <v/>
      </c>
      <c r="AD84">
        <f>HYPERLINK("https://klasma.github.io/Logging_1263/tillsynsmail/A 28247-2025 tillsynsbegäran mail.docx", "A 28247-2025")</f>
        <v/>
      </c>
    </row>
    <row r="85" ht="15" customHeight="1">
      <c r="A85" t="inlineStr">
        <is>
          <t>A 31991-2025</t>
        </is>
      </c>
      <c r="B85" t="inlineStr">
        <is>
          <t>avverkningsanmälan</t>
        </is>
      </c>
      <c r="C85" t="inlineStr">
        <is>
          <t>Föryngringsavverkning</t>
        </is>
      </c>
      <c r="D85" s="1" t="n">
        <v>45835</v>
      </c>
      <c r="E85" s="1" t="n">
        <v>46312</v>
      </c>
      <c r="F85" t="inlineStr">
        <is>
          <t>SKÅNE LÄN</t>
        </is>
      </c>
      <c r="G85" t="inlineStr">
        <is>
          <t>ÄNGELHOLM</t>
        </is>
      </c>
      <c r="I85" t="n">
        <v>15.1</v>
      </c>
      <c r="J85" t="n">
        <v>3</v>
      </c>
      <c r="K85" t="n">
        <v>3</v>
      </c>
      <c r="L85" t="n">
        <v>1</v>
      </c>
      <c r="M85" t="n">
        <v>0</v>
      </c>
      <c r="N85" t="n">
        <v>0</v>
      </c>
      <c r="O85" t="n">
        <v>0</v>
      </c>
      <c r="P85" t="n">
        <v>0</v>
      </c>
      <c r="Q85" t="n">
        <v>1</v>
      </c>
      <c r="R85" t="n">
        <v>0</v>
      </c>
      <c r="S85" t="n">
        <v>7</v>
      </c>
      <c r="T85" t="n">
        <v>7</v>
      </c>
      <c r="U85" t="n">
        <v>0</v>
      </c>
      <c r="V85" s="2" t="inlineStr">
        <is>
          <t>Älg
Blanksvart trämyra
Rostfläck
Västlig hakmossa
Spillkråka
Kungsfågel
Ärtsångare</t>
        </is>
      </c>
      <c r="W85">
        <f>HYPERLINK("https://klasma.github.io/Logging_1292/artfynd/A 31991-2025 artfynd.xlsx", "A 31991-2025")</f>
        <v/>
      </c>
      <c r="X85">
        <f>HYPERLINK("https://klasma.github.io/Logging_1292/kartor/A 31991-2025 karta.png", "A 31991-2025")</f>
        <v/>
      </c>
      <c r="Y85">
        <f>HYPERLINK("https://klasma.github.io/Logging_1292/kartor_geotiff/A 31991-2025 georefererad karta.tif", "A 31991-2025")</f>
        <v/>
      </c>
      <c r="AA85">
        <f>HYPERLINK("https://klasma.github.io/Logging_1292/klagomål/A 31991-2025 FSC-klagomål.docx", "A 31991-2025")</f>
        <v/>
      </c>
      <c r="AB85">
        <f>HYPERLINK("https://klasma.github.io/Logging_1292/klagomålsmail/A 31991-2025 FSC-klagomål mail.docx", "A 31991-2025")</f>
        <v/>
      </c>
      <c r="AC85">
        <f>HYPERLINK("https://klasma.github.io/Logging_1292/tillsyn/A 31991-2025 tillsynsbegäran.docx", "A 31991-2025")</f>
        <v/>
      </c>
      <c r="AD85">
        <f>HYPERLINK("https://klasma.github.io/Logging_1292/tillsynsmail/A 31991-2025 tillsynsbegäran mail.docx", "A 31991-2025")</f>
        <v/>
      </c>
      <c r="AE85">
        <f>HYPERLINK("https://klasma.github.io/Logging_1292/fåglar/A 31991-2025 prioriterade fågelarter.docx", "A 31991-2025")</f>
        <v/>
      </c>
    </row>
    <row r="86" ht="15" customHeight="1">
      <c r="A86" t="inlineStr">
        <is>
          <t>A 14105-2024</t>
        </is>
      </c>
      <c r="B86" t="inlineStr">
        <is>
          <t>avverkningsanmälan</t>
        </is>
      </c>
      <c r="C86" t="inlineStr">
        <is>
          <t>Föryngringsavverkning</t>
        </is>
      </c>
      <c r="D86" s="1" t="n">
        <v>45392</v>
      </c>
      <c r="E86" s="1" t="n">
        <v>46312</v>
      </c>
      <c r="F86" t="inlineStr">
        <is>
          <t>SKÅNE LÄN</t>
        </is>
      </c>
      <c r="G86" t="inlineStr">
        <is>
          <t>HÄSSLEHOLM</t>
        </is>
      </c>
      <c r="I86" t="n">
        <v>2.7</v>
      </c>
      <c r="J86" t="n">
        <v>6</v>
      </c>
      <c r="K86" t="n">
        <v>0</v>
      </c>
      <c r="L86" t="n">
        <v>4</v>
      </c>
      <c r="M86" t="n">
        <v>0</v>
      </c>
      <c r="N86" t="n">
        <v>0</v>
      </c>
      <c r="O86" t="n">
        <v>0</v>
      </c>
      <c r="P86" t="n">
        <v>0</v>
      </c>
      <c r="Q86" t="n">
        <v>4</v>
      </c>
      <c r="R86" t="n">
        <v>0</v>
      </c>
      <c r="S86" t="n">
        <v>7</v>
      </c>
      <c r="T86" t="n">
        <v>10</v>
      </c>
      <c r="U86" t="n">
        <v>10</v>
      </c>
      <c r="V86" s="2" t="inlineStr">
        <is>
          <t>Barbastell
Bokvårtlav
Brunlångöra
Nordfladdermus
Dvärgpipistrell
Större brunfladdermus
Vattenfladdermus</t>
        </is>
      </c>
      <c r="W86">
        <f>HYPERLINK("https://klasma.github.io/Logging_1293/artfynd/A 14105-2024 artfynd.xlsx", "A 14105-2024")</f>
        <v/>
      </c>
      <c r="X86">
        <f>HYPERLINK("https://klasma.github.io/Logging_1293/kartor/A 14105-2024 karta.png", "A 14105-2024")</f>
        <v/>
      </c>
      <c r="Y86">
        <f>HYPERLINK("https://klasma.github.io/Logging_1293/kartor_geotiff/A 14105-2024 georefererad karta.tif", "A 14105-2024")</f>
        <v/>
      </c>
      <c r="AA86">
        <f>HYPERLINK("https://klasma.github.io/Logging_1293/klagomål/A 14105-2024 FSC-klagomål.docx", "A 14105-2024")</f>
        <v/>
      </c>
      <c r="AB86">
        <f>HYPERLINK("https://klasma.github.io/Logging_1293/klagomålsmail/A 14105-2024 FSC-klagomål mail.docx", "A 14105-2024")</f>
        <v/>
      </c>
      <c r="AC86">
        <f>HYPERLINK("https://klasma.github.io/Logging_1293/tillsyn/A 14105-2024 tillsynsbegäran.docx", "A 14105-2024")</f>
        <v/>
      </c>
      <c r="AD86">
        <f>HYPERLINK("https://klasma.github.io/Logging_1293/tillsynsmail/A 14105-2024 tillsynsbegäran mail.docx", "A 14105-2024")</f>
        <v/>
      </c>
    </row>
    <row r="87" ht="15" customHeight="1">
      <c r="A87" t="inlineStr">
        <is>
          <t>A 17778-2025</t>
        </is>
      </c>
      <c r="B87" t="inlineStr">
        <is>
          <t>avverkningsanmälan</t>
        </is>
      </c>
      <c r="C87" t="inlineStr">
        <is>
          <t>Avverkning för annat ändamål</t>
        </is>
      </c>
      <c r="D87" s="1" t="n">
        <v>45758</v>
      </c>
      <c r="E87" s="1" t="n">
        <v>46312</v>
      </c>
      <c r="F87" t="inlineStr">
        <is>
          <t>SKÅNE LÄN</t>
        </is>
      </c>
      <c r="G87" t="inlineStr">
        <is>
          <t>SJÖBO</t>
        </is>
      </c>
      <c r="I87" t="n">
        <v>12.5</v>
      </c>
      <c r="J87" t="n">
        <v>2</v>
      </c>
      <c r="K87" t="n">
        <v>0</v>
      </c>
      <c r="L87" t="n">
        <v>4</v>
      </c>
      <c r="M87" t="n">
        <v>1</v>
      </c>
      <c r="N87" t="n">
        <v>0</v>
      </c>
      <c r="O87" t="n">
        <v>0</v>
      </c>
      <c r="P87" t="n">
        <v>0</v>
      </c>
      <c r="Q87" t="n">
        <v>5</v>
      </c>
      <c r="R87" t="n">
        <v>1</v>
      </c>
      <c r="S87" t="n">
        <v>7</v>
      </c>
      <c r="T87" t="n">
        <v>13</v>
      </c>
      <c r="U87" t="n">
        <v>7</v>
      </c>
      <c r="V87" s="2" t="inlineStr">
        <is>
          <t>Småvänderot
Granspira
Majviva
Skogslysing
Ängsstarr
Dubbelnycklar
Vanliga ängsnycklar</t>
        </is>
      </c>
      <c r="W87">
        <f>HYPERLINK("https://klasma.github.io/Logging_1265/artfynd/A 17778-2025 artfynd.xlsx", "A 17778-2025")</f>
        <v/>
      </c>
      <c r="X87">
        <f>HYPERLINK("https://klasma.github.io/Logging_1265/kartor/A 17778-2025 karta.png", "A 17778-2025")</f>
        <v/>
      </c>
      <c r="Y87">
        <f>HYPERLINK("https://klasma.github.io/Logging_1265/kartor_geotiff/A 17778-2025 georefererad karta.tif", "A 17778-2025")</f>
        <v/>
      </c>
      <c r="AA87">
        <f>HYPERLINK("https://klasma.github.io/Logging_1265/klagomål/A 17778-2025 FSC-klagomål.docx", "A 17778-2025")</f>
        <v/>
      </c>
      <c r="AB87">
        <f>HYPERLINK("https://klasma.github.io/Logging_1265/klagomålsmail/A 17778-2025 FSC-klagomål mail.docx", "A 17778-2025")</f>
        <v/>
      </c>
      <c r="AC87">
        <f>HYPERLINK("https://klasma.github.io/Logging_1265/tillsyn/A 17778-2025 tillsynsbegäran.docx", "A 17778-2025")</f>
        <v/>
      </c>
      <c r="AD87">
        <f>HYPERLINK("https://klasma.github.io/Logging_1265/tillsynsmail/A 17778-2025 tillsynsbegäran mail.docx", "A 17778-2025")</f>
        <v/>
      </c>
    </row>
    <row r="88" ht="15" customHeight="1">
      <c r="A88" t="inlineStr">
        <is>
          <t>S 5174-2024</t>
        </is>
      </c>
      <c r="B88" t="inlineStr">
        <is>
          <t>samrådsanmälan</t>
        </is>
      </c>
      <c r="C88" t="inlineStr">
        <is>
          <t>Askåterföring</t>
        </is>
      </c>
      <c r="D88" s="1" t="n">
        <v>45646</v>
      </c>
      <c r="E88" s="1" t="n">
        <v>46312</v>
      </c>
      <c r="F88" t="inlineStr">
        <is>
          <t>SKÅNE LÄN</t>
        </is>
      </c>
      <c r="G88" t="inlineStr">
        <is>
          <t>BÅSTAD</t>
        </is>
      </c>
      <c r="I88" t="n">
        <v>43.8</v>
      </c>
      <c r="J88" t="n">
        <v>6</v>
      </c>
      <c r="K88" t="n">
        <v>1</v>
      </c>
      <c r="L88" t="n">
        <v>2</v>
      </c>
      <c r="M88" t="n">
        <v>0</v>
      </c>
      <c r="N88" t="n">
        <v>0</v>
      </c>
      <c r="O88" t="n">
        <v>0</v>
      </c>
      <c r="P88" t="n">
        <v>0</v>
      </c>
      <c r="Q88" t="n">
        <v>2</v>
      </c>
      <c r="R88" t="n">
        <v>0</v>
      </c>
      <c r="S88" t="n">
        <v>7</v>
      </c>
      <c r="T88" t="n">
        <v>13</v>
      </c>
      <c r="U88" t="n">
        <v>0</v>
      </c>
      <c r="V88" s="2" t="inlineStr">
        <is>
          <t>Entita
Talltita
Kambräken
Spillkråka
Grönsiska
Kungsfågel
Revlummer</t>
        </is>
      </c>
      <c r="W88">
        <f>HYPERLINK("https://klasma.github.io/Logging_1278/artfynd/S 5174-2024 artfynd.xlsx", "S 5174-2024")</f>
        <v/>
      </c>
      <c r="X88">
        <f>HYPERLINK("https://klasma.github.io/Logging_1278/kartor/S 5174-2024 karta.png", "S 5174-2024")</f>
        <v/>
      </c>
      <c r="Y88">
        <f>HYPERLINK("https://klasma.github.io/Logging_1278/kartor_geotiff/S 5174-2024 georefererad karta.tif", "S 5174-2024")</f>
        <v/>
      </c>
      <c r="AA88">
        <f>HYPERLINK("https://klasma.github.io/Logging_1278/klagomål/S 5174-2024 FSC-klagomål.docx", "S 5174-2024")</f>
        <v/>
      </c>
      <c r="AB88">
        <f>HYPERLINK("https://klasma.github.io/Logging_1278/klagomålsmail/S 5174-2024 FSC-klagomål mail.docx", "S 5174-2024")</f>
        <v/>
      </c>
      <c r="AC88">
        <f>HYPERLINK("https://klasma.github.io/Logging_1278/tillsyn/S 5174-2024 tillsynsbegäran.docx", "S 5174-2024")</f>
        <v/>
      </c>
      <c r="AD88">
        <f>HYPERLINK("https://klasma.github.io/Logging_1278/tillsynsmail/S 5174-2024 tillsynsbegäran mail.docx", "S 5174-2024")</f>
        <v/>
      </c>
      <c r="AE88">
        <f>HYPERLINK("https://klasma.github.io/Logging_1278/fåglar/S 5174-2024 prioriterade fågelarter.docx", "S 5174-2024")</f>
        <v/>
      </c>
    </row>
    <row r="89" ht="15" customHeight="1">
      <c r="A89" t="inlineStr">
        <is>
          <t>S 1428-2022</t>
        </is>
      </c>
      <c r="B89" t="inlineStr">
        <is>
          <t>samrådsanmälan</t>
        </is>
      </c>
      <c r="C89" t="inlineStr">
        <is>
          <t>Askåterföring</t>
        </is>
      </c>
      <c r="D89" s="1" t="n">
        <v>44634</v>
      </c>
      <c r="E89" s="1" t="n">
        <v>46312</v>
      </c>
      <c r="F89" t="inlineStr">
        <is>
          <t>SKÅNE LÄN</t>
        </is>
      </c>
      <c r="G89" t="inlineStr">
        <is>
          <t>ÖSTRA GÖINGE</t>
        </is>
      </c>
      <c r="I89" t="n">
        <v>34.9</v>
      </c>
      <c r="J89" t="n">
        <v>3</v>
      </c>
      <c r="K89" t="n">
        <v>1</v>
      </c>
      <c r="L89" t="n">
        <v>3</v>
      </c>
      <c r="M89" t="n">
        <v>0</v>
      </c>
      <c r="N89" t="n">
        <v>0</v>
      </c>
      <c r="O89" t="n">
        <v>0</v>
      </c>
      <c r="P89" t="n">
        <v>0</v>
      </c>
      <c r="Q89" t="n">
        <v>3</v>
      </c>
      <c r="R89" t="n">
        <v>0</v>
      </c>
      <c r="S89" t="n">
        <v>7</v>
      </c>
      <c r="T89" t="n">
        <v>13</v>
      </c>
      <c r="U89" t="n">
        <v>4</v>
      </c>
      <c r="V89" s="2" t="inlineStr">
        <is>
          <t>Borsttåg
Gullklöver
Mörk dunört
Västlig hakmossa
Spillkråka
Skogsödla
Revlummer</t>
        </is>
      </c>
      <c r="W89">
        <f>HYPERLINK("https://klasma.github.io/Logging_1256/artfynd/S 1428-2022 artfynd.xlsx", "S 1428-2022")</f>
        <v/>
      </c>
      <c r="X89">
        <f>HYPERLINK("https://klasma.github.io/Logging_1256/kartor/S 1428-2022 karta.png", "S 1428-2022")</f>
        <v/>
      </c>
      <c r="Y89">
        <f>HYPERLINK("https://klasma.github.io/Logging_1256/kartor_geotiff/S 1428-2022 georefererad karta.tif", "S 1428-2022")</f>
        <v/>
      </c>
      <c r="AA89">
        <f>HYPERLINK("https://klasma.github.io/Logging_1256/klagomål/S 1428-2022 FSC-klagomål.docx", "S 1428-2022")</f>
        <v/>
      </c>
      <c r="AB89">
        <f>HYPERLINK("https://klasma.github.io/Logging_1256/klagomålsmail/S 1428-2022 FSC-klagomål mail.docx", "S 1428-2022")</f>
        <v/>
      </c>
      <c r="AC89">
        <f>HYPERLINK("https://klasma.github.io/Logging_1256/tillsyn/S 1428-2022 tillsynsbegäran.docx", "S 1428-2022")</f>
        <v/>
      </c>
      <c r="AD89">
        <f>HYPERLINK("https://klasma.github.io/Logging_1256/tillsynsmail/S 1428-2022 tillsynsbegäran mail.docx", "S 1428-2022")</f>
        <v/>
      </c>
      <c r="AE89">
        <f>HYPERLINK("https://klasma.github.io/Logging_1256/fåglar/S 1428-2022 prioriterade fågelarter.docx", "S 1428-2022")</f>
        <v/>
      </c>
    </row>
    <row r="90" ht="15" customHeight="1">
      <c r="A90" t="inlineStr">
        <is>
          <t>S 429-2024</t>
        </is>
      </c>
      <c r="B90" t="inlineStr">
        <is>
          <t>samrådsanmälan</t>
        </is>
      </c>
      <c r="C90" t="inlineStr">
        <is>
          <t>Askåterföring</t>
        </is>
      </c>
      <c r="D90" s="1" t="n">
        <v>45336</v>
      </c>
      <c r="E90" s="1" t="n">
        <v>46312</v>
      </c>
      <c r="F90" t="inlineStr">
        <is>
          <t>SKÅNE LÄN</t>
        </is>
      </c>
      <c r="G90" t="inlineStr">
        <is>
          <t>KRISTIANSTAD</t>
        </is>
      </c>
      <c r="I90" t="n">
        <v>148.7</v>
      </c>
      <c r="J90" t="n">
        <v>6</v>
      </c>
      <c r="K90" t="n">
        <v>0</v>
      </c>
      <c r="L90" t="n">
        <v>2</v>
      </c>
      <c r="M90" t="n">
        <v>1</v>
      </c>
      <c r="N90" t="n">
        <v>1</v>
      </c>
      <c r="O90" t="n">
        <v>0</v>
      </c>
      <c r="P90" t="n">
        <v>0</v>
      </c>
      <c r="Q90" t="n">
        <v>4</v>
      </c>
      <c r="R90" t="n">
        <v>2</v>
      </c>
      <c r="S90" t="n">
        <v>7</v>
      </c>
      <c r="T90" t="n">
        <v>8</v>
      </c>
      <c r="U90" t="n">
        <v>1</v>
      </c>
      <c r="V90" s="2" t="inlineStr">
        <is>
          <t>Tofsäxing
Stor sandlilja
Barbastell
Brunlångöra
Dvärgpipistrell
Större brunfladdermus
Vattenfladdermus</t>
        </is>
      </c>
      <c r="W90">
        <f>HYPERLINK("https://klasma.github.io/Logging_1290/artfynd/S 429-2024 artfynd.xlsx", "S 429-2024")</f>
        <v/>
      </c>
      <c r="X90">
        <f>HYPERLINK("https://klasma.github.io/Logging_1290/kartor/S 429-2024 karta.png", "S 429-2024")</f>
        <v/>
      </c>
      <c r="Y90">
        <f>HYPERLINK("https://klasma.github.io/Logging_1290/kartor_geotiff/S 429-2024 georefererad karta.tif", "S 429-2024")</f>
        <v/>
      </c>
      <c r="AA90">
        <f>HYPERLINK("https://klasma.github.io/Logging_1290/klagomål/S 429-2024 FSC-klagomål.docx", "S 429-2024")</f>
        <v/>
      </c>
      <c r="AB90">
        <f>HYPERLINK("https://klasma.github.io/Logging_1290/klagomålsmail/S 429-2024 FSC-klagomål mail.docx", "S 429-2024")</f>
        <v/>
      </c>
      <c r="AC90">
        <f>HYPERLINK("https://klasma.github.io/Logging_1290/tillsyn/S 429-2024 tillsynsbegäran.docx", "S 429-2024")</f>
        <v/>
      </c>
      <c r="AD90">
        <f>HYPERLINK("https://klasma.github.io/Logging_1290/tillsynsmail/S 429-2024 tillsynsbegäran mail.docx", "S 429-2024")</f>
        <v/>
      </c>
    </row>
    <row r="91" ht="15" customHeight="1">
      <c r="A91" t="inlineStr">
        <is>
          <t>S 1066-2026</t>
        </is>
      </c>
      <c r="B91" t="inlineStr">
        <is>
          <t>samrådsanmälan</t>
        </is>
      </c>
      <c r="C91" t="inlineStr">
        <is>
          <t>Askåterföring</t>
        </is>
      </c>
      <c r="D91" s="1" t="n">
        <v>46127</v>
      </c>
      <c r="E91" s="1" t="n">
        <v>46312</v>
      </c>
      <c r="F91" t="inlineStr">
        <is>
          <t>SKÅNE LÄN</t>
        </is>
      </c>
      <c r="G91" t="inlineStr">
        <is>
          <t>BROMÖLLA</t>
        </is>
      </c>
      <c r="I91" t="n">
        <v>31.4</v>
      </c>
      <c r="J91" t="n">
        <v>1</v>
      </c>
      <c r="K91" t="n">
        <v>4</v>
      </c>
      <c r="L91" t="n">
        <v>1</v>
      </c>
      <c r="M91" t="n">
        <v>1</v>
      </c>
      <c r="N91" t="n">
        <v>0</v>
      </c>
      <c r="O91" t="n">
        <v>0</v>
      </c>
      <c r="P91" t="n">
        <v>0</v>
      </c>
      <c r="Q91" t="n">
        <v>2</v>
      </c>
      <c r="R91" t="n">
        <v>1</v>
      </c>
      <c r="S91" t="n">
        <v>7</v>
      </c>
      <c r="T91" t="n">
        <v>9</v>
      </c>
      <c r="U91" t="n">
        <v>0</v>
      </c>
      <c r="V91" s="2" t="inlineStr">
        <is>
          <t>Igelkott
Bokvårtlav
Havstulpanlav
Myskmadra
Skogsbräsma
Stor häxört
Grönvit nattviol</t>
        </is>
      </c>
      <c r="W91">
        <f>HYPERLINK("https://klasma.github.io/Logging_1272/artfynd/S 1066-2026 artfynd.xlsx", "S 1066-2026")</f>
        <v/>
      </c>
      <c r="X91">
        <f>HYPERLINK("https://klasma.github.io/Logging_1272/kartor/S 1066-2026 karta.png", "S 1066-2026")</f>
        <v/>
      </c>
      <c r="Y91">
        <f>HYPERLINK("https://klasma.github.io/Logging_1272/kartor_geotiff/S 1066-2026 georefererad karta.tif", "S 1066-2026")</f>
        <v/>
      </c>
      <c r="AA91">
        <f>HYPERLINK("https://klasma.github.io/Logging_1272/klagomål/S 1066-2026 FSC-klagomål.docx", "S 1066-2026")</f>
        <v/>
      </c>
      <c r="AB91">
        <f>HYPERLINK("https://klasma.github.io/Logging_1272/klagomålsmail/S 1066-2026 FSC-klagomål mail.docx", "S 1066-2026")</f>
        <v/>
      </c>
      <c r="AC91">
        <f>HYPERLINK("https://klasma.github.io/Logging_1272/tillsyn/S 1066-2026 tillsynsbegäran.docx", "S 1066-2026")</f>
        <v/>
      </c>
      <c r="AD91">
        <f>HYPERLINK("https://klasma.github.io/Logging_1272/tillsynsmail/S 1066-2026 tillsynsbegäran mail.docx", "S 1066-2026")</f>
        <v/>
      </c>
    </row>
    <row r="92" ht="15" customHeight="1">
      <c r="A92" t="inlineStr">
        <is>
          <t>A 18589-2022</t>
        </is>
      </c>
      <c r="B92" t="inlineStr">
        <is>
          <t>avverkningsanmälan</t>
        </is>
      </c>
      <c r="C92" t="inlineStr">
        <is>
          <t>Föryngringsavverkning</t>
        </is>
      </c>
      <c r="D92" s="1" t="n">
        <v>44687</v>
      </c>
      <c r="E92" s="1" t="n">
        <v>46312</v>
      </c>
      <c r="F92" t="inlineStr">
        <is>
          <t>SKÅNE LÄN</t>
        </is>
      </c>
      <c r="G92" t="inlineStr">
        <is>
          <t>SIMRISHAMN</t>
        </is>
      </c>
      <c r="I92" t="n">
        <v>2.5</v>
      </c>
      <c r="J92" t="n">
        <v>2</v>
      </c>
      <c r="K92" t="n">
        <v>0</v>
      </c>
      <c r="L92" t="n">
        <v>2</v>
      </c>
      <c r="M92" t="n">
        <v>1</v>
      </c>
      <c r="N92" t="n">
        <v>2</v>
      </c>
      <c r="O92" t="n">
        <v>0</v>
      </c>
      <c r="P92" t="n">
        <v>0</v>
      </c>
      <c r="Q92" t="n">
        <v>5</v>
      </c>
      <c r="R92" t="n">
        <v>3</v>
      </c>
      <c r="S92" t="n">
        <v>6</v>
      </c>
      <c r="T92" t="n">
        <v>7</v>
      </c>
      <c r="U92" t="n">
        <v>0</v>
      </c>
      <c r="V92" s="2" t="inlineStr">
        <is>
          <t>Ask
Skogsalm
Backsippa
Sminkrot
Åkerkulla
Långbensgroda</t>
        </is>
      </c>
      <c r="W92">
        <f>HYPERLINK("https://klasma.github.io/Logging_1291/artfynd/A 18589-2022 artfynd.xlsx", "A 18589-2022")</f>
        <v/>
      </c>
      <c r="X92">
        <f>HYPERLINK("https://klasma.github.io/Logging_1291/kartor/A 18589-2022 karta.png", "A 18589-2022")</f>
        <v/>
      </c>
      <c r="Y92">
        <f>HYPERLINK("https://klasma.github.io/Logging_1291/kartor_geotiff/A 18589-2022 georefererad karta.tif", "A 18589-2022")</f>
        <v/>
      </c>
      <c r="AA92">
        <f>HYPERLINK("https://klasma.github.io/Logging_1291/klagomål/A 18589-2022 FSC-klagomål.docx", "A 18589-2022")</f>
        <v/>
      </c>
      <c r="AB92">
        <f>HYPERLINK("https://klasma.github.io/Logging_1291/klagomålsmail/A 18589-2022 FSC-klagomål mail.docx", "A 18589-2022")</f>
        <v/>
      </c>
      <c r="AC92">
        <f>HYPERLINK("https://klasma.github.io/Logging_1291/tillsyn/A 18589-2022 tillsynsbegäran.docx", "A 18589-2022")</f>
        <v/>
      </c>
      <c r="AD92">
        <f>HYPERLINK("https://klasma.github.io/Logging_1291/tillsynsmail/A 18589-2022 tillsynsbegäran mail.docx", "A 18589-2022")</f>
        <v/>
      </c>
    </row>
    <row r="93" ht="15" customHeight="1">
      <c r="A93" t="inlineStr">
        <is>
          <t>A 70933-2021</t>
        </is>
      </c>
      <c r="B93" t="inlineStr">
        <is>
          <t>avverkningsanmälan</t>
        </is>
      </c>
      <c r="C93" t="inlineStr">
        <is>
          <t>Föryngringsavverkning</t>
        </is>
      </c>
      <c r="D93" s="1" t="n">
        <v>44538</v>
      </c>
      <c r="E93" s="1" t="n">
        <v>46312</v>
      </c>
      <c r="F93" t="inlineStr">
        <is>
          <t>SKÅNE LÄN</t>
        </is>
      </c>
      <c r="G93" t="inlineStr">
        <is>
          <t>SJÖBO</t>
        </is>
      </c>
      <c r="I93" t="n">
        <v>1.3</v>
      </c>
      <c r="J93" t="n">
        <v>5</v>
      </c>
      <c r="K93" t="n">
        <v>0</v>
      </c>
      <c r="L93" t="n">
        <v>3</v>
      </c>
      <c r="M93" t="n">
        <v>0</v>
      </c>
      <c r="N93" t="n">
        <v>0</v>
      </c>
      <c r="O93" t="n">
        <v>0</v>
      </c>
      <c r="P93" t="n">
        <v>0</v>
      </c>
      <c r="Q93" t="n">
        <v>3</v>
      </c>
      <c r="R93" t="n">
        <v>0</v>
      </c>
      <c r="S93" t="n">
        <v>6</v>
      </c>
      <c r="T93" t="n">
        <v>6</v>
      </c>
      <c r="U93" t="n">
        <v>0</v>
      </c>
      <c r="V93" s="2" t="inlineStr">
        <is>
          <t>Lökgroda
Mosshumla
Strandpadda
Klockgroda
Lövgroda
Större vattensalamander</t>
        </is>
      </c>
      <c r="W93">
        <f>HYPERLINK("https://klasma.github.io/Logging_1265/artfynd/A 70933-2021 artfynd.xlsx", "A 70933-2021")</f>
        <v/>
      </c>
      <c r="X93">
        <f>HYPERLINK("https://klasma.github.io/Logging_1265/kartor/A 70933-2021 karta.png", "A 70933-2021")</f>
        <v/>
      </c>
      <c r="Y93">
        <f>HYPERLINK("https://klasma.github.io/Logging_1265/kartor_geotiff/A 70933-2021 georefererad karta.tif", "A 70933-2021")</f>
        <v/>
      </c>
      <c r="AA93">
        <f>HYPERLINK("https://klasma.github.io/Logging_1265/klagomål/A 70933-2021 FSC-klagomål.docx", "A 70933-2021")</f>
        <v/>
      </c>
      <c r="AB93">
        <f>HYPERLINK("https://klasma.github.io/Logging_1265/klagomålsmail/A 70933-2021 FSC-klagomål mail.docx", "A 70933-2021")</f>
        <v/>
      </c>
      <c r="AC93">
        <f>HYPERLINK("https://klasma.github.io/Logging_1265/tillsyn/A 70933-2021 tillsynsbegäran.docx", "A 70933-2021")</f>
        <v/>
      </c>
      <c r="AD93">
        <f>HYPERLINK("https://klasma.github.io/Logging_1265/tillsynsmail/A 70933-2021 tillsynsbegäran mail.docx", "A 70933-2021")</f>
        <v/>
      </c>
    </row>
    <row r="94" ht="15" customHeight="1">
      <c r="A94" t="inlineStr">
        <is>
          <t>A 5046-2022</t>
        </is>
      </c>
      <c r="B94" t="inlineStr">
        <is>
          <t>avverkningsanmälan</t>
        </is>
      </c>
      <c r="C94" t="inlineStr">
        <is>
          <t>Föryngringsavverkning</t>
        </is>
      </c>
      <c r="D94" s="1" t="n">
        <v>44593</v>
      </c>
      <c r="E94" s="1" t="n">
        <v>46312</v>
      </c>
      <c r="F94" t="inlineStr">
        <is>
          <t>SKÅNE LÄN</t>
        </is>
      </c>
      <c r="G94" t="inlineStr">
        <is>
          <t>ÄNGELHOLM</t>
        </is>
      </c>
      <c r="I94" t="n">
        <v>3</v>
      </c>
      <c r="J94" t="n">
        <v>6</v>
      </c>
      <c r="K94" t="n">
        <v>0</v>
      </c>
      <c r="L94" t="n">
        <v>1</v>
      </c>
      <c r="M94" t="n">
        <v>1</v>
      </c>
      <c r="N94" t="n">
        <v>0</v>
      </c>
      <c r="O94" t="n">
        <v>0</v>
      </c>
      <c r="P94" t="n">
        <v>0</v>
      </c>
      <c r="Q94" t="n">
        <v>2</v>
      </c>
      <c r="R94" t="n">
        <v>1</v>
      </c>
      <c r="S94" t="n">
        <v>6</v>
      </c>
      <c r="T94" t="n">
        <v>7</v>
      </c>
      <c r="U94" t="n">
        <v>6</v>
      </c>
      <c r="V94" s="2" t="inlineStr">
        <is>
          <t>Grönfink
Gulsparv
Kråka
Kungsfågel
Sävsparv
Trädlärka</t>
        </is>
      </c>
      <c r="W94">
        <f>HYPERLINK("https://klasma.github.io/Logging_1292/artfynd/A 5046-2022 artfynd.xlsx", "A 5046-2022")</f>
        <v/>
      </c>
      <c r="X94">
        <f>HYPERLINK("https://klasma.github.io/Logging_1292/kartor/A 5046-2022 karta.png", "A 5046-2022")</f>
        <v/>
      </c>
      <c r="Y94">
        <f>HYPERLINK("https://klasma.github.io/Logging_1292/kartor_geotiff/A 5046-2022 georefererad karta.tif", "A 5046-2022")</f>
        <v/>
      </c>
      <c r="AA94">
        <f>HYPERLINK("https://klasma.github.io/Logging_1292/klagomål/A 5046-2022 FSC-klagomål.docx", "A 5046-2022")</f>
        <v/>
      </c>
      <c r="AB94">
        <f>HYPERLINK("https://klasma.github.io/Logging_1292/klagomålsmail/A 5046-2022 FSC-klagomål mail.docx", "A 5046-2022")</f>
        <v/>
      </c>
      <c r="AC94">
        <f>HYPERLINK("https://klasma.github.io/Logging_1292/tillsyn/A 5046-2022 tillsynsbegäran.docx", "A 5046-2022")</f>
        <v/>
      </c>
      <c r="AD94">
        <f>HYPERLINK("https://klasma.github.io/Logging_1292/tillsynsmail/A 5046-2022 tillsynsbegäran mail.docx", "A 5046-2022")</f>
        <v/>
      </c>
      <c r="AE94">
        <f>HYPERLINK("https://klasma.github.io/Logging_1292/fåglar/A 5046-2022 prioriterade fågelarter.docx", "A 5046-2022")</f>
        <v/>
      </c>
    </row>
    <row r="95" ht="15" customHeight="1">
      <c r="A95" t="inlineStr">
        <is>
          <t>A 17026-2025</t>
        </is>
      </c>
      <c r="B95" t="inlineStr">
        <is>
          <t>avverkningsanmälan</t>
        </is>
      </c>
      <c r="C95" t="inlineStr">
        <is>
          <t>Föryngringsavverkning</t>
        </is>
      </c>
      <c r="D95" s="1" t="n">
        <v>45755</v>
      </c>
      <c r="E95" s="1" t="n">
        <v>46312</v>
      </c>
      <c r="F95" t="inlineStr">
        <is>
          <t>SKÅNE LÄN</t>
        </is>
      </c>
      <c r="G95" t="inlineStr">
        <is>
          <t>KRISTIANSTAD</t>
        </is>
      </c>
      <c r="I95" t="n">
        <v>11.9</v>
      </c>
      <c r="J95" t="n">
        <v>6</v>
      </c>
      <c r="K95" t="n">
        <v>0</v>
      </c>
      <c r="L95" t="n">
        <v>2</v>
      </c>
      <c r="M95" t="n">
        <v>0</v>
      </c>
      <c r="N95" t="n">
        <v>0</v>
      </c>
      <c r="O95" t="n">
        <v>0</v>
      </c>
      <c r="P95" t="n">
        <v>0</v>
      </c>
      <c r="Q95" t="n">
        <v>2</v>
      </c>
      <c r="R95" t="n">
        <v>0</v>
      </c>
      <c r="S95" t="n">
        <v>6</v>
      </c>
      <c r="T95" t="n">
        <v>6</v>
      </c>
      <c r="U95" t="n">
        <v>6</v>
      </c>
      <c r="V95" s="2" t="inlineStr">
        <is>
          <t>Järnsparv
Sädesärla
Spillkråka
Skogsduva
Svartvit flugsnappare
Trana</t>
        </is>
      </c>
      <c r="W95">
        <f>HYPERLINK("https://klasma.github.io/Logging_1290/artfynd/A 17026-2025 artfynd.xlsx", "A 17026-2025")</f>
        <v/>
      </c>
      <c r="X95">
        <f>HYPERLINK("https://klasma.github.io/Logging_1290/kartor/A 17026-2025 karta.png", "A 17026-2025")</f>
        <v/>
      </c>
      <c r="Y95">
        <f>HYPERLINK("https://klasma.github.io/Logging_1290/kartor_geotiff/A 17026-2025 georefererad karta.tif", "A 17026-2025")</f>
        <v/>
      </c>
      <c r="AA95">
        <f>HYPERLINK("https://klasma.github.io/Logging_1290/klagomål/A 17026-2025 FSC-klagomål.docx", "A 17026-2025")</f>
        <v/>
      </c>
      <c r="AB95">
        <f>HYPERLINK("https://klasma.github.io/Logging_1290/klagomålsmail/A 17026-2025 FSC-klagomål mail.docx", "A 17026-2025")</f>
        <v/>
      </c>
      <c r="AC95">
        <f>HYPERLINK("https://klasma.github.io/Logging_1290/tillsyn/A 17026-2025 tillsynsbegäran.docx", "A 17026-2025")</f>
        <v/>
      </c>
      <c r="AD95">
        <f>HYPERLINK("https://klasma.github.io/Logging_1290/tillsynsmail/A 17026-2025 tillsynsbegäran mail.docx", "A 17026-2025")</f>
        <v/>
      </c>
      <c r="AE95">
        <f>HYPERLINK("https://klasma.github.io/Logging_1290/fåglar/A 17026-2025 prioriterade fågelarter.docx", "A 17026-2025")</f>
        <v/>
      </c>
    </row>
    <row r="96" ht="15" customHeight="1">
      <c r="A96" t="inlineStr">
        <is>
          <t>A 44586-2022</t>
        </is>
      </c>
      <c r="B96" t="inlineStr">
        <is>
          <t>avverkningsanmälan</t>
        </is>
      </c>
      <c r="C96" t="inlineStr">
        <is>
          <t>Föryngringsavverkning</t>
        </is>
      </c>
      <c r="D96" s="1" t="n">
        <v>44840</v>
      </c>
      <c r="E96" s="1" t="n">
        <v>46312</v>
      </c>
      <c r="F96" t="inlineStr">
        <is>
          <t>SKÅNE LÄN</t>
        </is>
      </c>
      <c r="G96" t="inlineStr">
        <is>
          <t>KRISTIANSTAD</t>
        </is>
      </c>
      <c r="I96" t="n">
        <v>8.199999999999999</v>
      </c>
      <c r="J96" t="n">
        <v>1</v>
      </c>
      <c r="K96" t="n">
        <v>4</v>
      </c>
      <c r="L96" t="n">
        <v>1</v>
      </c>
      <c r="M96" t="n">
        <v>0</v>
      </c>
      <c r="N96" t="n">
        <v>0</v>
      </c>
      <c r="O96" t="n">
        <v>0</v>
      </c>
      <c r="P96" t="n">
        <v>0</v>
      </c>
      <c r="Q96" t="n">
        <v>1</v>
      </c>
      <c r="R96" t="n">
        <v>0</v>
      </c>
      <c r="S96" t="n">
        <v>6</v>
      </c>
      <c r="T96" t="n">
        <v>7</v>
      </c>
      <c r="U96" t="n">
        <v>7</v>
      </c>
      <c r="V96" s="2" t="inlineStr">
        <is>
          <t>Kandelabersvamp
Blåmossa
Gulnål
Jättesvampmal
Västlig hakmossa
Spillkråka</t>
        </is>
      </c>
      <c r="W96">
        <f>HYPERLINK("https://klasma.github.io/Logging_1290/artfynd/A 44586-2022 artfynd.xlsx", "A 44586-2022")</f>
        <v/>
      </c>
      <c r="X96">
        <f>HYPERLINK("https://klasma.github.io/Logging_1290/kartor/A 44586-2022 karta.png", "A 44586-2022")</f>
        <v/>
      </c>
      <c r="Y96">
        <f>HYPERLINK("https://klasma.github.io/Logging_1290/kartor_geotiff/A 44586-2022 georefererad karta.tif", "A 44586-2022")</f>
        <v/>
      </c>
      <c r="AA96">
        <f>HYPERLINK("https://klasma.github.io/Logging_1290/klagomål/A 44586-2022 FSC-klagomål.docx", "A 44586-2022")</f>
        <v/>
      </c>
      <c r="AB96">
        <f>HYPERLINK("https://klasma.github.io/Logging_1290/klagomålsmail/A 44586-2022 FSC-klagomål mail.docx", "A 44586-2022")</f>
        <v/>
      </c>
      <c r="AC96">
        <f>HYPERLINK("https://klasma.github.io/Logging_1290/tillsyn/A 44586-2022 tillsynsbegäran.docx", "A 44586-2022")</f>
        <v/>
      </c>
      <c r="AD96">
        <f>HYPERLINK("https://klasma.github.io/Logging_1290/tillsynsmail/A 44586-2022 tillsynsbegäran mail.docx", "A 44586-2022")</f>
        <v/>
      </c>
      <c r="AE96">
        <f>HYPERLINK("https://klasma.github.io/Logging_1290/fåglar/A 44586-2022 prioriterade fågelarter.docx", "A 44586-2022")</f>
        <v/>
      </c>
    </row>
    <row r="97" ht="15" customHeight="1">
      <c r="A97" t="inlineStr">
        <is>
          <t>A 15492-2023</t>
        </is>
      </c>
      <c r="B97" t="inlineStr">
        <is>
          <t>avverkningsanmälan</t>
        </is>
      </c>
      <c r="C97" t="inlineStr">
        <is>
          <t>Avverkning för att bevara och utveckla /försöksver</t>
        </is>
      </c>
      <c r="D97" s="1" t="n">
        <v>45020</v>
      </c>
      <c r="E97" s="1" t="n">
        <v>46312</v>
      </c>
      <c r="F97" t="inlineStr">
        <is>
          <t>SKÅNE LÄN</t>
        </is>
      </c>
      <c r="G97" t="inlineStr">
        <is>
          <t>KRISTIANSTAD</t>
        </is>
      </c>
      <c r="H97" t="inlineStr">
        <is>
          <t>Sveaskog</t>
        </is>
      </c>
      <c r="I97" t="n">
        <v>1.8</v>
      </c>
      <c r="J97" t="n">
        <v>4</v>
      </c>
      <c r="K97" t="n">
        <v>0</v>
      </c>
      <c r="L97" t="n">
        <v>3</v>
      </c>
      <c r="M97" t="n">
        <v>1</v>
      </c>
      <c r="N97" t="n">
        <v>0</v>
      </c>
      <c r="O97" t="n">
        <v>0</v>
      </c>
      <c r="P97" t="n">
        <v>0</v>
      </c>
      <c r="Q97" t="n">
        <v>4</v>
      </c>
      <c r="R97" t="n">
        <v>1</v>
      </c>
      <c r="S97" t="n">
        <v>6</v>
      </c>
      <c r="T97" t="n">
        <v>8</v>
      </c>
      <c r="U97" t="n">
        <v>4</v>
      </c>
      <c r="V97" s="2" t="inlineStr">
        <is>
          <t>Mindre bastardsvärmare
Entita
Mindre tåtelsmygare
Talltita
Spillkråka
Vanlig padda</t>
        </is>
      </c>
      <c r="W97">
        <f>HYPERLINK("https://klasma.github.io/Logging_1290/artfynd/A 15492-2023 artfynd.xlsx", "A 15492-2023")</f>
        <v/>
      </c>
      <c r="X97">
        <f>HYPERLINK("https://klasma.github.io/Logging_1290/kartor/A 15492-2023 karta.png", "A 15492-2023")</f>
        <v/>
      </c>
      <c r="Y97">
        <f>HYPERLINK("https://klasma.github.io/Logging_1290/kartor_geotiff/A 15492-2023 georefererad karta.tif", "A 15492-2023")</f>
        <v/>
      </c>
      <c r="AA97">
        <f>HYPERLINK("https://klasma.github.io/Logging_1290/klagomål/A 15492-2023 FSC-klagomål.docx", "A 15492-2023")</f>
        <v/>
      </c>
      <c r="AB97">
        <f>HYPERLINK("https://klasma.github.io/Logging_1290/klagomålsmail/A 15492-2023 FSC-klagomål mail.docx", "A 15492-2023")</f>
        <v/>
      </c>
      <c r="AC97">
        <f>HYPERLINK("https://klasma.github.io/Logging_1290/tillsyn/A 15492-2023 tillsynsbegäran.docx", "A 15492-2023")</f>
        <v/>
      </c>
      <c r="AD97">
        <f>HYPERLINK("https://klasma.github.io/Logging_1290/tillsynsmail/A 15492-2023 tillsynsbegäran mail.docx", "A 15492-2023")</f>
        <v/>
      </c>
      <c r="AE97">
        <f>HYPERLINK("https://klasma.github.io/Logging_1290/fåglar/A 15492-2023 prioriterade fågelarter.docx", "A 15492-2023")</f>
        <v/>
      </c>
    </row>
    <row r="98" ht="15" customHeight="1">
      <c r="A98" t="inlineStr">
        <is>
          <t>A 7862-2024</t>
        </is>
      </c>
      <c r="B98" t="inlineStr">
        <is>
          <t>avverkningsanmälan</t>
        </is>
      </c>
      <c r="C98" t="inlineStr">
        <is>
          <t>Föryngringsavverkning</t>
        </is>
      </c>
      <c r="D98" s="1" t="n">
        <v>45348</v>
      </c>
      <c r="E98" s="1" t="n">
        <v>46312</v>
      </c>
      <c r="F98" t="inlineStr">
        <is>
          <t>SKÅNE LÄN</t>
        </is>
      </c>
      <c r="G98" t="inlineStr">
        <is>
          <t>HÄSSLEHOLM</t>
        </is>
      </c>
      <c r="I98" t="n">
        <v>5</v>
      </c>
      <c r="J98" t="n">
        <v>5</v>
      </c>
      <c r="K98" t="n">
        <v>1</v>
      </c>
      <c r="L98" t="n">
        <v>2</v>
      </c>
      <c r="M98" t="n">
        <v>0</v>
      </c>
      <c r="N98" t="n">
        <v>0</v>
      </c>
      <c r="O98" t="n">
        <v>0</v>
      </c>
      <c r="P98" t="n">
        <v>0</v>
      </c>
      <c r="Q98" t="n">
        <v>2</v>
      </c>
      <c r="R98" t="n">
        <v>0</v>
      </c>
      <c r="S98" t="n">
        <v>6</v>
      </c>
      <c r="T98" t="n">
        <v>6</v>
      </c>
      <c r="U98" t="n">
        <v>5</v>
      </c>
      <c r="V98" s="2" t="inlineStr">
        <is>
          <t>Gulsparv
Järnsparv
Stor revmossa
Spillkråka
Törnskata
Huggorm</t>
        </is>
      </c>
      <c r="W98">
        <f>HYPERLINK("https://klasma.github.io/Logging_1293/artfynd/A 7862-2024 artfynd.xlsx", "A 7862-2024")</f>
        <v/>
      </c>
      <c r="X98">
        <f>HYPERLINK("https://klasma.github.io/Logging_1293/kartor/A 7862-2024 karta.png", "A 7862-2024")</f>
        <v/>
      </c>
      <c r="Y98">
        <f>HYPERLINK("https://klasma.github.io/Logging_1293/kartor_geotiff/A 7862-2024 georefererad karta.tif", "A 7862-2024")</f>
        <v/>
      </c>
      <c r="AA98">
        <f>HYPERLINK("https://klasma.github.io/Logging_1293/klagomål/A 7862-2024 FSC-klagomål.docx", "A 7862-2024")</f>
        <v/>
      </c>
      <c r="AB98">
        <f>HYPERLINK("https://klasma.github.io/Logging_1293/klagomålsmail/A 7862-2024 FSC-klagomål mail.docx", "A 7862-2024")</f>
        <v/>
      </c>
      <c r="AC98">
        <f>HYPERLINK("https://klasma.github.io/Logging_1293/tillsyn/A 7862-2024 tillsynsbegäran.docx", "A 7862-2024")</f>
        <v/>
      </c>
      <c r="AD98">
        <f>HYPERLINK("https://klasma.github.io/Logging_1293/tillsynsmail/A 7862-2024 tillsynsbegäran mail.docx", "A 7862-2024")</f>
        <v/>
      </c>
      <c r="AE98">
        <f>HYPERLINK("https://klasma.github.io/Logging_1293/fåglar/A 7862-2024 prioriterade fågelarter.docx", "A 7862-2024")</f>
        <v/>
      </c>
    </row>
    <row r="99" ht="15" customHeight="1">
      <c r="A99" t="inlineStr">
        <is>
          <t>A 44382-2025</t>
        </is>
      </c>
      <c r="B99" t="inlineStr">
        <is>
          <t>avverkningsanmälan</t>
        </is>
      </c>
      <c r="C99" t="inlineStr">
        <is>
          <t>Föryngringsavverkning</t>
        </is>
      </c>
      <c r="D99" s="1" t="n">
        <v>45916</v>
      </c>
      <c r="E99" s="1" t="n">
        <v>46312</v>
      </c>
      <c r="F99" t="inlineStr">
        <is>
          <t>SKÅNE LÄN</t>
        </is>
      </c>
      <c r="G99" t="inlineStr">
        <is>
          <t>ÖRKELLJUNGA</t>
        </is>
      </c>
      <c r="I99" t="n">
        <v>4.4</v>
      </c>
      <c r="J99" t="n">
        <v>6</v>
      </c>
      <c r="K99" t="n">
        <v>0</v>
      </c>
      <c r="L99" t="n">
        <v>2</v>
      </c>
      <c r="M99" t="n">
        <v>0</v>
      </c>
      <c r="N99" t="n">
        <v>0</v>
      </c>
      <c r="O99" t="n">
        <v>0</v>
      </c>
      <c r="P99" t="n">
        <v>0</v>
      </c>
      <c r="Q99" t="n">
        <v>2</v>
      </c>
      <c r="R99" t="n">
        <v>0</v>
      </c>
      <c r="S99" t="n">
        <v>6</v>
      </c>
      <c r="T99" t="n">
        <v>6</v>
      </c>
      <c r="U99" t="n">
        <v>6</v>
      </c>
      <c r="V99" s="2" t="inlineStr">
        <is>
          <t>Gulsparv
Talltita
Nattskärra
Spillkråka
Kungsfågel
Orre</t>
        </is>
      </c>
      <c r="W99">
        <f>HYPERLINK("https://klasma.github.io/Logging_1257/artfynd/A 44382-2025 artfynd.xlsx", "A 44382-2025")</f>
        <v/>
      </c>
      <c r="X99">
        <f>HYPERLINK("https://klasma.github.io/Logging_1257/kartor/A 44382-2025 karta.png", "A 44382-2025")</f>
        <v/>
      </c>
      <c r="Y99">
        <f>HYPERLINK("https://klasma.github.io/Logging_1257/kartor_geotiff/A 44382-2025 georefererad karta.tif", "A 44382-2025")</f>
        <v/>
      </c>
      <c r="AA99">
        <f>HYPERLINK("https://klasma.github.io/Logging_1257/klagomål/A 44382-2025 FSC-klagomål.docx", "A 44382-2025")</f>
        <v/>
      </c>
      <c r="AB99">
        <f>HYPERLINK("https://klasma.github.io/Logging_1257/klagomålsmail/A 44382-2025 FSC-klagomål mail.docx", "A 44382-2025")</f>
        <v/>
      </c>
      <c r="AC99">
        <f>HYPERLINK("https://klasma.github.io/Logging_1257/tillsyn/A 44382-2025 tillsynsbegäran.docx", "A 44382-2025")</f>
        <v/>
      </c>
      <c r="AD99">
        <f>HYPERLINK("https://klasma.github.io/Logging_1257/tillsynsmail/A 44382-2025 tillsynsbegäran mail.docx", "A 44382-2025")</f>
        <v/>
      </c>
      <c r="AE99">
        <f>HYPERLINK("https://klasma.github.io/Logging_1257/fåglar/A 44382-2025 prioriterade fågelarter.docx", "A 44382-2025")</f>
        <v/>
      </c>
    </row>
    <row r="100" ht="15" customHeight="1">
      <c r="A100" t="inlineStr">
        <is>
          <t>A 51680-2024</t>
        </is>
      </c>
      <c r="B100" t="inlineStr">
        <is>
          <t>avverkningsanmälan</t>
        </is>
      </c>
      <c r="C100" t="inlineStr">
        <is>
          <t>Avverkning för annat ändamål</t>
        </is>
      </c>
      <c r="D100" s="1" t="n">
        <v>45607</v>
      </c>
      <c r="E100" s="1" t="n">
        <v>46312</v>
      </c>
      <c r="F100" t="inlineStr">
        <is>
          <t>SKÅNE LÄN</t>
        </is>
      </c>
      <c r="G100" t="inlineStr">
        <is>
          <t>SKURUP</t>
        </is>
      </c>
      <c r="I100" t="n">
        <v>1.1</v>
      </c>
      <c r="J100" t="n">
        <v>1</v>
      </c>
      <c r="K100" t="n">
        <v>1</v>
      </c>
      <c r="L100" t="n">
        <v>1</v>
      </c>
      <c r="M100" t="n">
        <v>1</v>
      </c>
      <c r="N100" t="n">
        <v>2</v>
      </c>
      <c r="O100" t="n">
        <v>0</v>
      </c>
      <c r="P100" t="n">
        <v>0</v>
      </c>
      <c r="Q100" t="n">
        <v>4</v>
      </c>
      <c r="R100" t="n">
        <v>3</v>
      </c>
      <c r="S100" t="n">
        <v>6</v>
      </c>
      <c r="T100" t="n">
        <v>30</v>
      </c>
      <c r="U100" t="n">
        <v>0</v>
      </c>
      <c r="V100" s="2" t="inlineStr">
        <is>
          <t>Ask
Skogsalm
Småvänderot
Gullpudra
Stor häxört
Skogsduva</t>
        </is>
      </c>
      <c r="W100">
        <f>HYPERLINK("https://klasma.github.io/Logging_1264/artfynd/A 51680-2024 artfynd.xlsx", "A 51680-2024")</f>
        <v/>
      </c>
      <c r="X100">
        <f>HYPERLINK("https://klasma.github.io/Logging_1264/kartor/A 51680-2024 karta.png", "A 51680-2024")</f>
        <v/>
      </c>
      <c r="Y100">
        <f>HYPERLINK("https://klasma.github.io/Logging_1264/kartor_geotiff/A 51680-2024 georefererad karta.tif", "A 51680-2024")</f>
        <v/>
      </c>
      <c r="AA100">
        <f>HYPERLINK("https://klasma.github.io/Logging_1264/klagomål/A 51680-2024 FSC-klagomål.docx", "A 51680-2024")</f>
        <v/>
      </c>
      <c r="AB100">
        <f>HYPERLINK("https://klasma.github.io/Logging_1264/klagomålsmail/A 51680-2024 FSC-klagomål mail.docx", "A 51680-2024")</f>
        <v/>
      </c>
      <c r="AC100">
        <f>HYPERLINK("https://klasma.github.io/Logging_1264/tillsyn/A 51680-2024 tillsynsbegäran.docx", "A 51680-2024")</f>
        <v/>
      </c>
      <c r="AD100">
        <f>HYPERLINK("https://klasma.github.io/Logging_1264/tillsynsmail/A 51680-2024 tillsynsbegäran mail.docx", "A 51680-2024")</f>
        <v/>
      </c>
    </row>
    <row r="101" ht="15" customHeight="1">
      <c r="A101" t="inlineStr">
        <is>
          <t>A 1415-2024</t>
        </is>
      </c>
      <c r="B101" t="inlineStr">
        <is>
          <t>avverkningsanmälan</t>
        </is>
      </c>
      <c r="C101" t="inlineStr">
        <is>
          <t>Föryngringsavverkning</t>
        </is>
      </c>
      <c r="D101" s="1" t="n">
        <v>45303</v>
      </c>
      <c r="E101" s="1" t="n">
        <v>46312</v>
      </c>
      <c r="F101" t="inlineStr">
        <is>
          <t>SKÅNE LÄN</t>
        </is>
      </c>
      <c r="G101" t="inlineStr">
        <is>
          <t>KRISTIANSTAD</t>
        </is>
      </c>
      <c r="H101" t="inlineStr">
        <is>
          <t>Övriga Aktiebolag</t>
        </is>
      </c>
      <c r="I101" t="n">
        <v>3.1</v>
      </c>
      <c r="J101" t="n">
        <v>0</v>
      </c>
      <c r="K101" t="n">
        <v>2</v>
      </c>
      <c r="L101" t="n">
        <v>3</v>
      </c>
      <c r="M101" t="n">
        <v>0</v>
      </c>
      <c r="N101" t="n">
        <v>0</v>
      </c>
      <c r="O101" t="n">
        <v>0</v>
      </c>
      <c r="P101" t="n">
        <v>0</v>
      </c>
      <c r="Q101" t="n">
        <v>3</v>
      </c>
      <c r="R101" t="n">
        <v>0</v>
      </c>
      <c r="S101" t="n">
        <v>6</v>
      </c>
      <c r="T101" t="n">
        <v>6</v>
      </c>
      <c r="U101" t="n">
        <v>3</v>
      </c>
      <c r="V101" s="2" t="inlineStr">
        <is>
          <t>Fyrflikig jordstjärna
Stenticka
Stor tratticka
Liten stinksvamp
Rutbläcksvamp
Glansfläck</t>
        </is>
      </c>
      <c r="W101">
        <f>HYPERLINK("https://klasma.github.io/Logging_1290/artfynd/A 1415-2024 artfynd.xlsx", "A 1415-2024")</f>
        <v/>
      </c>
      <c r="X101">
        <f>HYPERLINK("https://klasma.github.io/Logging_1290/kartor/A 1415-2024 karta.png", "A 1415-2024")</f>
        <v/>
      </c>
      <c r="Y101">
        <f>HYPERLINK("https://klasma.github.io/Logging_1290/kartor_geotiff/A 1415-2024 georefererad karta.tif", "A 1415-2024")</f>
        <v/>
      </c>
      <c r="AA101">
        <f>HYPERLINK("https://klasma.github.io/Logging_1290/klagomål/A 1415-2024 FSC-klagomål.docx", "A 1415-2024")</f>
        <v/>
      </c>
      <c r="AB101">
        <f>HYPERLINK("https://klasma.github.io/Logging_1290/klagomålsmail/A 1415-2024 FSC-klagomål mail.docx", "A 1415-2024")</f>
        <v/>
      </c>
      <c r="AC101">
        <f>HYPERLINK("https://klasma.github.io/Logging_1290/tillsyn/A 1415-2024 tillsynsbegäran.docx", "A 1415-2024")</f>
        <v/>
      </c>
      <c r="AD101">
        <f>HYPERLINK("https://klasma.github.io/Logging_1290/tillsynsmail/A 1415-2024 tillsynsbegäran mail.docx", "A 1415-2024")</f>
        <v/>
      </c>
    </row>
    <row r="102" ht="15" customHeight="1">
      <c r="A102" t="inlineStr">
        <is>
          <t>A 20310-2026</t>
        </is>
      </c>
      <c r="B102" t="inlineStr">
        <is>
          <t>avverkningsanmälan</t>
        </is>
      </c>
      <c r="C102" t="inlineStr">
        <is>
          <t>Avverkning för annat ändamål</t>
        </is>
      </c>
      <c r="D102" s="1" t="n">
        <v>46136</v>
      </c>
      <c r="E102" s="1" t="n">
        <v>46312</v>
      </c>
      <c r="F102" t="inlineStr">
        <is>
          <t>SKÅNE LÄN</t>
        </is>
      </c>
      <c r="G102" t="inlineStr">
        <is>
          <t>KRISTIANSTAD</t>
        </is>
      </c>
      <c r="I102" t="n">
        <v>2.9</v>
      </c>
      <c r="J102" t="n">
        <v>2</v>
      </c>
      <c r="K102" t="n">
        <v>0</v>
      </c>
      <c r="L102" t="n">
        <v>0</v>
      </c>
      <c r="M102" t="n">
        <v>0</v>
      </c>
      <c r="N102" t="n">
        <v>0</v>
      </c>
      <c r="O102" t="n">
        <v>0</v>
      </c>
      <c r="P102" t="n">
        <v>0</v>
      </c>
      <c r="Q102" t="n">
        <v>0</v>
      </c>
      <c r="R102" t="n">
        <v>0</v>
      </c>
      <c r="S102" t="n">
        <v>6</v>
      </c>
      <c r="T102" t="n">
        <v>6</v>
      </c>
      <c r="U102" t="n">
        <v>6</v>
      </c>
      <c r="V102" s="2" t="inlineStr">
        <is>
          <t>Blåsippa
Gulplister
Gulsippa
Humleblomster
Vitsippa
Skogsödla</t>
        </is>
      </c>
      <c r="W102">
        <f>HYPERLINK("https://klasma.github.io/Logging_1290/artfynd/A 20310-2026 artfynd.xlsx", "A 20310-2026")</f>
        <v/>
      </c>
      <c r="X102">
        <f>HYPERLINK("https://klasma.github.io/Logging_1290/kartor/A 20310-2026 karta.png", "A 20310-2026")</f>
        <v/>
      </c>
      <c r="Y102">
        <f>HYPERLINK("https://klasma.github.io/Logging_1290/kartor_geotiff/A 20310-2026 georefererad karta.tif", "A 20310-2026")</f>
        <v/>
      </c>
      <c r="AA102">
        <f>HYPERLINK("https://klasma.github.io/Logging_1290/klagomål/A 20310-2026 FSC-klagomål.docx", "A 20310-2026")</f>
        <v/>
      </c>
      <c r="AB102">
        <f>HYPERLINK("https://klasma.github.io/Logging_1290/klagomålsmail/A 20310-2026 FSC-klagomål mail.docx", "A 20310-2026")</f>
        <v/>
      </c>
      <c r="AC102">
        <f>HYPERLINK("https://klasma.github.io/Logging_1290/tillsyn/A 20310-2026 tillsynsbegäran.docx", "A 20310-2026")</f>
        <v/>
      </c>
      <c r="AD102">
        <f>HYPERLINK("https://klasma.github.io/Logging_1290/tillsynsmail/A 20310-2026 tillsynsbegäran mail.docx", "A 20310-2026")</f>
        <v/>
      </c>
    </row>
    <row r="103" ht="15" customHeight="1">
      <c r="A103" t="inlineStr">
        <is>
          <t>A 35525-2025</t>
        </is>
      </c>
      <c r="B103" t="inlineStr">
        <is>
          <t>avverkningsanmälan</t>
        </is>
      </c>
      <c r="C103" t="inlineStr">
        <is>
          <t>Föryngringsavverkning</t>
        </is>
      </c>
      <c r="D103" s="1" t="n">
        <v>45856</v>
      </c>
      <c r="E103" s="1" t="n">
        <v>46312</v>
      </c>
      <c r="F103" t="inlineStr">
        <is>
          <t>SKÅNE LÄN</t>
        </is>
      </c>
      <c r="G103" t="inlineStr">
        <is>
          <t>ÖSTRA GÖINGE</t>
        </is>
      </c>
      <c r="I103" t="n">
        <v>3.1</v>
      </c>
      <c r="J103" t="n">
        <v>4</v>
      </c>
      <c r="K103" t="n">
        <v>2</v>
      </c>
      <c r="L103" t="n">
        <v>3</v>
      </c>
      <c r="M103" t="n">
        <v>0</v>
      </c>
      <c r="N103" t="n">
        <v>0</v>
      </c>
      <c r="O103" t="n">
        <v>0</v>
      </c>
      <c r="P103" t="n">
        <v>0</v>
      </c>
      <c r="Q103" t="n">
        <v>3</v>
      </c>
      <c r="R103" t="n">
        <v>0</v>
      </c>
      <c r="S103" t="n">
        <v>6</v>
      </c>
      <c r="T103" t="n">
        <v>7</v>
      </c>
      <c r="U103" t="n">
        <v>4</v>
      </c>
      <c r="V103" s="2" t="inlineStr">
        <is>
          <t>Barbastell
Brunlångöra
Nordfladdermus
Platt fjädermossa
Västlig hakmossa
Större brunfladdermus</t>
        </is>
      </c>
      <c r="W103">
        <f>HYPERLINK("https://klasma.github.io/Logging_1256/artfynd/A 35525-2025 artfynd.xlsx", "A 35525-2025")</f>
        <v/>
      </c>
      <c r="X103">
        <f>HYPERLINK("https://klasma.github.io/Logging_1256/kartor/A 35525-2025 karta.png", "A 35525-2025")</f>
        <v/>
      </c>
      <c r="Y103">
        <f>HYPERLINK("https://klasma.github.io/Logging_1256/kartor_geotiff/A 35525-2025 georefererad karta.tif", "A 35525-2025")</f>
        <v/>
      </c>
      <c r="AA103">
        <f>HYPERLINK("https://klasma.github.io/Logging_1256/klagomål/A 35525-2025 FSC-klagomål.docx", "A 35525-2025")</f>
        <v/>
      </c>
      <c r="AB103">
        <f>HYPERLINK("https://klasma.github.io/Logging_1256/klagomålsmail/A 35525-2025 FSC-klagomål mail.docx", "A 35525-2025")</f>
        <v/>
      </c>
      <c r="AC103">
        <f>HYPERLINK("https://klasma.github.io/Logging_1256/tillsyn/A 35525-2025 tillsynsbegäran.docx", "A 35525-2025")</f>
        <v/>
      </c>
      <c r="AD103">
        <f>HYPERLINK("https://klasma.github.io/Logging_1256/tillsynsmail/A 35525-2025 tillsynsbegäran mail.docx", "A 35525-2025")</f>
        <v/>
      </c>
    </row>
    <row r="104" ht="15" customHeight="1">
      <c r="A104" t="inlineStr">
        <is>
          <t>A 59875-2025</t>
        </is>
      </c>
      <c r="B104" t="inlineStr">
        <is>
          <t>avverkningsanmälan</t>
        </is>
      </c>
      <c r="C104" t="inlineStr">
        <is>
          <t>Föryngringsavverkning</t>
        </is>
      </c>
      <c r="D104" s="1" t="n">
        <v>45993</v>
      </c>
      <c r="E104" s="1" t="n">
        <v>46312</v>
      </c>
      <c r="F104" t="inlineStr">
        <is>
          <t>SKÅNE LÄN</t>
        </is>
      </c>
      <c r="G104" t="inlineStr">
        <is>
          <t>BJUV</t>
        </is>
      </c>
      <c r="I104" t="n">
        <v>3.9</v>
      </c>
      <c r="J104" t="n">
        <v>6</v>
      </c>
      <c r="K104" t="n">
        <v>0</v>
      </c>
      <c r="L104" t="n">
        <v>3</v>
      </c>
      <c r="M104" t="n">
        <v>0</v>
      </c>
      <c r="N104" t="n">
        <v>0</v>
      </c>
      <c r="O104" t="n">
        <v>0</v>
      </c>
      <c r="P104" t="n">
        <v>0</v>
      </c>
      <c r="Q104" t="n">
        <v>3</v>
      </c>
      <c r="R104" t="n">
        <v>0</v>
      </c>
      <c r="S104" t="n">
        <v>6</v>
      </c>
      <c r="T104" t="n">
        <v>6</v>
      </c>
      <c r="U104" t="n">
        <v>6</v>
      </c>
      <c r="V104" s="2" t="inlineStr">
        <is>
          <t>Björktrast
Duvhök
Entita
Spillkråka
Grönsiska
Kungsfågel</t>
        </is>
      </c>
      <c r="W104">
        <f>HYPERLINK("https://klasma.github.io/Logging_1260/artfynd/A 59875-2025 artfynd.xlsx", "A 59875-2025")</f>
        <v/>
      </c>
      <c r="X104">
        <f>HYPERLINK("https://klasma.github.io/Logging_1260/kartor/A 59875-2025 karta.png", "A 59875-2025")</f>
        <v/>
      </c>
      <c r="Y104">
        <f>HYPERLINK("https://klasma.github.io/Logging_1260/kartor_geotiff/A 59875-2025 georefererad karta.tif", "A 59875-2025")</f>
        <v/>
      </c>
      <c r="AA104">
        <f>HYPERLINK("https://klasma.github.io/Logging_1260/klagomål/A 59875-2025 FSC-klagomål.docx", "A 59875-2025")</f>
        <v/>
      </c>
      <c r="AB104">
        <f>HYPERLINK("https://klasma.github.io/Logging_1260/klagomålsmail/A 59875-2025 FSC-klagomål mail.docx", "A 59875-2025")</f>
        <v/>
      </c>
      <c r="AC104">
        <f>HYPERLINK("https://klasma.github.io/Logging_1260/tillsyn/A 59875-2025 tillsynsbegäran.docx", "A 59875-2025")</f>
        <v/>
      </c>
      <c r="AD104">
        <f>HYPERLINK("https://klasma.github.io/Logging_1260/tillsynsmail/A 59875-2025 tillsynsbegäran mail.docx", "A 59875-2025")</f>
        <v/>
      </c>
      <c r="AE104">
        <f>HYPERLINK("https://klasma.github.io/Logging_1260/fåglar/A 59875-2025 prioriterade fågelarter.docx", "A 59875-2025")</f>
        <v/>
      </c>
    </row>
    <row r="105" ht="15" customHeight="1">
      <c r="A105" t="inlineStr">
        <is>
          <t>A 3578-2026</t>
        </is>
      </c>
      <c r="B105" t="inlineStr">
        <is>
          <t>avverkningsanmälan</t>
        </is>
      </c>
      <c r="C105" t="inlineStr">
        <is>
          <t>Föryngringsavverkning</t>
        </is>
      </c>
      <c r="D105" s="1" t="n">
        <v>46042</v>
      </c>
      <c r="E105" s="1" t="n">
        <v>46312</v>
      </c>
      <c r="F105" t="inlineStr">
        <is>
          <t>SKÅNE LÄN</t>
        </is>
      </c>
      <c r="G105" t="inlineStr">
        <is>
          <t>ÖSTRA GÖINGE</t>
        </is>
      </c>
      <c r="I105" t="n">
        <v>5.9</v>
      </c>
      <c r="J105" t="n">
        <v>1</v>
      </c>
      <c r="K105" t="n">
        <v>4</v>
      </c>
      <c r="L105" t="n">
        <v>0</v>
      </c>
      <c r="M105" t="n">
        <v>1</v>
      </c>
      <c r="N105" t="n">
        <v>0</v>
      </c>
      <c r="O105" t="n">
        <v>0</v>
      </c>
      <c r="P105" t="n">
        <v>0</v>
      </c>
      <c r="Q105" t="n">
        <v>1</v>
      </c>
      <c r="R105" t="n">
        <v>1</v>
      </c>
      <c r="S105" t="n">
        <v>6</v>
      </c>
      <c r="T105" t="n">
        <v>8</v>
      </c>
      <c r="U105" t="n">
        <v>3</v>
      </c>
      <c r="V105" s="2" t="inlineStr">
        <is>
          <t>Småvänderot
Blomkålssvamp
Blåmossa
Rödgul trumpetsvamp
Stor revmossa
Kungsfågel</t>
        </is>
      </c>
      <c r="W105">
        <f>HYPERLINK("https://klasma.github.io/Logging_1256/artfynd/A 3578-2026 artfynd.xlsx", "A 3578-2026")</f>
        <v/>
      </c>
      <c r="X105">
        <f>HYPERLINK("https://klasma.github.io/Logging_1256/kartor/A 3578-2026 karta.png", "A 3578-2026")</f>
        <v/>
      </c>
      <c r="Y105">
        <f>HYPERLINK("https://klasma.github.io/Logging_1256/kartor_geotiff/A 3578-2026 georefererad karta.tif", "A 3578-2026")</f>
        <v/>
      </c>
      <c r="AA105">
        <f>HYPERLINK("https://klasma.github.io/Logging_1256/klagomål/A 3578-2026 FSC-klagomål.docx", "A 3578-2026")</f>
        <v/>
      </c>
      <c r="AB105">
        <f>HYPERLINK("https://klasma.github.io/Logging_1256/klagomålsmail/A 3578-2026 FSC-klagomål mail.docx", "A 3578-2026")</f>
        <v/>
      </c>
      <c r="AC105">
        <f>HYPERLINK("https://klasma.github.io/Logging_1256/tillsyn/A 3578-2026 tillsynsbegäran.docx", "A 3578-2026")</f>
        <v/>
      </c>
      <c r="AD105">
        <f>HYPERLINK("https://klasma.github.io/Logging_1256/tillsynsmail/A 3578-2026 tillsynsbegäran mail.docx", "A 3578-2026")</f>
        <v/>
      </c>
    </row>
    <row r="106" ht="15" customHeight="1">
      <c r="A106" t="inlineStr">
        <is>
          <t>A 62349-2023</t>
        </is>
      </c>
      <c r="B106" t="inlineStr">
        <is>
          <t>avverkningsanmälan</t>
        </is>
      </c>
      <c r="C106" t="inlineStr">
        <is>
          <t>Avverkning för att bevara och utveckla /försöksver</t>
        </is>
      </c>
      <c r="D106" s="1" t="n">
        <v>45267</v>
      </c>
      <c r="E106" s="1" t="n">
        <v>46312</v>
      </c>
      <c r="F106" t="inlineStr">
        <is>
          <t>SKÅNE LÄN</t>
        </is>
      </c>
      <c r="G106" t="inlineStr">
        <is>
          <t>KRISTIANSTAD</t>
        </is>
      </c>
      <c r="H106" t="inlineStr">
        <is>
          <t>Sveaskog</t>
        </is>
      </c>
      <c r="I106" t="n">
        <v>5.3</v>
      </c>
      <c r="J106" t="n">
        <v>4</v>
      </c>
      <c r="K106" t="n">
        <v>0</v>
      </c>
      <c r="L106" t="n">
        <v>2</v>
      </c>
      <c r="M106" t="n">
        <v>1</v>
      </c>
      <c r="N106" t="n">
        <v>0</v>
      </c>
      <c r="O106" t="n">
        <v>0</v>
      </c>
      <c r="P106" t="n">
        <v>0</v>
      </c>
      <c r="Q106" t="n">
        <v>3</v>
      </c>
      <c r="R106" t="n">
        <v>1</v>
      </c>
      <c r="S106" t="n">
        <v>6</v>
      </c>
      <c r="T106" t="n">
        <v>6</v>
      </c>
      <c r="U106" t="n">
        <v>4</v>
      </c>
      <c r="V106" s="2" t="inlineStr">
        <is>
          <t>Mindre bastardsvärmare
Entita
Mindre tåtelsmygare
Nattskärra
Spillkråka
Vanlig padda</t>
        </is>
      </c>
      <c r="W106">
        <f>HYPERLINK("https://klasma.github.io/Logging_1290/artfynd/A 62349-2023 artfynd.xlsx", "A 62349-2023")</f>
        <v/>
      </c>
      <c r="X106">
        <f>HYPERLINK("https://klasma.github.io/Logging_1290/kartor/A 62349-2023 karta.png", "A 62349-2023")</f>
        <v/>
      </c>
      <c r="Y106">
        <f>HYPERLINK("https://klasma.github.io/Logging_1290/kartor_geotiff/A 62349-2023 georefererad karta.tif", "A 62349-2023")</f>
        <v/>
      </c>
      <c r="AA106">
        <f>HYPERLINK("https://klasma.github.io/Logging_1290/klagomål/A 62349-2023 FSC-klagomål.docx", "A 62349-2023")</f>
        <v/>
      </c>
      <c r="AB106">
        <f>HYPERLINK("https://klasma.github.io/Logging_1290/klagomålsmail/A 62349-2023 FSC-klagomål mail.docx", "A 62349-2023")</f>
        <v/>
      </c>
      <c r="AC106">
        <f>HYPERLINK("https://klasma.github.io/Logging_1290/tillsyn/A 62349-2023 tillsynsbegäran.docx", "A 62349-2023")</f>
        <v/>
      </c>
      <c r="AD106">
        <f>HYPERLINK("https://klasma.github.io/Logging_1290/tillsynsmail/A 62349-2023 tillsynsbegäran mail.docx", "A 62349-2023")</f>
        <v/>
      </c>
      <c r="AE106">
        <f>HYPERLINK("https://klasma.github.io/Logging_1290/fåglar/A 62349-2023 prioriterade fågelarter.docx", "A 62349-2023")</f>
        <v/>
      </c>
    </row>
    <row r="107" ht="15" customHeight="1">
      <c r="A107" t="inlineStr">
        <is>
          <t>A 22738-2026</t>
        </is>
      </c>
      <c r="B107" t="inlineStr">
        <is>
          <t>avverkningsanmälan</t>
        </is>
      </c>
      <c r="C107" t="inlineStr">
        <is>
          <t>Föryngringsavverkning</t>
        </is>
      </c>
      <c r="D107" s="1" t="n">
        <v>46157</v>
      </c>
      <c r="E107" s="1" t="n">
        <v>46312</v>
      </c>
      <c r="F107" t="inlineStr">
        <is>
          <t>SKÅNE LÄN</t>
        </is>
      </c>
      <c r="G107" t="inlineStr">
        <is>
          <t>KRISTIANSTAD</t>
        </is>
      </c>
      <c r="I107" t="n">
        <v>6.6</v>
      </c>
      <c r="J107" t="n">
        <v>1</v>
      </c>
      <c r="K107" t="n">
        <v>2</v>
      </c>
      <c r="L107" t="n">
        <v>1</v>
      </c>
      <c r="M107" t="n">
        <v>0</v>
      </c>
      <c r="N107" t="n">
        <v>0</v>
      </c>
      <c r="O107" t="n">
        <v>0</v>
      </c>
      <c r="P107" t="n">
        <v>0</v>
      </c>
      <c r="Q107" t="n">
        <v>1</v>
      </c>
      <c r="R107" t="n">
        <v>0</v>
      </c>
      <c r="S107" t="n">
        <v>6</v>
      </c>
      <c r="T107" t="n">
        <v>8</v>
      </c>
      <c r="U107" t="n">
        <v>8</v>
      </c>
      <c r="V107" s="2" t="inlineStr">
        <is>
          <t>Grönsångare
Rostfläck
Västlig hakmossa
Ekorrbär
Glansfläck
Skogsstjärna</t>
        </is>
      </c>
      <c r="W107">
        <f>HYPERLINK("https://klasma.github.io/Logging_1290/artfynd/A 22738-2026 artfynd.xlsx", "A 22738-2026")</f>
        <v/>
      </c>
      <c r="X107">
        <f>HYPERLINK("https://klasma.github.io/Logging_1290/kartor/A 22738-2026 karta.png", "A 22738-2026")</f>
        <v/>
      </c>
      <c r="Y107">
        <f>HYPERLINK("https://klasma.github.io/Logging_1290/kartor_geotiff/A 22738-2026 georefererad karta.tif", "A 22738-2026")</f>
        <v/>
      </c>
      <c r="AA107">
        <f>HYPERLINK("https://klasma.github.io/Logging_1290/klagomål/A 22738-2026 FSC-klagomål.docx", "A 22738-2026")</f>
        <v/>
      </c>
      <c r="AB107">
        <f>HYPERLINK("https://klasma.github.io/Logging_1290/klagomålsmail/A 22738-2026 FSC-klagomål mail.docx", "A 22738-2026")</f>
        <v/>
      </c>
      <c r="AC107">
        <f>HYPERLINK("https://klasma.github.io/Logging_1290/tillsyn/A 22738-2026 tillsynsbegäran.docx", "A 22738-2026")</f>
        <v/>
      </c>
      <c r="AD107">
        <f>HYPERLINK("https://klasma.github.io/Logging_1290/tillsynsmail/A 22738-2026 tillsynsbegäran mail.docx", "A 22738-2026")</f>
        <v/>
      </c>
      <c r="AE107">
        <f>HYPERLINK("https://klasma.github.io/Logging_1290/fåglar/A 22738-2026 prioriterade fågelarter.docx", "A 22738-2026")</f>
        <v/>
      </c>
    </row>
    <row r="108" ht="15" customHeight="1">
      <c r="A108" t="inlineStr">
        <is>
          <t>A 34184-2025</t>
        </is>
      </c>
      <c r="B108" t="inlineStr">
        <is>
          <t>avverkningsanmälan</t>
        </is>
      </c>
      <c r="C108" t="inlineStr">
        <is>
          <t>Föryngringsavverkning</t>
        </is>
      </c>
      <c r="D108" s="1" t="n">
        <v>45844</v>
      </c>
      <c r="E108" s="1" t="n">
        <v>46312</v>
      </c>
      <c r="F108" t="inlineStr">
        <is>
          <t>SKÅNE LÄN</t>
        </is>
      </c>
      <c r="G108" t="inlineStr">
        <is>
          <t>OSBY</t>
        </is>
      </c>
      <c r="H108" t="inlineStr">
        <is>
          <t>Naturvårdsverket</t>
        </is>
      </c>
      <c r="I108" t="n">
        <v>12.4</v>
      </c>
      <c r="J108" t="n">
        <v>4</v>
      </c>
      <c r="K108" t="n">
        <v>1</v>
      </c>
      <c r="L108" t="n">
        <v>3</v>
      </c>
      <c r="M108" t="n">
        <v>0</v>
      </c>
      <c r="N108" t="n">
        <v>0</v>
      </c>
      <c r="O108" t="n">
        <v>0</v>
      </c>
      <c r="P108" t="n">
        <v>0</v>
      </c>
      <c r="Q108" t="n">
        <v>3</v>
      </c>
      <c r="R108" t="n">
        <v>0</v>
      </c>
      <c r="S108" t="n">
        <v>6</v>
      </c>
      <c r="T108" t="n">
        <v>18</v>
      </c>
      <c r="U108" t="n">
        <v>17</v>
      </c>
      <c r="V108" s="2" t="inlineStr">
        <is>
          <t>Entita
Skogshare
Talltita
Blåmossa
Spillkråka
Kungsfågel</t>
        </is>
      </c>
      <c r="W108">
        <f>HYPERLINK("https://klasma.github.io/Logging_1273/artfynd/A 34184-2025 artfynd.xlsx", "A 34184-2025")</f>
        <v/>
      </c>
      <c r="X108">
        <f>HYPERLINK("https://klasma.github.io/Logging_1273/kartor/A 34184-2025 karta.png", "A 34184-2025")</f>
        <v/>
      </c>
      <c r="Y108">
        <f>HYPERLINK("https://klasma.github.io/Logging_1273/kartor_geotiff/A 34184-2025 georefererad karta.tif", "A 34184-2025")</f>
        <v/>
      </c>
      <c r="AA108">
        <f>HYPERLINK("https://klasma.github.io/Logging_1273/klagomål/A 34184-2025 FSC-klagomål.docx", "A 34184-2025")</f>
        <v/>
      </c>
      <c r="AB108">
        <f>HYPERLINK("https://klasma.github.io/Logging_1273/klagomålsmail/A 34184-2025 FSC-klagomål mail.docx", "A 34184-2025")</f>
        <v/>
      </c>
      <c r="AC108">
        <f>HYPERLINK("https://klasma.github.io/Logging_1273/tillsyn/A 34184-2025 tillsynsbegäran.docx", "A 34184-2025")</f>
        <v/>
      </c>
      <c r="AD108">
        <f>HYPERLINK("https://klasma.github.io/Logging_1273/tillsynsmail/A 34184-2025 tillsynsbegäran mail.docx", "A 34184-2025")</f>
        <v/>
      </c>
      <c r="AE108">
        <f>HYPERLINK("https://klasma.github.io/Logging_1273/fåglar/A 34184-2025 prioriterade fågelarter.docx", "A 34184-2025")</f>
        <v/>
      </c>
    </row>
    <row r="109" ht="15" customHeight="1">
      <c r="A109" t="inlineStr">
        <is>
          <t>A 6545-2023</t>
        </is>
      </c>
      <c r="B109" t="inlineStr">
        <is>
          <t>avverkningsanmälan</t>
        </is>
      </c>
      <c r="C109" t="inlineStr">
        <is>
          <t>Föryngringsavverkning</t>
        </is>
      </c>
      <c r="D109" s="1" t="n">
        <v>44960</v>
      </c>
      <c r="E109" s="1" t="n">
        <v>46312</v>
      </c>
      <c r="F109" t="inlineStr">
        <is>
          <t>SKÅNE LÄN</t>
        </is>
      </c>
      <c r="G109" t="inlineStr">
        <is>
          <t>ESLÖV</t>
        </is>
      </c>
      <c r="I109" t="n">
        <v>4.1</v>
      </c>
      <c r="J109" t="n">
        <v>6</v>
      </c>
      <c r="K109" t="n">
        <v>0</v>
      </c>
      <c r="L109" t="n">
        <v>0</v>
      </c>
      <c r="M109" t="n">
        <v>0</v>
      </c>
      <c r="N109" t="n">
        <v>0</v>
      </c>
      <c r="O109" t="n">
        <v>0</v>
      </c>
      <c r="P109" t="n">
        <v>0</v>
      </c>
      <c r="Q109" t="n">
        <v>0</v>
      </c>
      <c r="R109" t="n">
        <v>0</v>
      </c>
      <c r="S109" t="n">
        <v>6</v>
      </c>
      <c r="T109" t="n">
        <v>6</v>
      </c>
      <c r="U109" t="n">
        <v>1</v>
      </c>
      <c r="V109" s="2" t="inlineStr">
        <is>
          <t>Spillkråka
Gröngöling
Havsörn
Svartvit flugsnappare
Törnskata
Ärtsångare</t>
        </is>
      </c>
      <c r="W109">
        <f>HYPERLINK("https://klasma.github.io/Logging_1285/artfynd/A 6545-2023 artfynd.xlsx", "A 6545-2023")</f>
        <v/>
      </c>
      <c r="X109">
        <f>HYPERLINK("https://klasma.github.io/Logging_1285/kartor/A 6545-2023 karta.png", "A 6545-2023")</f>
        <v/>
      </c>
      <c r="Y109">
        <f>HYPERLINK("https://klasma.github.io/Logging_1285/kartor_geotiff/A 6545-2023 georefererad karta.tif", "A 6545-2023")</f>
        <v/>
      </c>
      <c r="AA109">
        <f>HYPERLINK("https://klasma.github.io/Logging_1285/klagomål/A 6545-2023 FSC-klagomål.docx", "A 6545-2023")</f>
        <v/>
      </c>
      <c r="AB109">
        <f>HYPERLINK("https://klasma.github.io/Logging_1285/klagomålsmail/A 6545-2023 FSC-klagomål mail.docx", "A 6545-2023")</f>
        <v/>
      </c>
      <c r="AC109">
        <f>HYPERLINK("https://klasma.github.io/Logging_1285/tillsyn/A 6545-2023 tillsynsbegäran.docx", "A 6545-2023")</f>
        <v/>
      </c>
      <c r="AD109">
        <f>HYPERLINK("https://klasma.github.io/Logging_1285/tillsynsmail/A 6545-2023 tillsynsbegäran mail.docx", "A 6545-2023")</f>
        <v/>
      </c>
      <c r="AE109">
        <f>HYPERLINK("https://klasma.github.io/Logging_1285/fåglar/A 6545-2023 prioriterade fågelarter.docx", "A 6545-2023")</f>
        <v/>
      </c>
    </row>
    <row r="110" ht="15" customHeight="1">
      <c r="A110" t="inlineStr">
        <is>
          <t>A 31847-2023</t>
        </is>
      </c>
      <c r="B110" t="inlineStr">
        <is>
          <t>avverkningsanmälan</t>
        </is>
      </c>
      <c r="C110" t="inlineStr">
        <is>
          <t>Föryngringsavverkning</t>
        </is>
      </c>
      <c r="D110" s="1" t="n">
        <v>45106</v>
      </c>
      <c r="E110" s="1" t="n">
        <v>46312</v>
      </c>
      <c r="F110" t="inlineStr">
        <is>
          <t>SKÅNE LÄN</t>
        </is>
      </c>
      <c r="G110" t="inlineStr">
        <is>
          <t>KRISTIANSTAD</t>
        </is>
      </c>
      <c r="I110" t="n">
        <v>2.2</v>
      </c>
      <c r="J110" t="n">
        <v>1</v>
      </c>
      <c r="K110" t="n">
        <v>1</v>
      </c>
      <c r="L110" t="n">
        <v>0</v>
      </c>
      <c r="M110" t="n">
        <v>0</v>
      </c>
      <c r="N110" t="n">
        <v>1</v>
      </c>
      <c r="O110" t="n">
        <v>0</v>
      </c>
      <c r="P110" t="n">
        <v>0</v>
      </c>
      <c r="Q110" t="n">
        <v>1</v>
      </c>
      <c r="R110" t="n">
        <v>1</v>
      </c>
      <c r="S110" t="n">
        <v>6</v>
      </c>
      <c r="T110" t="n">
        <v>6</v>
      </c>
      <c r="U110" t="n">
        <v>6</v>
      </c>
      <c r="V110" s="2" t="inlineStr">
        <is>
          <t>Skogsalm
Skogsbräsma
Skogsbingel
Skriftlav
Storrams
Skogsduva</t>
        </is>
      </c>
      <c r="W110">
        <f>HYPERLINK("https://klasma.github.io/Logging_1290/artfynd/A 31847-2023 artfynd.xlsx", "A 31847-2023")</f>
        <v/>
      </c>
      <c r="X110">
        <f>HYPERLINK("https://klasma.github.io/Logging_1290/kartor/A 31847-2023 karta.png", "A 31847-2023")</f>
        <v/>
      </c>
      <c r="Y110">
        <f>HYPERLINK("https://klasma.github.io/Logging_1290/kartor_geotiff/A 31847-2023 georefererad karta.tif", "A 31847-2023")</f>
        <v/>
      </c>
      <c r="AA110">
        <f>HYPERLINK("https://klasma.github.io/Logging_1290/klagomål/A 31847-2023 FSC-klagomål.docx", "A 31847-2023")</f>
        <v/>
      </c>
      <c r="AB110">
        <f>HYPERLINK("https://klasma.github.io/Logging_1290/klagomålsmail/A 31847-2023 FSC-klagomål mail.docx", "A 31847-2023")</f>
        <v/>
      </c>
      <c r="AC110">
        <f>HYPERLINK("https://klasma.github.io/Logging_1290/tillsyn/A 31847-2023 tillsynsbegäran.docx", "A 31847-2023")</f>
        <v/>
      </c>
      <c r="AD110">
        <f>HYPERLINK("https://klasma.github.io/Logging_1290/tillsynsmail/A 31847-2023 tillsynsbegäran mail.docx", "A 31847-2023")</f>
        <v/>
      </c>
    </row>
    <row r="111" ht="15" customHeight="1">
      <c r="A111" t="inlineStr">
        <is>
          <t>A 308-2023</t>
        </is>
      </c>
      <c r="B111" t="inlineStr">
        <is>
          <t>avverkningsanmälan</t>
        </is>
      </c>
      <c r="C111" t="inlineStr">
        <is>
          <t>Föryngringsavverkning</t>
        </is>
      </c>
      <c r="D111" s="1" t="n">
        <v>44929</v>
      </c>
      <c r="E111" s="1" t="n">
        <v>46312</v>
      </c>
      <c r="F111" t="inlineStr">
        <is>
          <t>SKÅNE LÄN</t>
        </is>
      </c>
      <c r="G111" t="inlineStr">
        <is>
          <t>ÄNGELHOLM</t>
        </is>
      </c>
      <c r="I111" t="n">
        <v>0.8</v>
      </c>
      <c r="J111" t="n">
        <v>0</v>
      </c>
      <c r="K111" t="n">
        <v>5</v>
      </c>
      <c r="L111" t="n">
        <v>1</v>
      </c>
      <c r="M111" t="n">
        <v>0</v>
      </c>
      <c r="N111" t="n">
        <v>0</v>
      </c>
      <c r="O111" t="n">
        <v>0</v>
      </c>
      <c r="P111" t="n">
        <v>0</v>
      </c>
      <c r="Q111" t="n">
        <v>1</v>
      </c>
      <c r="R111" t="n">
        <v>0</v>
      </c>
      <c r="S111" t="n">
        <v>6</v>
      </c>
      <c r="T111" t="n">
        <v>7</v>
      </c>
      <c r="U111" t="n">
        <v>0</v>
      </c>
      <c r="V111" s="2" t="inlineStr">
        <is>
          <t>Bokvårtlav
Dvärghäxört
Havstulpanlav
Klippfrullania
Platt fjädermossa
Stor knopplav</t>
        </is>
      </c>
      <c r="W111">
        <f>HYPERLINK("https://klasma.github.io/Logging_1292/artfynd/A 308-2023 artfynd.xlsx", "A 308-2023")</f>
        <v/>
      </c>
      <c r="X111">
        <f>HYPERLINK("https://klasma.github.io/Logging_1292/kartor/A 308-2023 karta.png", "A 308-2023")</f>
        <v/>
      </c>
      <c r="Y111">
        <f>HYPERLINK("https://klasma.github.io/Logging_1292/kartor_geotiff/A 308-2023 georefererad karta.tif", "A 308-2023")</f>
        <v/>
      </c>
      <c r="AA111">
        <f>HYPERLINK("https://klasma.github.io/Logging_1292/klagomål/A 308-2023 FSC-klagomål.docx", "A 308-2023")</f>
        <v/>
      </c>
      <c r="AB111">
        <f>HYPERLINK("https://klasma.github.io/Logging_1292/klagomålsmail/A 308-2023 FSC-klagomål mail.docx", "A 308-2023")</f>
        <v/>
      </c>
      <c r="AC111">
        <f>HYPERLINK("https://klasma.github.io/Logging_1292/tillsyn/A 308-2023 tillsynsbegäran.docx", "A 308-2023")</f>
        <v/>
      </c>
      <c r="AD111">
        <f>HYPERLINK("https://klasma.github.io/Logging_1292/tillsynsmail/A 308-2023 tillsynsbegäran mail.docx", "A 308-2023")</f>
        <v/>
      </c>
    </row>
    <row r="112" ht="15" customHeight="1">
      <c r="A112" t="inlineStr">
        <is>
          <t>A 19517-2023</t>
        </is>
      </c>
      <c r="B112" t="inlineStr">
        <is>
          <t>avverkningsanmälan</t>
        </is>
      </c>
      <c r="C112" t="inlineStr">
        <is>
          <t>Föryngringsavverkning</t>
        </is>
      </c>
      <c r="D112" s="1" t="n">
        <v>45050</v>
      </c>
      <c r="E112" s="1" t="n">
        <v>46312</v>
      </c>
      <c r="F112" t="inlineStr">
        <is>
          <t>SKÅNE LÄN</t>
        </is>
      </c>
      <c r="G112" t="inlineStr">
        <is>
          <t>HÖÖR</t>
        </is>
      </c>
      <c r="I112" t="n">
        <v>6.2</v>
      </c>
      <c r="J112" t="n">
        <v>2</v>
      </c>
      <c r="K112" t="n">
        <v>2</v>
      </c>
      <c r="L112" t="n">
        <v>1</v>
      </c>
      <c r="M112" t="n">
        <v>2</v>
      </c>
      <c r="N112" t="n">
        <v>0</v>
      </c>
      <c r="O112" t="n">
        <v>0</v>
      </c>
      <c r="P112" t="n">
        <v>0</v>
      </c>
      <c r="Q112" t="n">
        <v>3</v>
      </c>
      <c r="R112" t="n">
        <v>2</v>
      </c>
      <c r="S112" t="n">
        <v>6</v>
      </c>
      <c r="T112" t="n">
        <v>6</v>
      </c>
      <c r="U112" t="n">
        <v>5</v>
      </c>
      <c r="V112" s="2" t="inlineStr">
        <is>
          <t>Backsippa
Småvänderot
Gullpudra
Dvärghäxört
Liten stinksvamp
Grönvit nattviol</t>
        </is>
      </c>
      <c r="W112">
        <f>HYPERLINK("https://klasma.github.io/Logging_1267/artfynd/A 19517-2023 artfynd.xlsx", "A 19517-2023")</f>
        <v/>
      </c>
      <c r="X112">
        <f>HYPERLINK("https://klasma.github.io/Logging_1267/kartor/A 19517-2023 karta.png", "A 19517-2023")</f>
        <v/>
      </c>
      <c r="Y112">
        <f>HYPERLINK("https://klasma.github.io/Logging_1267/kartor_geotiff/A 19517-2023 georefererad karta.tif", "A 19517-2023")</f>
        <v/>
      </c>
      <c r="AA112">
        <f>HYPERLINK("https://klasma.github.io/Logging_1267/klagomål/A 19517-2023 FSC-klagomål.docx", "A 19517-2023")</f>
        <v/>
      </c>
      <c r="AB112">
        <f>HYPERLINK("https://klasma.github.io/Logging_1267/klagomålsmail/A 19517-2023 FSC-klagomål mail.docx", "A 19517-2023")</f>
        <v/>
      </c>
      <c r="AC112">
        <f>HYPERLINK("https://klasma.github.io/Logging_1267/tillsyn/A 19517-2023 tillsynsbegäran.docx", "A 19517-2023")</f>
        <v/>
      </c>
      <c r="AD112">
        <f>HYPERLINK("https://klasma.github.io/Logging_1267/tillsynsmail/A 19517-2023 tillsynsbegäran mail.docx", "A 19517-2023")</f>
        <v/>
      </c>
    </row>
    <row r="113" ht="15" customHeight="1">
      <c r="A113" t="inlineStr">
        <is>
          <t>A 35680-2026</t>
        </is>
      </c>
      <c r="B113" t="inlineStr">
        <is>
          <t>avverkningsanmälan</t>
        </is>
      </c>
      <c r="C113" t="inlineStr">
        <is>
          <t>Föryngringsavverkning</t>
        </is>
      </c>
      <c r="D113" s="1" t="n">
        <v>46265</v>
      </c>
      <c r="E113" s="1" t="n">
        <v>46312</v>
      </c>
      <c r="F113" t="inlineStr">
        <is>
          <t>SKÅNE LÄN</t>
        </is>
      </c>
      <c r="G113" t="inlineStr">
        <is>
          <t>ÄNGELHOLM</t>
        </is>
      </c>
      <c r="I113" t="n">
        <v>2.9</v>
      </c>
      <c r="J113" t="n">
        <v>3</v>
      </c>
      <c r="K113" t="n">
        <v>1</v>
      </c>
      <c r="L113" t="n">
        <v>2</v>
      </c>
      <c r="M113" t="n">
        <v>1</v>
      </c>
      <c r="N113" t="n">
        <v>0</v>
      </c>
      <c r="O113" t="n">
        <v>0</v>
      </c>
      <c r="P113" t="n">
        <v>0</v>
      </c>
      <c r="Q113" t="n">
        <v>3</v>
      </c>
      <c r="R113" t="n">
        <v>1</v>
      </c>
      <c r="S113" t="n">
        <v>6</v>
      </c>
      <c r="T113" t="n">
        <v>12</v>
      </c>
      <c r="U113" t="n">
        <v>12</v>
      </c>
      <c r="V113" s="2" t="inlineStr">
        <is>
          <t>Vedlavklubba
Entita
Kandelabersvamp
Blåmossa
Bergfink
Spillkråka</t>
        </is>
      </c>
      <c r="W113">
        <f>HYPERLINK("https://klasma.github.io/Logging_1292/artfynd/A 35680-2026 artfynd.xlsx", "A 35680-2026")</f>
        <v/>
      </c>
      <c r="X113">
        <f>HYPERLINK("https://klasma.github.io/Logging_1292/kartor/A 35680-2026 karta.png", "A 35680-2026")</f>
        <v/>
      </c>
      <c r="Y113">
        <f>HYPERLINK("https://klasma.github.io/Logging_1292/kartor_geotiff/A 35680-2026 georefererad karta.tif", "A 35680-2026")</f>
        <v/>
      </c>
      <c r="AA113">
        <f>HYPERLINK("https://klasma.github.io/Logging_1292/klagomål/A 35680-2026 FSC-klagomål.docx", "A 35680-2026")</f>
        <v/>
      </c>
      <c r="AB113">
        <f>HYPERLINK("https://klasma.github.io/Logging_1292/klagomålsmail/A 35680-2026 FSC-klagomål mail.docx", "A 35680-2026")</f>
        <v/>
      </c>
      <c r="AC113">
        <f>HYPERLINK("https://klasma.github.io/Logging_1292/tillsyn/A 35680-2026 tillsynsbegäran.docx", "A 35680-2026")</f>
        <v/>
      </c>
      <c r="AD113">
        <f>HYPERLINK("https://klasma.github.io/Logging_1292/tillsynsmail/A 35680-2026 tillsynsbegäran mail.docx", "A 35680-2026")</f>
        <v/>
      </c>
      <c r="AE113">
        <f>HYPERLINK("https://klasma.github.io/Logging_1292/fåglar/A 35680-2026 prioriterade fågelarter.docx", "A 35680-2026")</f>
        <v/>
      </c>
    </row>
    <row r="114" ht="15" customHeight="1">
      <c r="A114" t="inlineStr">
        <is>
          <t>S 8853-2021</t>
        </is>
      </c>
      <c r="B114" t="inlineStr">
        <is>
          <t>samrådsanmälan</t>
        </is>
      </c>
      <c r="C114" t="inlineStr">
        <is>
          <t>Askåterföring</t>
        </is>
      </c>
      <c r="D114" s="1" t="n">
        <v>44503</v>
      </c>
      <c r="E114" s="1" t="n">
        <v>46312</v>
      </c>
      <c r="F114" t="inlineStr">
        <is>
          <t>SKÅNE LÄN</t>
        </is>
      </c>
      <c r="G114" t="inlineStr">
        <is>
          <t>HÖÖR</t>
        </is>
      </c>
      <c r="I114" t="n">
        <v>113.6</v>
      </c>
      <c r="J114" t="n">
        <v>2</v>
      </c>
      <c r="K114" t="n">
        <v>1</v>
      </c>
      <c r="L114" t="n">
        <v>2</v>
      </c>
      <c r="M114" t="n">
        <v>1</v>
      </c>
      <c r="N114" t="n">
        <v>1</v>
      </c>
      <c r="O114" t="n">
        <v>0</v>
      </c>
      <c r="P114" t="n">
        <v>0</v>
      </c>
      <c r="Q114" t="n">
        <v>4</v>
      </c>
      <c r="R114" t="n">
        <v>2</v>
      </c>
      <c r="S114" t="n">
        <v>6</v>
      </c>
      <c r="T114" t="n">
        <v>6</v>
      </c>
      <c r="U114" t="n">
        <v>3</v>
      </c>
      <c r="V114" s="2" t="inlineStr">
        <is>
          <t>Savlundlav
Igelkott
Koralltaggsvamp
Talltita
Skogsbräsma
Revlummer</t>
        </is>
      </c>
      <c r="W114">
        <f>HYPERLINK("https://klasma.github.io/Logging_1267/artfynd/S 8853-2021 artfynd.xlsx", "S 8853-2021")</f>
        <v/>
      </c>
      <c r="X114">
        <f>HYPERLINK("https://klasma.github.io/Logging_1267/kartor/S 8853-2021 karta.png", "S 8853-2021")</f>
        <v/>
      </c>
      <c r="Y114">
        <f>HYPERLINK("https://klasma.github.io/Logging_1267/kartor_geotiff/S 8853-2021 georefererad karta.tif", "S 8853-2021")</f>
        <v/>
      </c>
      <c r="AA114">
        <f>HYPERLINK("https://klasma.github.io/Logging_1267/klagomål/S 8853-2021 FSC-klagomål.docx", "S 8853-2021")</f>
        <v/>
      </c>
      <c r="AB114">
        <f>HYPERLINK("https://klasma.github.io/Logging_1267/klagomålsmail/S 8853-2021 FSC-klagomål mail.docx", "S 8853-2021")</f>
        <v/>
      </c>
      <c r="AC114">
        <f>HYPERLINK("https://klasma.github.io/Logging_1267/tillsyn/S 8853-2021 tillsynsbegäran.docx", "S 8853-2021")</f>
        <v/>
      </c>
      <c r="AD114">
        <f>HYPERLINK("https://klasma.github.io/Logging_1267/tillsynsmail/S 8853-2021 tillsynsbegäran mail.docx", "S 8853-2021")</f>
        <v/>
      </c>
      <c r="AE114">
        <f>HYPERLINK("https://klasma.github.io/Logging_1267/fåglar/S 8853-2021 prioriterade fågelarter.docx", "S 8853-2021")</f>
        <v/>
      </c>
    </row>
    <row r="115" ht="15" customHeight="1">
      <c r="A115" t="inlineStr">
        <is>
          <t>S 2334-2023</t>
        </is>
      </c>
      <c r="B115" t="inlineStr">
        <is>
          <t>samrådsanmälan</t>
        </is>
      </c>
      <c r="C115" t="inlineStr">
        <is>
          <t>Askåterföring</t>
        </is>
      </c>
      <c r="D115" s="1" t="n">
        <v>45106</v>
      </c>
      <c r="E115" s="1" t="n">
        <v>46312</v>
      </c>
      <c r="F115" t="inlineStr">
        <is>
          <t>SKÅNE LÄN</t>
        </is>
      </c>
      <c r="G115" t="inlineStr">
        <is>
          <t>ÄNGELHOLM</t>
        </is>
      </c>
      <c r="I115" t="n">
        <v>47.6</v>
      </c>
      <c r="J115" t="n">
        <v>3</v>
      </c>
      <c r="K115" t="n">
        <v>1</v>
      </c>
      <c r="L115" t="n">
        <v>1</v>
      </c>
      <c r="M115" t="n">
        <v>1</v>
      </c>
      <c r="N115" t="n">
        <v>0</v>
      </c>
      <c r="O115" t="n">
        <v>0</v>
      </c>
      <c r="P115" t="n">
        <v>0</v>
      </c>
      <c r="Q115" t="n">
        <v>2</v>
      </c>
      <c r="R115" t="n">
        <v>1</v>
      </c>
      <c r="S115" t="n">
        <v>6</v>
      </c>
      <c r="T115" t="n">
        <v>6</v>
      </c>
      <c r="U115" t="n">
        <v>6</v>
      </c>
      <c r="V115" s="2" t="inlineStr">
        <is>
          <t>Småvänderot
Vitfläckig guldvinge
Kambräken
Spillkråka
Törnskata
Revlummer</t>
        </is>
      </c>
      <c r="W115">
        <f>HYPERLINK("https://klasma.github.io/Logging_1292/artfynd/S 2334-2023 artfynd.xlsx", "S 2334-2023")</f>
        <v/>
      </c>
      <c r="X115">
        <f>HYPERLINK("https://klasma.github.io/Logging_1292/kartor/S 2334-2023 karta.png", "S 2334-2023")</f>
        <v/>
      </c>
      <c r="Y115">
        <f>HYPERLINK("https://klasma.github.io/Logging_1292/kartor_geotiff/S 2334-2023 georefererad karta.tif", "S 2334-2023")</f>
        <v/>
      </c>
      <c r="AA115">
        <f>HYPERLINK("https://klasma.github.io/Logging_1292/klagomål/S 2334-2023 FSC-klagomål.docx", "S 2334-2023")</f>
        <v/>
      </c>
      <c r="AB115">
        <f>HYPERLINK("https://klasma.github.io/Logging_1292/klagomålsmail/S 2334-2023 FSC-klagomål mail.docx", "S 2334-2023")</f>
        <v/>
      </c>
      <c r="AC115">
        <f>HYPERLINK("https://klasma.github.io/Logging_1292/tillsyn/S 2334-2023 tillsynsbegäran.docx", "S 2334-2023")</f>
        <v/>
      </c>
      <c r="AD115">
        <f>HYPERLINK("https://klasma.github.io/Logging_1292/tillsynsmail/S 2334-2023 tillsynsbegäran mail.docx", "S 2334-2023")</f>
        <v/>
      </c>
      <c r="AE115">
        <f>HYPERLINK("https://klasma.github.io/Logging_1292/fåglar/S 2334-2023 prioriterade fågelarter.docx", "S 2334-2023")</f>
        <v/>
      </c>
    </row>
    <row r="116" ht="15" customHeight="1">
      <c r="A116" t="inlineStr">
        <is>
          <t>S 215-2023</t>
        </is>
      </c>
      <c r="B116" t="inlineStr">
        <is>
          <t>samrådsanmälan</t>
        </is>
      </c>
      <c r="C116" t="inlineStr">
        <is>
          <t>Askåterföring</t>
        </is>
      </c>
      <c r="D116" s="1" t="n">
        <v>44946</v>
      </c>
      <c r="E116" s="1" t="n">
        <v>46312</v>
      </c>
      <c r="F116" t="inlineStr">
        <is>
          <t>SKÅNE LÄN</t>
        </is>
      </c>
      <c r="G116" t="inlineStr">
        <is>
          <t>ÖRKELLJUNGA</t>
        </is>
      </c>
      <c r="I116" t="n">
        <v>53.8</v>
      </c>
      <c r="J116" t="n">
        <v>0</v>
      </c>
      <c r="K116" t="n">
        <v>4</v>
      </c>
      <c r="L116" t="n">
        <v>2</v>
      </c>
      <c r="M116" t="n">
        <v>0</v>
      </c>
      <c r="N116" t="n">
        <v>0</v>
      </c>
      <c r="O116" t="n">
        <v>0</v>
      </c>
      <c r="P116" t="n">
        <v>0</v>
      </c>
      <c r="Q116" t="n">
        <v>2</v>
      </c>
      <c r="R116" t="n">
        <v>0</v>
      </c>
      <c r="S116" t="n">
        <v>6</v>
      </c>
      <c r="T116" t="n">
        <v>7</v>
      </c>
      <c r="U116" t="n">
        <v>0</v>
      </c>
      <c r="V116" s="2" t="inlineStr">
        <is>
          <t>Bokvårtlav
Lamellsnäcka
Havstulpanlav
Liten stinksvamp
Mandelriska
Platt fjädermossa</t>
        </is>
      </c>
      <c r="W116">
        <f>HYPERLINK("https://klasma.github.io/Logging_1257/artfynd/S 215-2023 artfynd.xlsx", "S 215-2023")</f>
        <v/>
      </c>
      <c r="X116">
        <f>HYPERLINK("https://klasma.github.io/Logging_1257/kartor/S 215-2023 karta.png", "S 215-2023")</f>
        <v/>
      </c>
      <c r="Y116">
        <f>HYPERLINK("https://klasma.github.io/Logging_1257/kartor_geotiff/S 215-2023 georefererad karta.tif", "S 215-2023")</f>
        <v/>
      </c>
      <c r="AA116">
        <f>HYPERLINK("https://klasma.github.io/Logging_1257/klagomål/S 215-2023 FSC-klagomål.docx", "S 215-2023")</f>
        <v/>
      </c>
      <c r="AB116">
        <f>HYPERLINK("https://klasma.github.io/Logging_1257/klagomålsmail/S 215-2023 FSC-klagomål mail.docx", "S 215-2023")</f>
        <v/>
      </c>
      <c r="AC116">
        <f>HYPERLINK("https://klasma.github.io/Logging_1257/tillsyn/S 215-2023 tillsynsbegäran.docx", "S 215-2023")</f>
        <v/>
      </c>
      <c r="AD116">
        <f>HYPERLINK("https://klasma.github.io/Logging_1257/tillsynsmail/S 215-2023 tillsynsbegäran mail.docx", "S 215-2023")</f>
        <v/>
      </c>
    </row>
    <row r="117" ht="15" customHeight="1">
      <c r="A117" t="inlineStr">
        <is>
          <t>S 3159-2024</t>
        </is>
      </c>
      <c r="B117" t="inlineStr">
        <is>
          <t>samrådsanmälan</t>
        </is>
      </c>
      <c r="C117" t="inlineStr">
        <is>
          <t>Annan skogsbruksåtgärd</t>
        </is>
      </c>
      <c r="D117" s="1" t="n">
        <v>45523</v>
      </c>
      <c r="E117" s="1" t="n">
        <v>46312</v>
      </c>
      <c r="F117" t="inlineStr">
        <is>
          <t>SKÅNE LÄN</t>
        </is>
      </c>
      <c r="G117" t="inlineStr">
        <is>
          <t>HÄSSLEHOLM</t>
        </is>
      </c>
      <c r="I117" t="n">
        <v>2.2</v>
      </c>
      <c r="J117" t="n">
        <v>2</v>
      </c>
      <c r="K117" t="n">
        <v>3</v>
      </c>
      <c r="L117" t="n">
        <v>2</v>
      </c>
      <c r="M117" t="n">
        <v>0</v>
      </c>
      <c r="N117" t="n">
        <v>0</v>
      </c>
      <c r="O117" t="n">
        <v>0</v>
      </c>
      <c r="P117" t="n">
        <v>0</v>
      </c>
      <c r="Q117" t="n">
        <v>2</v>
      </c>
      <c r="R117" t="n">
        <v>0</v>
      </c>
      <c r="S117" t="n">
        <v>6</v>
      </c>
      <c r="T117" t="n">
        <v>6</v>
      </c>
      <c r="U117" t="n">
        <v>0</v>
      </c>
      <c r="V117" s="2" t="inlineStr">
        <is>
          <t>Bokvårtlav
Mindre hackspett
Klippfrullania
Rostfläck
Trubbfjädermossa
Blåsippa</t>
        </is>
      </c>
      <c r="W117">
        <f>HYPERLINK("https://klasma.github.io/Logging_1293/artfynd/S 3159-2024 artfynd.xlsx", "S 3159-2024")</f>
        <v/>
      </c>
      <c r="X117">
        <f>HYPERLINK("https://klasma.github.io/Logging_1293/kartor/S 3159-2024 karta.png", "S 3159-2024")</f>
        <v/>
      </c>
      <c r="Y117">
        <f>HYPERLINK("https://klasma.github.io/Logging_1293/kartor_geotiff/S 3159-2024 georefererad karta.tif", "S 3159-2024")</f>
        <v/>
      </c>
      <c r="AA117">
        <f>HYPERLINK("https://klasma.github.io/Logging_1293/klagomål/S 3159-2024 FSC-klagomål.docx", "S 3159-2024")</f>
        <v/>
      </c>
      <c r="AB117">
        <f>HYPERLINK("https://klasma.github.io/Logging_1293/klagomålsmail/S 3159-2024 FSC-klagomål mail.docx", "S 3159-2024")</f>
        <v/>
      </c>
      <c r="AC117">
        <f>HYPERLINK("https://klasma.github.io/Logging_1293/tillsyn/S 3159-2024 tillsynsbegäran.docx", "S 3159-2024")</f>
        <v/>
      </c>
      <c r="AD117">
        <f>HYPERLINK("https://klasma.github.io/Logging_1293/tillsynsmail/S 3159-2024 tillsynsbegäran mail.docx", "S 3159-2024")</f>
        <v/>
      </c>
      <c r="AE117">
        <f>HYPERLINK("https://klasma.github.io/Logging_1293/fåglar/S 3159-2024 prioriterade fågelarter.docx", "S 3159-2024")</f>
        <v/>
      </c>
    </row>
    <row r="118" ht="15" customHeight="1">
      <c r="A118" t="inlineStr">
        <is>
          <t>S 4107-2023</t>
        </is>
      </c>
      <c r="B118" t="inlineStr">
        <is>
          <t>samrådsanmälan</t>
        </is>
      </c>
      <c r="C118" t="inlineStr">
        <is>
          <t>Annan skogsbruksåtgärd</t>
        </is>
      </c>
      <c r="D118" s="1" t="n">
        <v>45245</v>
      </c>
      <c r="E118" s="1" t="n">
        <v>46312</v>
      </c>
      <c r="F118" t="inlineStr">
        <is>
          <t>SKÅNE LÄN</t>
        </is>
      </c>
      <c r="G118" t="inlineStr">
        <is>
          <t>ÄNGELHOLM</t>
        </is>
      </c>
      <c r="I118" t="n">
        <v>0.2</v>
      </c>
      <c r="J118" t="n">
        <v>0</v>
      </c>
      <c r="K118" t="n">
        <v>5</v>
      </c>
      <c r="L118" t="n">
        <v>1</v>
      </c>
      <c r="M118" t="n">
        <v>0</v>
      </c>
      <c r="N118" t="n">
        <v>0</v>
      </c>
      <c r="O118" t="n">
        <v>0</v>
      </c>
      <c r="P118" t="n">
        <v>0</v>
      </c>
      <c r="Q118" t="n">
        <v>1</v>
      </c>
      <c r="R118" t="n">
        <v>0</v>
      </c>
      <c r="S118" t="n">
        <v>6</v>
      </c>
      <c r="T118" t="n">
        <v>7</v>
      </c>
      <c r="U118" t="n">
        <v>0</v>
      </c>
      <c r="V118" s="2" t="inlineStr">
        <is>
          <t>Bokvårtlav
Dvärghäxört
Havstulpanlav
Klippfrullania
Platt fjädermossa
Stor knopplav</t>
        </is>
      </c>
      <c r="W118">
        <f>HYPERLINK("https://klasma.github.io/Logging_1292/artfynd/S 4107-2023 artfynd.xlsx", "S 4107-2023")</f>
        <v/>
      </c>
      <c r="X118">
        <f>HYPERLINK("https://klasma.github.io/Logging_1292/kartor/S 4107-2023 karta.png", "S 4107-2023")</f>
        <v/>
      </c>
      <c r="Y118">
        <f>HYPERLINK("https://klasma.github.io/Logging_1292/kartor_geotiff/S 4107-2023 georefererad karta.tif", "S 4107-2023")</f>
        <v/>
      </c>
      <c r="AA118">
        <f>HYPERLINK("https://klasma.github.io/Logging_1292/klagomål/S 4107-2023 FSC-klagomål.docx", "S 4107-2023")</f>
        <v/>
      </c>
      <c r="AB118">
        <f>HYPERLINK("https://klasma.github.io/Logging_1292/klagomålsmail/S 4107-2023 FSC-klagomål mail.docx", "S 4107-2023")</f>
        <v/>
      </c>
      <c r="AC118">
        <f>HYPERLINK("https://klasma.github.io/Logging_1292/tillsyn/S 4107-2023 tillsynsbegäran.docx", "S 4107-2023")</f>
        <v/>
      </c>
      <c r="AD118">
        <f>HYPERLINK("https://klasma.github.io/Logging_1292/tillsynsmail/S 4107-2023 tillsynsbegäran mail.docx", "S 4107-2023")</f>
        <v/>
      </c>
    </row>
    <row r="119" ht="15" customHeight="1">
      <c r="A119" t="inlineStr">
        <is>
          <t>S 2649-2026</t>
        </is>
      </c>
      <c r="B119" t="inlineStr">
        <is>
          <t>samrådsanmälan</t>
        </is>
      </c>
      <c r="C119" t="inlineStr">
        <is>
          <t>Askåterföring</t>
        </is>
      </c>
      <c r="D119" s="1" t="n">
        <v>46304</v>
      </c>
      <c r="E119" s="1" t="n">
        <v>46312</v>
      </c>
      <c r="F119" t="inlineStr">
        <is>
          <t>SKÅNE LÄN</t>
        </is>
      </c>
      <c r="G119" t="inlineStr">
        <is>
          <t>HÄSSLEHOLM</t>
        </is>
      </c>
      <c r="I119" t="n">
        <v>137.7</v>
      </c>
      <c r="J119" t="n">
        <v>1</v>
      </c>
      <c r="K119" t="n">
        <v>3</v>
      </c>
      <c r="L119" t="n">
        <v>1</v>
      </c>
      <c r="M119" t="n">
        <v>1</v>
      </c>
      <c r="N119" t="n">
        <v>0</v>
      </c>
      <c r="O119" t="n">
        <v>0</v>
      </c>
      <c r="P119" t="n">
        <v>0</v>
      </c>
      <c r="Q119" t="n">
        <v>2</v>
      </c>
      <c r="R119" t="n">
        <v>1</v>
      </c>
      <c r="S119" t="n">
        <v>6</v>
      </c>
      <c r="T119" t="n">
        <v>6</v>
      </c>
      <c r="U119" t="n">
        <v>0</v>
      </c>
      <c r="V119" s="2" t="inlineStr">
        <is>
          <t>Revig blodrot
Svinrot
Brandticka
Kransrams
Skogsbräsma
Tjäder</t>
        </is>
      </c>
      <c r="W119">
        <f>HYPERLINK("https://klasma.github.io/Logging_1293/artfynd/S 2649-2026 artfynd.xlsx", "S 2649-2026")</f>
        <v/>
      </c>
      <c r="X119">
        <f>HYPERLINK("https://klasma.github.io/Logging_1293/kartor/S 2649-2026 karta.png", "S 2649-2026")</f>
        <v/>
      </c>
      <c r="Y119">
        <f>HYPERLINK("https://klasma.github.io/Logging_1293/kartor_geotiff/S 2649-2026 georefererad karta.tif", "S 2649-2026")</f>
        <v/>
      </c>
      <c r="AA119">
        <f>HYPERLINK("https://klasma.github.io/Logging_1293/klagomål/S 2649-2026 FSC-klagomål.docx", "S 2649-2026")</f>
        <v/>
      </c>
      <c r="AB119">
        <f>HYPERLINK("https://klasma.github.io/Logging_1293/klagomålsmail/S 2649-2026 FSC-klagomål mail.docx", "S 2649-2026")</f>
        <v/>
      </c>
      <c r="AC119">
        <f>HYPERLINK("https://klasma.github.io/Logging_1293/tillsyn/S 2649-2026 tillsynsbegäran.docx", "S 2649-2026")</f>
        <v/>
      </c>
      <c r="AD119">
        <f>HYPERLINK("https://klasma.github.io/Logging_1293/tillsynsmail/S 2649-2026 tillsynsbegäran mail.docx", "S 2649-2026")</f>
        <v/>
      </c>
      <c r="AE119">
        <f>HYPERLINK("https://klasma.github.io/Logging_1293/fåglar/S 2649-2026 prioriterade fågelarter.docx", "S 2649-2026")</f>
        <v/>
      </c>
    </row>
    <row r="120" ht="15" customHeight="1">
      <c r="A120" t="inlineStr">
        <is>
          <t>A 35901-2022</t>
        </is>
      </c>
      <c r="B120" t="inlineStr">
        <is>
          <t>avverkningsanmälan</t>
        </is>
      </c>
      <c r="C120" t="inlineStr">
        <is>
          <t>Föryngringsavverkning</t>
        </is>
      </c>
      <c r="D120" s="1" t="n">
        <v>44802</v>
      </c>
      <c r="E120" s="1" t="n">
        <v>46312</v>
      </c>
      <c r="F120" t="inlineStr">
        <is>
          <t>SKÅNE LÄN</t>
        </is>
      </c>
      <c r="G120" t="inlineStr">
        <is>
          <t>OSBY</t>
        </is>
      </c>
      <c r="H120" t="inlineStr">
        <is>
          <t>Kyrkan</t>
        </is>
      </c>
      <c r="I120" t="n">
        <v>7.1</v>
      </c>
      <c r="J120" t="n">
        <v>0</v>
      </c>
      <c r="K120" t="n">
        <v>3</v>
      </c>
      <c r="L120" t="n">
        <v>2</v>
      </c>
      <c r="M120" t="n">
        <v>0</v>
      </c>
      <c r="N120" t="n">
        <v>0</v>
      </c>
      <c r="O120" t="n">
        <v>0</v>
      </c>
      <c r="P120" t="n">
        <v>0</v>
      </c>
      <c r="Q120" t="n">
        <v>2</v>
      </c>
      <c r="R120" t="n">
        <v>0</v>
      </c>
      <c r="S120" t="n">
        <v>5</v>
      </c>
      <c r="T120" t="n">
        <v>5</v>
      </c>
      <c r="U120" t="n">
        <v>5</v>
      </c>
      <c r="V120" s="2" t="inlineStr">
        <is>
          <t>Liten lundlav
Spinnfingersvamp
Havstulpanlav
Platt fjädermossa
Trädporella</t>
        </is>
      </c>
      <c r="W120">
        <f>HYPERLINK("https://klasma.github.io/Logging_1273/artfynd/A 35901-2022 artfynd.xlsx", "A 35901-2022")</f>
        <v/>
      </c>
      <c r="X120">
        <f>HYPERLINK("https://klasma.github.io/Logging_1273/kartor/A 35901-2022 karta.png", "A 35901-2022")</f>
        <v/>
      </c>
      <c r="Y120">
        <f>HYPERLINK("https://klasma.github.io/Logging_1273/kartor_geotiff/A 35901-2022 georefererad karta.tif", "A 35901-2022")</f>
        <v/>
      </c>
      <c r="AA120">
        <f>HYPERLINK("https://klasma.github.io/Logging_1273/klagomål/A 35901-2022 FSC-klagomål.docx", "A 35901-2022")</f>
        <v/>
      </c>
      <c r="AB120">
        <f>HYPERLINK("https://klasma.github.io/Logging_1273/klagomålsmail/A 35901-2022 FSC-klagomål mail.docx", "A 35901-2022")</f>
        <v/>
      </c>
      <c r="AC120">
        <f>HYPERLINK("https://klasma.github.io/Logging_1273/tillsyn/A 35901-2022 tillsynsbegäran.docx", "A 35901-2022")</f>
        <v/>
      </c>
      <c r="AD120">
        <f>HYPERLINK("https://klasma.github.io/Logging_1273/tillsynsmail/A 35901-2022 tillsynsbegäran mail.docx", "A 35901-2022")</f>
        <v/>
      </c>
    </row>
    <row r="121" ht="15" customHeight="1">
      <c r="A121" t="inlineStr">
        <is>
          <t>A 45-2022</t>
        </is>
      </c>
      <c r="B121" t="inlineStr">
        <is>
          <t>avverkningsanmälan</t>
        </is>
      </c>
      <c r="C121" t="inlineStr">
        <is>
          <t>Föryngringsavverkning</t>
        </is>
      </c>
      <c r="D121" s="1" t="n">
        <v>44564</v>
      </c>
      <c r="E121" s="1" t="n">
        <v>46312</v>
      </c>
      <c r="F121" t="inlineStr">
        <is>
          <t>SKÅNE LÄN</t>
        </is>
      </c>
      <c r="G121" t="inlineStr">
        <is>
          <t>SIMRISHAMN</t>
        </is>
      </c>
      <c r="H121" t="inlineStr">
        <is>
          <t>Övriga Aktiebolag</t>
        </is>
      </c>
      <c r="I121" t="n">
        <v>7.2</v>
      </c>
      <c r="J121" t="n">
        <v>0</v>
      </c>
      <c r="K121" t="n">
        <v>1</v>
      </c>
      <c r="L121" t="n">
        <v>4</v>
      </c>
      <c r="M121" t="n">
        <v>0</v>
      </c>
      <c r="N121" t="n">
        <v>0</v>
      </c>
      <c r="O121" t="n">
        <v>0</v>
      </c>
      <c r="P121" t="n">
        <v>0</v>
      </c>
      <c r="Q121" t="n">
        <v>4</v>
      </c>
      <c r="R121" t="n">
        <v>0</v>
      </c>
      <c r="S121" t="n">
        <v>5</v>
      </c>
      <c r="T121" t="n">
        <v>5</v>
      </c>
      <c r="U121" t="n">
        <v>5</v>
      </c>
      <c r="V121" s="2" t="inlineStr">
        <is>
          <t>Bokvårtlav
Lunglav
Mjukdån
Småjungfrukam
Stor knopplav</t>
        </is>
      </c>
      <c r="W121">
        <f>HYPERLINK("https://klasma.github.io/Logging_1291/artfynd/A 45-2022 artfynd.xlsx", "A 45-2022")</f>
        <v/>
      </c>
      <c r="X121">
        <f>HYPERLINK("https://klasma.github.io/Logging_1291/kartor/A 45-2022 karta.png", "A 45-2022")</f>
        <v/>
      </c>
      <c r="Y121">
        <f>HYPERLINK("https://klasma.github.io/Logging_1291/kartor_geotiff/A 45-2022 georefererad karta.tif", "A 45-2022")</f>
        <v/>
      </c>
      <c r="AA121">
        <f>HYPERLINK("https://klasma.github.io/Logging_1291/klagomål/A 45-2022 FSC-klagomål.docx", "A 45-2022")</f>
        <v/>
      </c>
      <c r="AB121">
        <f>HYPERLINK("https://klasma.github.io/Logging_1291/klagomålsmail/A 45-2022 FSC-klagomål mail.docx", "A 45-2022")</f>
        <v/>
      </c>
      <c r="AC121">
        <f>HYPERLINK("https://klasma.github.io/Logging_1291/tillsyn/A 45-2022 tillsynsbegäran.docx", "A 45-2022")</f>
        <v/>
      </c>
      <c r="AD121">
        <f>HYPERLINK("https://klasma.github.io/Logging_1291/tillsynsmail/A 45-2022 tillsynsbegäran mail.docx", "A 45-2022")</f>
        <v/>
      </c>
    </row>
    <row r="122" ht="15" customHeight="1">
      <c r="A122" t="inlineStr">
        <is>
          <t>A 8315-2026</t>
        </is>
      </c>
      <c r="B122" t="inlineStr">
        <is>
          <t>avverkningsanmälan</t>
        </is>
      </c>
      <c r="C122" t="inlineStr">
        <is>
          <t>Föryngringsavverkning</t>
        </is>
      </c>
      <c r="D122" s="1" t="n">
        <v>46064</v>
      </c>
      <c r="E122" s="1" t="n">
        <v>46312</v>
      </c>
      <c r="F122" t="inlineStr">
        <is>
          <t>SKÅNE LÄN</t>
        </is>
      </c>
      <c r="G122" t="inlineStr">
        <is>
          <t>HÖÖR</t>
        </is>
      </c>
      <c r="I122" t="n">
        <v>4.7</v>
      </c>
      <c r="J122" t="n">
        <v>4</v>
      </c>
      <c r="K122" t="n">
        <v>0</v>
      </c>
      <c r="L122" t="n">
        <v>2</v>
      </c>
      <c r="M122" t="n">
        <v>0</v>
      </c>
      <c r="N122" t="n">
        <v>0</v>
      </c>
      <c r="O122" t="n">
        <v>0</v>
      </c>
      <c r="P122" t="n">
        <v>0</v>
      </c>
      <c r="Q122" t="n">
        <v>2</v>
      </c>
      <c r="R122" t="n">
        <v>0</v>
      </c>
      <c r="S122" t="n">
        <v>5</v>
      </c>
      <c r="T122" t="n">
        <v>5</v>
      </c>
      <c r="U122" t="n">
        <v>4</v>
      </c>
      <c r="V122" s="2" t="inlineStr">
        <is>
          <t>Grönsångare
Småjungfrukam
Spillkråka
Kungsfågel
Skogsduva</t>
        </is>
      </c>
      <c r="W122">
        <f>HYPERLINK("https://klasma.github.io/Logging_1267/artfynd/A 8315-2026 artfynd.xlsx", "A 8315-2026")</f>
        <v/>
      </c>
      <c r="X122">
        <f>HYPERLINK("https://klasma.github.io/Logging_1267/kartor/A 8315-2026 karta.png", "A 8315-2026")</f>
        <v/>
      </c>
      <c r="Y122">
        <f>HYPERLINK("https://klasma.github.io/Logging_1267/kartor_geotiff/A 8315-2026 georefererad karta.tif", "A 8315-2026")</f>
        <v/>
      </c>
      <c r="AA122">
        <f>HYPERLINK("https://klasma.github.io/Logging_1267/klagomål/A 8315-2026 FSC-klagomål.docx", "A 8315-2026")</f>
        <v/>
      </c>
      <c r="AB122">
        <f>HYPERLINK("https://klasma.github.io/Logging_1267/klagomålsmail/A 8315-2026 FSC-klagomål mail.docx", "A 8315-2026")</f>
        <v/>
      </c>
      <c r="AC122">
        <f>HYPERLINK("https://klasma.github.io/Logging_1267/tillsyn/A 8315-2026 tillsynsbegäran.docx", "A 8315-2026")</f>
        <v/>
      </c>
      <c r="AD122">
        <f>HYPERLINK("https://klasma.github.io/Logging_1267/tillsynsmail/A 8315-2026 tillsynsbegäran mail.docx", "A 8315-2026")</f>
        <v/>
      </c>
      <c r="AE122">
        <f>HYPERLINK("https://klasma.github.io/Logging_1267/fåglar/A 8315-2026 prioriterade fågelarter.docx", "A 8315-2026")</f>
        <v/>
      </c>
    </row>
    <row r="123" ht="15" customHeight="1">
      <c r="A123" t="inlineStr">
        <is>
          <t>A 23847-2026</t>
        </is>
      </c>
      <c r="B123" t="inlineStr">
        <is>
          <t>avverkningsanmälan</t>
        </is>
      </c>
      <c r="C123" t="inlineStr">
        <is>
          <t>Föryngringsavverkning</t>
        </is>
      </c>
      <c r="D123" s="1" t="n">
        <v>46167</v>
      </c>
      <c r="E123" s="1" t="n">
        <v>46312</v>
      </c>
      <c r="F123" t="inlineStr">
        <is>
          <t>SKÅNE LÄN</t>
        </is>
      </c>
      <c r="G123" t="inlineStr">
        <is>
          <t>ÖSTRA GÖINGE</t>
        </is>
      </c>
      <c r="I123" t="n">
        <v>2.5</v>
      </c>
      <c r="J123" t="n">
        <v>5</v>
      </c>
      <c r="K123" t="n">
        <v>0</v>
      </c>
      <c r="L123" t="n">
        <v>2</v>
      </c>
      <c r="M123" t="n">
        <v>0</v>
      </c>
      <c r="N123" t="n">
        <v>0</v>
      </c>
      <c r="O123" t="n">
        <v>0</v>
      </c>
      <c r="P123" t="n">
        <v>0</v>
      </c>
      <c r="Q123" t="n">
        <v>2</v>
      </c>
      <c r="R123" t="n">
        <v>0</v>
      </c>
      <c r="S123" t="n">
        <v>5</v>
      </c>
      <c r="T123" t="n">
        <v>5</v>
      </c>
      <c r="U123" t="n">
        <v>0</v>
      </c>
      <c r="V123" s="2" t="inlineStr">
        <is>
          <t>Barbastell
Nordfladdermus
Dvärgpipistrell
Röd glada
Större brunfladdermus</t>
        </is>
      </c>
      <c r="W123">
        <f>HYPERLINK("https://klasma.github.io/Logging_1256/artfynd/A 23847-2026 artfynd.xlsx", "A 23847-2026")</f>
        <v/>
      </c>
      <c r="X123">
        <f>HYPERLINK("https://klasma.github.io/Logging_1256/kartor/A 23847-2026 karta.png", "A 23847-2026")</f>
        <v/>
      </c>
      <c r="Y123">
        <f>HYPERLINK("https://klasma.github.io/Logging_1256/kartor_geotiff/A 23847-2026 georefererad karta.tif", "A 23847-2026")</f>
        <v/>
      </c>
      <c r="AA123">
        <f>HYPERLINK("https://klasma.github.io/Logging_1256/klagomål/A 23847-2026 FSC-klagomål.docx", "A 23847-2026")</f>
        <v/>
      </c>
      <c r="AB123">
        <f>HYPERLINK("https://klasma.github.io/Logging_1256/klagomålsmail/A 23847-2026 FSC-klagomål mail.docx", "A 23847-2026")</f>
        <v/>
      </c>
      <c r="AC123">
        <f>HYPERLINK("https://klasma.github.io/Logging_1256/tillsyn/A 23847-2026 tillsynsbegäran.docx", "A 23847-2026")</f>
        <v/>
      </c>
      <c r="AD123">
        <f>HYPERLINK("https://klasma.github.io/Logging_1256/tillsynsmail/A 23847-2026 tillsynsbegäran mail.docx", "A 23847-2026")</f>
        <v/>
      </c>
      <c r="AE123">
        <f>HYPERLINK("https://klasma.github.io/Logging_1256/fåglar/A 23847-2026 prioriterade fågelarter.docx", "A 23847-2026")</f>
        <v/>
      </c>
    </row>
    <row r="124" ht="15" customHeight="1">
      <c r="A124" t="inlineStr">
        <is>
          <t>A 37966-2024</t>
        </is>
      </c>
      <c r="B124" t="inlineStr">
        <is>
          <t>avverkningsanmälan</t>
        </is>
      </c>
      <c r="C124" t="inlineStr">
        <is>
          <t>Föryngringsavverkning</t>
        </is>
      </c>
      <c r="D124" s="1" t="n">
        <v>45544</v>
      </c>
      <c r="E124" s="1" t="n">
        <v>46312</v>
      </c>
      <c r="F124" t="inlineStr">
        <is>
          <t>SKÅNE LÄN</t>
        </is>
      </c>
      <c r="G124" t="inlineStr">
        <is>
          <t>KLIPPAN</t>
        </is>
      </c>
      <c r="I124" t="n">
        <v>2.5</v>
      </c>
      <c r="J124" t="n">
        <v>5</v>
      </c>
      <c r="K124" t="n">
        <v>0</v>
      </c>
      <c r="L124" t="n">
        <v>0</v>
      </c>
      <c r="M124" t="n">
        <v>0</v>
      </c>
      <c r="N124" t="n">
        <v>0</v>
      </c>
      <c r="O124" t="n">
        <v>0</v>
      </c>
      <c r="P124" t="n">
        <v>0</v>
      </c>
      <c r="Q124" t="n">
        <v>0</v>
      </c>
      <c r="R124" t="n">
        <v>0</v>
      </c>
      <c r="S124" t="n">
        <v>5</v>
      </c>
      <c r="T124" t="n">
        <v>5</v>
      </c>
      <c r="U124" t="n">
        <v>5</v>
      </c>
      <c r="V124" s="2" t="inlineStr">
        <is>
          <t>Grönsiska
Röd glada
Större vattensalamander
Trana
Vanlig padda</t>
        </is>
      </c>
      <c r="W124">
        <f>HYPERLINK("https://klasma.github.io/Logging_1276/artfynd/A 37966-2024 artfynd.xlsx", "A 37966-2024")</f>
        <v/>
      </c>
      <c r="X124">
        <f>HYPERLINK("https://klasma.github.io/Logging_1276/kartor/A 37966-2024 karta.png", "A 37966-2024")</f>
        <v/>
      </c>
      <c r="Y124">
        <f>HYPERLINK("https://klasma.github.io/Logging_1276/kartor_geotiff/A 37966-2024 georefererad karta.tif", "A 37966-2024")</f>
        <v/>
      </c>
      <c r="AA124">
        <f>HYPERLINK("https://klasma.github.io/Logging_1276/klagomål/A 37966-2024 FSC-klagomål.docx", "A 37966-2024")</f>
        <v/>
      </c>
      <c r="AB124">
        <f>HYPERLINK("https://klasma.github.io/Logging_1276/klagomålsmail/A 37966-2024 FSC-klagomål mail.docx", "A 37966-2024")</f>
        <v/>
      </c>
      <c r="AC124">
        <f>HYPERLINK("https://klasma.github.io/Logging_1276/tillsyn/A 37966-2024 tillsynsbegäran.docx", "A 37966-2024")</f>
        <v/>
      </c>
      <c r="AD124">
        <f>HYPERLINK("https://klasma.github.io/Logging_1276/tillsynsmail/A 37966-2024 tillsynsbegäran mail.docx", "A 37966-2024")</f>
        <v/>
      </c>
      <c r="AE124">
        <f>HYPERLINK("https://klasma.github.io/Logging_1276/fåglar/A 37966-2024 prioriterade fågelarter.docx", "A 37966-2024")</f>
        <v/>
      </c>
    </row>
    <row r="125" ht="15" customHeight="1">
      <c r="A125" t="inlineStr">
        <is>
          <t>A 27244-2024</t>
        </is>
      </c>
      <c r="B125" t="inlineStr">
        <is>
          <t>avverkningsanmälan</t>
        </is>
      </c>
      <c r="C125" t="inlineStr">
        <is>
          <t>Föryngringsavverkning</t>
        </is>
      </c>
      <c r="D125" s="1" t="n">
        <v>45471</v>
      </c>
      <c r="E125" s="1" t="n">
        <v>46312</v>
      </c>
      <c r="F125" t="inlineStr">
        <is>
          <t>SKÅNE LÄN</t>
        </is>
      </c>
      <c r="G125" t="inlineStr">
        <is>
          <t>SVEDALA</t>
        </is>
      </c>
      <c r="I125" t="n">
        <v>1.9</v>
      </c>
      <c r="J125" t="n">
        <v>1</v>
      </c>
      <c r="K125" t="n">
        <v>3</v>
      </c>
      <c r="L125" t="n">
        <v>1</v>
      </c>
      <c r="M125" t="n">
        <v>0</v>
      </c>
      <c r="N125" t="n">
        <v>0</v>
      </c>
      <c r="O125" t="n">
        <v>0</v>
      </c>
      <c r="P125" t="n">
        <v>0</v>
      </c>
      <c r="Q125" t="n">
        <v>1</v>
      </c>
      <c r="R125" t="n">
        <v>0</v>
      </c>
      <c r="S125" t="n">
        <v>5</v>
      </c>
      <c r="T125" t="n">
        <v>5</v>
      </c>
      <c r="U125" t="n">
        <v>1</v>
      </c>
      <c r="V125" s="2" t="inlineStr">
        <is>
          <t>Desmeknopp
Kragjordstjärna
Scharlakansskål
Stor häxört
Svartvit flugsnappare</t>
        </is>
      </c>
      <c r="W125">
        <f>HYPERLINK("https://klasma.github.io/Logging_1263/artfynd/A 27244-2024 artfynd.xlsx", "A 27244-2024")</f>
        <v/>
      </c>
      <c r="X125">
        <f>HYPERLINK("https://klasma.github.io/Logging_1263/kartor/A 27244-2024 karta.png", "A 27244-2024")</f>
        <v/>
      </c>
      <c r="Y125">
        <f>HYPERLINK("https://klasma.github.io/Logging_1263/kartor_geotiff/A 27244-2024 georefererad karta.tif", "A 27244-2024")</f>
        <v/>
      </c>
      <c r="AA125">
        <f>HYPERLINK("https://klasma.github.io/Logging_1263/klagomål/A 27244-2024 FSC-klagomål.docx", "A 27244-2024")</f>
        <v/>
      </c>
      <c r="AB125">
        <f>HYPERLINK("https://klasma.github.io/Logging_1263/klagomålsmail/A 27244-2024 FSC-klagomål mail.docx", "A 27244-2024")</f>
        <v/>
      </c>
      <c r="AC125">
        <f>HYPERLINK("https://klasma.github.io/Logging_1263/tillsyn/A 27244-2024 tillsynsbegäran.docx", "A 27244-2024")</f>
        <v/>
      </c>
      <c r="AD125">
        <f>HYPERLINK("https://klasma.github.io/Logging_1263/tillsynsmail/A 27244-2024 tillsynsbegäran mail.docx", "A 27244-2024")</f>
        <v/>
      </c>
    </row>
    <row r="126" ht="15" customHeight="1">
      <c r="A126" t="inlineStr">
        <is>
          <t>A 16520-2026</t>
        </is>
      </c>
      <c r="B126" t="inlineStr">
        <is>
          <t>avverkningsanmälan</t>
        </is>
      </c>
      <c r="C126" t="inlineStr">
        <is>
          <t>Avverkning för annat ändamål</t>
        </is>
      </c>
      <c r="D126" s="1" t="n">
        <v>46112</v>
      </c>
      <c r="E126" s="1" t="n">
        <v>46312</v>
      </c>
      <c r="F126" t="inlineStr">
        <is>
          <t>SKÅNE LÄN</t>
        </is>
      </c>
      <c r="G126" t="inlineStr">
        <is>
          <t>HÖRBY</t>
        </is>
      </c>
      <c r="I126" t="n">
        <v>2.3</v>
      </c>
      <c r="J126" t="n">
        <v>2</v>
      </c>
      <c r="K126" t="n">
        <v>0</v>
      </c>
      <c r="L126" t="n">
        <v>2</v>
      </c>
      <c r="M126" t="n">
        <v>1</v>
      </c>
      <c r="N126" t="n">
        <v>0</v>
      </c>
      <c r="O126" t="n">
        <v>0</v>
      </c>
      <c r="P126" t="n">
        <v>0</v>
      </c>
      <c r="Q126" t="n">
        <v>3</v>
      </c>
      <c r="R126" t="n">
        <v>1</v>
      </c>
      <c r="S126" t="n">
        <v>5</v>
      </c>
      <c r="T126" t="n">
        <v>6</v>
      </c>
      <c r="U126" t="n">
        <v>0</v>
      </c>
      <c r="V126" s="2" t="inlineStr">
        <is>
          <t>Slåttergubbe
Sydlig sotticka
Älg
Fiskgjuse
Större brunfladdermus</t>
        </is>
      </c>
      <c r="W126">
        <f>HYPERLINK("https://klasma.github.io/Logging_1266/artfynd/A 16520-2026 artfynd.xlsx", "A 16520-2026")</f>
        <v/>
      </c>
      <c r="X126">
        <f>HYPERLINK("https://klasma.github.io/Logging_1266/kartor/A 16520-2026 karta.png", "A 16520-2026")</f>
        <v/>
      </c>
      <c r="Y126">
        <f>HYPERLINK("https://klasma.github.io/Logging_1266/kartor_geotiff/A 16520-2026 georefererad karta.tif", "A 16520-2026")</f>
        <v/>
      </c>
      <c r="AA126">
        <f>HYPERLINK("https://klasma.github.io/Logging_1266/klagomål/A 16520-2026 FSC-klagomål.docx", "A 16520-2026")</f>
        <v/>
      </c>
      <c r="AB126">
        <f>HYPERLINK("https://klasma.github.io/Logging_1266/klagomålsmail/A 16520-2026 FSC-klagomål mail.docx", "A 16520-2026")</f>
        <v/>
      </c>
      <c r="AC126">
        <f>HYPERLINK("https://klasma.github.io/Logging_1266/tillsyn/A 16520-2026 tillsynsbegäran.docx", "A 16520-2026")</f>
        <v/>
      </c>
      <c r="AD126">
        <f>HYPERLINK("https://klasma.github.io/Logging_1266/tillsynsmail/A 16520-2026 tillsynsbegäran mail.docx", "A 16520-2026")</f>
        <v/>
      </c>
      <c r="AE126">
        <f>HYPERLINK("https://klasma.github.io/Logging_1266/fåglar/A 16520-2026 prioriterade fågelarter.docx", "A 16520-2026")</f>
        <v/>
      </c>
    </row>
    <row r="127" ht="15" customHeight="1">
      <c r="A127" t="inlineStr">
        <is>
          <t>A 4059-2023</t>
        </is>
      </c>
      <c r="B127" t="inlineStr">
        <is>
          <t>avverkningsanmälan</t>
        </is>
      </c>
      <c r="C127" t="inlineStr">
        <is>
          <t>Föryngringsavverkning</t>
        </is>
      </c>
      <c r="D127" s="1" t="n">
        <v>44952</v>
      </c>
      <c r="E127" s="1" t="n">
        <v>46312</v>
      </c>
      <c r="F127" t="inlineStr">
        <is>
          <t>SKÅNE LÄN</t>
        </is>
      </c>
      <c r="G127" t="inlineStr">
        <is>
          <t>HÄSSLEHOLM</t>
        </is>
      </c>
      <c r="I127" t="n">
        <v>2.9</v>
      </c>
      <c r="J127" t="n">
        <v>5</v>
      </c>
      <c r="K127" t="n">
        <v>0</v>
      </c>
      <c r="L127" t="n">
        <v>0</v>
      </c>
      <c r="M127" t="n">
        <v>0</v>
      </c>
      <c r="N127" t="n">
        <v>0</v>
      </c>
      <c r="O127" t="n">
        <v>0</v>
      </c>
      <c r="P127" t="n">
        <v>0</v>
      </c>
      <c r="Q127" t="n">
        <v>0</v>
      </c>
      <c r="R127" t="n">
        <v>0</v>
      </c>
      <c r="S127" t="n">
        <v>5</v>
      </c>
      <c r="T127" t="n">
        <v>5</v>
      </c>
      <c r="U127" t="n">
        <v>1</v>
      </c>
      <c r="V127" s="2" t="inlineStr">
        <is>
          <t>Dvärgpipistrell
Gråskimlig fladdermus
Större brunfladdermus
Trollpipistrell
Vattenfladdermus</t>
        </is>
      </c>
      <c r="W127">
        <f>HYPERLINK("https://klasma.github.io/Logging_1293/artfynd/A 4059-2023 artfynd.xlsx", "A 4059-2023")</f>
        <v/>
      </c>
      <c r="X127">
        <f>HYPERLINK("https://klasma.github.io/Logging_1293/kartor/A 4059-2023 karta.png", "A 4059-2023")</f>
        <v/>
      </c>
      <c r="Y127">
        <f>HYPERLINK("https://klasma.github.io/Logging_1293/kartor_geotiff/A 4059-2023 georefererad karta.tif", "A 4059-2023")</f>
        <v/>
      </c>
      <c r="AA127">
        <f>HYPERLINK("https://klasma.github.io/Logging_1293/klagomål/A 4059-2023 FSC-klagomål.docx", "A 4059-2023")</f>
        <v/>
      </c>
      <c r="AB127">
        <f>HYPERLINK("https://klasma.github.io/Logging_1293/klagomålsmail/A 4059-2023 FSC-klagomål mail.docx", "A 4059-2023")</f>
        <v/>
      </c>
      <c r="AC127">
        <f>HYPERLINK("https://klasma.github.io/Logging_1293/tillsyn/A 4059-2023 tillsynsbegäran.docx", "A 4059-2023")</f>
        <v/>
      </c>
      <c r="AD127">
        <f>HYPERLINK("https://klasma.github.io/Logging_1293/tillsynsmail/A 4059-2023 tillsynsbegäran mail.docx", "A 4059-2023")</f>
        <v/>
      </c>
    </row>
    <row r="128" ht="15" customHeight="1">
      <c r="A128" t="inlineStr">
        <is>
          <t>A 39855-2022</t>
        </is>
      </c>
      <c r="B128" t="inlineStr">
        <is>
          <t>avverkningsanmälan</t>
        </is>
      </c>
      <c r="C128" t="inlineStr">
        <is>
          <t>Föryngringsavverkning</t>
        </is>
      </c>
      <c r="D128" s="1" t="n">
        <v>44819</v>
      </c>
      <c r="E128" s="1" t="n">
        <v>46312</v>
      </c>
      <c r="F128" t="inlineStr">
        <is>
          <t>SKÅNE LÄN</t>
        </is>
      </c>
      <c r="G128" t="inlineStr">
        <is>
          <t>HÖRBY</t>
        </is>
      </c>
      <c r="I128" t="n">
        <v>4.2</v>
      </c>
      <c r="J128" t="n">
        <v>4</v>
      </c>
      <c r="K128" t="n">
        <v>1</v>
      </c>
      <c r="L128" t="n">
        <v>0</v>
      </c>
      <c r="M128" t="n">
        <v>0</v>
      </c>
      <c r="N128" t="n">
        <v>1</v>
      </c>
      <c r="O128" t="n">
        <v>0</v>
      </c>
      <c r="P128" t="n">
        <v>0</v>
      </c>
      <c r="Q128" t="n">
        <v>1</v>
      </c>
      <c r="R128" t="n">
        <v>1</v>
      </c>
      <c r="S128" t="n">
        <v>5</v>
      </c>
      <c r="T128" t="n">
        <v>5</v>
      </c>
      <c r="U128" t="n">
        <v>1</v>
      </c>
      <c r="V128" s="2" t="inlineStr">
        <is>
          <t>Ask
Skogsknipprot
Blåsippa
Fläcknycklar
Grönvit nattviol</t>
        </is>
      </c>
      <c r="W128">
        <f>HYPERLINK("https://klasma.github.io/Logging_1266/artfynd/A 39855-2022 artfynd.xlsx", "A 39855-2022")</f>
        <v/>
      </c>
      <c r="X128">
        <f>HYPERLINK("https://klasma.github.io/Logging_1266/kartor/A 39855-2022 karta.png", "A 39855-2022")</f>
        <v/>
      </c>
      <c r="Y128">
        <f>HYPERLINK("https://klasma.github.io/Logging_1266/kartor_geotiff/A 39855-2022 georefererad karta.tif", "A 39855-2022")</f>
        <v/>
      </c>
      <c r="AA128">
        <f>HYPERLINK("https://klasma.github.io/Logging_1266/klagomål/A 39855-2022 FSC-klagomål.docx", "A 39855-2022")</f>
        <v/>
      </c>
      <c r="AB128">
        <f>HYPERLINK("https://klasma.github.io/Logging_1266/klagomålsmail/A 39855-2022 FSC-klagomål mail.docx", "A 39855-2022")</f>
        <v/>
      </c>
      <c r="AC128">
        <f>HYPERLINK("https://klasma.github.io/Logging_1266/tillsyn/A 39855-2022 tillsynsbegäran.docx", "A 39855-2022")</f>
        <v/>
      </c>
      <c r="AD128">
        <f>HYPERLINK("https://klasma.github.io/Logging_1266/tillsynsmail/A 39855-2022 tillsynsbegäran mail.docx", "A 39855-2022")</f>
        <v/>
      </c>
    </row>
    <row r="129" ht="15" customHeight="1">
      <c r="A129" t="inlineStr">
        <is>
          <t>A 4598-2025</t>
        </is>
      </c>
      <c r="B129" t="inlineStr">
        <is>
          <t>avverkningsanmälan</t>
        </is>
      </c>
      <c r="C129" t="inlineStr">
        <is>
          <t>Föryngringsavverkning</t>
        </is>
      </c>
      <c r="D129" s="1" t="n">
        <v>45687</v>
      </c>
      <c r="E129" s="1" t="n">
        <v>46312</v>
      </c>
      <c r="F129" t="inlineStr">
        <is>
          <t>SKÅNE LÄN</t>
        </is>
      </c>
      <c r="G129" t="inlineStr">
        <is>
          <t>HÄSSLEHOLM</t>
        </is>
      </c>
      <c r="I129" t="n">
        <v>3.3</v>
      </c>
      <c r="J129" t="n">
        <v>5</v>
      </c>
      <c r="K129" t="n">
        <v>0</v>
      </c>
      <c r="L129" t="n">
        <v>1</v>
      </c>
      <c r="M129" t="n">
        <v>0</v>
      </c>
      <c r="N129" t="n">
        <v>0</v>
      </c>
      <c r="O129" t="n">
        <v>0</v>
      </c>
      <c r="P129" t="n">
        <v>0</v>
      </c>
      <c r="Q129" t="n">
        <v>1</v>
      </c>
      <c r="R129" t="n">
        <v>0</v>
      </c>
      <c r="S129" t="n">
        <v>5</v>
      </c>
      <c r="T129" t="n">
        <v>11</v>
      </c>
      <c r="U129" t="n">
        <v>11</v>
      </c>
      <c r="V129" s="2" t="inlineStr">
        <is>
          <t>Entita
Spillkråka
Tofsmes
Grönsiska
Kungsfågel</t>
        </is>
      </c>
      <c r="W129">
        <f>HYPERLINK("https://klasma.github.io/Logging_1293/artfynd/A 4598-2025 artfynd.xlsx", "A 4598-2025")</f>
        <v/>
      </c>
      <c r="X129">
        <f>HYPERLINK("https://klasma.github.io/Logging_1293/kartor/A 4598-2025 karta.png", "A 4598-2025")</f>
        <v/>
      </c>
      <c r="Y129">
        <f>HYPERLINK("https://klasma.github.io/Logging_1293/kartor_geotiff/A 4598-2025 georefererad karta.tif", "A 4598-2025")</f>
        <v/>
      </c>
      <c r="AA129">
        <f>HYPERLINK("https://klasma.github.io/Logging_1293/klagomål/A 4598-2025 FSC-klagomål.docx", "A 4598-2025")</f>
        <v/>
      </c>
      <c r="AB129">
        <f>HYPERLINK("https://klasma.github.io/Logging_1293/klagomålsmail/A 4598-2025 FSC-klagomål mail.docx", "A 4598-2025")</f>
        <v/>
      </c>
      <c r="AC129">
        <f>HYPERLINK("https://klasma.github.io/Logging_1293/tillsyn/A 4598-2025 tillsynsbegäran.docx", "A 4598-2025")</f>
        <v/>
      </c>
      <c r="AD129">
        <f>HYPERLINK("https://klasma.github.io/Logging_1293/tillsynsmail/A 4598-2025 tillsynsbegäran mail.docx", "A 4598-2025")</f>
        <v/>
      </c>
      <c r="AE129">
        <f>HYPERLINK("https://klasma.github.io/Logging_1293/fåglar/A 4598-2025 prioriterade fågelarter.docx", "A 4598-2025")</f>
        <v/>
      </c>
    </row>
    <row r="130" ht="15" customHeight="1">
      <c r="A130" t="inlineStr">
        <is>
          <t>A 4615-2025</t>
        </is>
      </c>
      <c r="B130" t="inlineStr">
        <is>
          <t>avverkningsanmälan</t>
        </is>
      </c>
      <c r="C130" t="inlineStr">
        <is>
          <t>Föryngringsavverkning</t>
        </is>
      </c>
      <c r="D130" s="1" t="n">
        <v>45687</v>
      </c>
      <c r="E130" s="1" t="n">
        <v>46312</v>
      </c>
      <c r="F130" t="inlineStr">
        <is>
          <t>SKÅNE LÄN</t>
        </is>
      </c>
      <c r="G130" t="inlineStr">
        <is>
          <t>HÄSSLEHOLM</t>
        </is>
      </c>
      <c r="I130" t="n">
        <v>1.7</v>
      </c>
      <c r="J130" t="n">
        <v>5</v>
      </c>
      <c r="K130" t="n">
        <v>0</v>
      </c>
      <c r="L130" t="n">
        <v>2</v>
      </c>
      <c r="M130" t="n">
        <v>0</v>
      </c>
      <c r="N130" t="n">
        <v>0</v>
      </c>
      <c r="O130" t="n">
        <v>0</v>
      </c>
      <c r="P130" t="n">
        <v>0</v>
      </c>
      <c r="Q130" t="n">
        <v>2</v>
      </c>
      <c r="R130" t="n">
        <v>0</v>
      </c>
      <c r="S130" t="n">
        <v>5</v>
      </c>
      <c r="T130" t="n">
        <v>10</v>
      </c>
      <c r="U130" t="n">
        <v>10</v>
      </c>
      <c r="V130" s="2" t="inlineStr">
        <is>
          <t>Entita
Talltita
Tjäder
Grönsiska
Kungsfågel</t>
        </is>
      </c>
      <c r="W130">
        <f>HYPERLINK("https://klasma.github.io/Logging_1293/artfynd/A 4615-2025 artfynd.xlsx", "A 4615-2025")</f>
        <v/>
      </c>
      <c r="X130">
        <f>HYPERLINK("https://klasma.github.io/Logging_1293/kartor/A 4615-2025 karta.png", "A 4615-2025")</f>
        <v/>
      </c>
      <c r="Y130">
        <f>HYPERLINK("https://klasma.github.io/Logging_1293/kartor_geotiff/A 4615-2025 georefererad karta.tif", "A 4615-2025")</f>
        <v/>
      </c>
      <c r="AA130">
        <f>HYPERLINK("https://klasma.github.io/Logging_1293/klagomål/A 4615-2025 FSC-klagomål.docx", "A 4615-2025")</f>
        <v/>
      </c>
      <c r="AB130">
        <f>HYPERLINK("https://klasma.github.io/Logging_1293/klagomålsmail/A 4615-2025 FSC-klagomål mail.docx", "A 4615-2025")</f>
        <v/>
      </c>
      <c r="AC130">
        <f>HYPERLINK("https://klasma.github.io/Logging_1293/tillsyn/A 4615-2025 tillsynsbegäran.docx", "A 4615-2025")</f>
        <v/>
      </c>
      <c r="AD130">
        <f>HYPERLINK("https://klasma.github.io/Logging_1293/tillsynsmail/A 4615-2025 tillsynsbegäran mail.docx", "A 4615-2025")</f>
        <v/>
      </c>
      <c r="AE130">
        <f>HYPERLINK("https://klasma.github.io/Logging_1293/fåglar/A 4615-2025 prioriterade fågelarter.docx", "A 4615-2025")</f>
        <v/>
      </c>
    </row>
    <row r="131" ht="15" customHeight="1">
      <c r="A131" t="inlineStr">
        <is>
          <t>A 19312-2026</t>
        </is>
      </c>
      <c r="B131" t="inlineStr">
        <is>
          <t>avverkningsanmälan</t>
        </is>
      </c>
      <c r="C131" t="inlineStr">
        <is>
          <t>Föryngringsavverkning</t>
        </is>
      </c>
      <c r="D131" s="1" t="n">
        <v>46133</v>
      </c>
      <c r="E131" s="1" t="n">
        <v>46312</v>
      </c>
      <c r="F131" t="inlineStr">
        <is>
          <t>SKÅNE LÄN</t>
        </is>
      </c>
      <c r="G131" t="inlineStr">
        <is>
          <t>KRISTIANSTAD</t>
        </is>
      </c>
      <c r="I131" t="n">
        <v>3.9</v>
      </c>
      <c r="J131" t="n">
        <v>1</v>
      </c>
      <c r="K131" t="n">
        <v>1</v>
      </c>
      <c r="L131" t="n">
        <v>0</v>
      </c>
      <c r="M131" t="n">
        <v>0</v>
      </c>
      <c r="N131" t="n">
        <v>0</v>
      </c>
      <c r="O131" t="n">
        <v>0</v>
      </c>
      <c r="P131" t="n">
        <v>0</v>
      </c>
      <c r="Q131" t="n">
        <v>0</v>
      </c>
      <c r="R131" t="n">
        <v>0</v>
      </c>
      <c r="S131" t="n">
        <v>5</v>
      </c>
      <c r="T131" t="n">
        <v>5</v>
      </c>
      <c r="U131" t="n">
        <v>4</v>
      </c>
      <c r="V131" s="2" t="inlineStr">
        <is>
          <t>Rostfläck
Glansfläck
Skriftlav
Vitsippa
Havsörn</t>
        </is>
      </c>
      <c r="W131">
        <f>HYPERLINK("https://klasma.github.io/Logging_1290/artfynd/A 19312-2026 artfynd.xlsx", "A 19312-2026")</f>
        <v/>
      </c>
      <c r="X131">
        <f>HYPERLINK("https://klasma.github.io/Logging_1290/kartor/A 19312-2026 karta.png", "A 19312-2026")</f>
        <v/>
      </c>
      <c r="Y131">
        <f>HYPERLINK("https://klasma.github.io/Logging_1290/kartor_geotiff/A 19312-2026 georefererad karta.tif", "A 19312-2026")</f>
        <v/>
      </c>
      <c r="AA131">
        <f>HYPERLINK("https://klasma.github.io/Logging_1290/klagomål/A 19312-2026 FSC-klagomål.docx", "A 19312-2026")</f>
        <v/>
      </c>
      <c r="AB131">
        <f>HYPERLINK("https://klasma.github.io/Logging_1290/klagomålsmail/A 19312-2026 FSC-klagomål mail.docx", "A 19312-2026")</f>
        <v/>
      </c>
      <c r="AC131">
        <f>HYPERLINK("https://klasma.github.io/Logging_1290/tillsyn/A 19312-2026 tillsynsbegäran.docx", "A 19312-2026")</f>
        <v/>
      </c>
      <c r="AD131">
        <f>HYPERLINK("https://klasma.github.io/Logging_1290/tillsynsmail/A 19312-2026 tillsynsbegäran mail.docx", "A 19312-2026")</f>
        <v/>
      </c>
      <c r="AE131">
        <f>HYPERLINK("https://klasma.github.io/Logging_1290/fåglar/A 19312-2026 prioriterade fågelarter.docx", "A 19312-2026")</f>
        <v/>
      </c>
    </row>
    <row r="132" ht="15" customHeight="1">
      <c r="A132" t="inlineStr">
        <is>
          <t>A 24278-2023</t>
        </is>
      </c>
      <c r="B132" t="inlineStr">
        <is>
          <t>avverkningsanmälan</t>
        </is>
      </c>
      <c r="C132" t="inlineStr">
        <is>
          <t>Föryngringsavverkning</t>
        </is>
      </c>
      <c r="D132" s="1" t="n">
        <v>45079</v>
      </c>
      <c r="E132" s="1" t="n">
        <v>46312</v>
      </c>
      <c r="F132" t="inlineStr">
        <is>
          <t>SKÅNE LÄN</t>
        </is>
      </c>
      <c r="G132" t="inlineStr">
        <is>
          <t>HÖÖR</t>
        </is>
      </c>
      <c r="I132" t="n">
        <v>0.8</v>
      </c>
      <c r="J132" t="n">
        <v>5</v>
      </c>
      <c r="K132" t="n">
        <v>0</v>
      </c>
      <c r="L132" t="n">
        <v>2</v>
      </c>
      <c r="M132" t="n">
        <v>0</v>
      </c>
      <c r="N132" t="n">
        <v>0</v>
      </c>
      <c r="O132" t="n">
        <v>0</v>
      </c>
      <c r="P132" t="n">
        <v>0</v>
      </c>
      <c r="Q132" t="n">
        <v>2</v>
      </c>
      <c r="R132" t="n">
        <v>0</v>
      </c>
      <c r="S132" t="n">
        <v>5</v>
      </c>
      <c r="T132" t="n">
        <v>5</v>
      </c>
      <c r="U132" t="n">
        <v>5</v>
      </c>
      <c r="V132" s="2" t="inlineStr">
        <is>
          <t>Björktrast
Rödvingetrast
Spillkråka
Sångsvan
Trana</t>
        </is>
      </c>
      <c r="W132">
        <f>HYPERLINK("https://klasma.github.io/Logging_1267/artfynd/A 24278-2023 artfynd.xlsx", "A 24278-2023")</f>
        <v/>
      </c>
      <c r="X132">
        <f>HYPERLINK("https://klasma.github.io/Logging_1267/kartor/A 24278-2023 karta.png", "A 24278-2023")</f>
        <v/>
      </c>
      <c r="Y132">
        <f>HYPERLINK("https://klasma.github.io/Logging_1267/kartor_geotiff/A 24278-2023 georefererad karta.tif", "A 24278-2023")</f>
        <v/>
      </c>
      <c r="AA132">
        <f>HYPERLINK("https://klasma.github.io/Logging_1267/klagomål/A 24278-2023 FSC-klagomål.docx", "A 24278-2023")</f>
        <v/>
      </c>
      <c r="AB132">
        <f>HYPERLINK("https://klasma.github.io/Logging_1267/klagomålsmail/A 24278-2023 FSC-klagomål mail.docx", "A 24278-2023")</f>
        <v/>
      </c>
      <c r="AC132">
        <f>HYPERLINK("https://klasma.github.io/Logging_1267/tillsyn/A 24278-2023 tillsynsbegäran.docx", "A 24278-2023")</f>
        <v/>
      </c>
      <c r="AD132">
        <f>HYPERLINK("https://klasma.github.io/Logging_1267/tillsynsmail/A 24278-2023 tillsynsbegäran mail.docx", "A 24278-2023")</f>
        <v/>
      </c>
      <c r="AE132">
        <f>HYPERLINK("https://klasma.github.io/Logging_1267/fåglar/A 24278-2023 prioriterade fågelarter.docx", "A 24278-2023")</f>
        <v/>
      </c>
    </row>
    <row r="133" ht="15" customHeight="1">
      <c r="A133" t="inlineStr">
        <is>
          <t>A 31351-2022</t>
        </is>
      </c>
      <c r="B133" t="inlineStr">
        <is>
          <t>avverkningsanmälan</t>
        </is>
      </c>
      <c r="C133" t="inlineStr">
        <is>
          <t>Föryngringsavverkning</t>
        </is>
      </c>
      <c r="D133" s="1" t="n">
        <v>44774</v>
      </c>
      <c r="E133" s="1" t="n">
        <v>46312</v>
      </c>
      <c r="F133" t="inlineStr">
        <is>
          <t>SKÅNE LÄN</t>
        </is>
      </c>
      <c r="G133" t="inlineStr">
        <is>
          <t>HÖRBY</t>
        </is>
      </c>
      <c r="I133" t="n">
        <v>13.2</v>
      </c>
      <c r="J133" t="n">
        <v>5</v>
      </c>
      <c r="K133" t="n">
        <v>0</v>
      </c>
      <c r="L133" t="n">
        <v>3</v>
      </c>
      <c r="M133" t="n">
        <v>0</v>
      </c>
      <c r="N133" t="n">
        <v>0</v>
      </c>
      <c r="O133" t="n">
        <v>0</v>
      </c>
      <c r="P133" t="n">
        <v>0</v>
      </c>
      <c r="Q133" t="n">
        <v>3</v>
      </c>
      <c r="R133" t="n">
        <v>0</v>
      </c>
      <c r="S133" t="n">
        <v>5</v>
      </c>
      <c r="T133" t="n">
        <v>5</v>
      </c>
      <c r="U133" t="n">
        <v>3</v>
      </c>
      <c r="V133" s="2" t="inlineStr">
        <is>
          <t>Duvhök
Grönsångare
Sädesärla
Fjällvråk
Kungsfågel</t>
        </is>
      </c>
      <c r="W133">
        <f>HYPERLINK("https://klasma.github.io/Logging_1266/artfynd/A 31351-2022 artfynd.xlsx", "A 31351-2022")</f>
        <v/>
      </c>
      <c r="X133">
        <f>HYPERLINK("https://klasma.github.io/Logging_1266/kartor/A 31351-2022 karta.png", "A 31351-2022")</f>
        <v/>
      </c>
      <c r="Y133">
        <f>HYPERLINK("https://klasma.github.io/Logging_1266/kartor_geotiff/A 31351-2022 georefererad karta.tif", "A 31351-2022")</f>
        <v/>
      </c>
      <c r="AA133">
        <f>HYPERLINK("https://klasma.github.io/Logging_1266/klagomål/A 31351-2022 FSC-klagomål.docx", "A 31351-2022")</f>
        <v/>
      </c>
      <c r="AB133">
        <f>HYPERLINK("https://klasma.github.io/Logging_1266/klagomålsmail/A 31351-2022 FSC-klagomål mail.docx", "A 31351-2022")</f>
        <v/>
      </c>
      <c r="AC133">
        <f>HYPERLINK("https://klasma.github.io/Logging_1266/tillsyn/A 31351-2022 tillsynsbegäran.docx", "A 31351-2022")</f>
        <v/>
      </c>
      <c r="AD133">
        <f>HYPERLINK("https://klasma.github.io/Logging_1266/tillsynsmail/A 31351-2022 tillsynsbegäran mail.docx", "A 31351-2022")</f>
        <v/>
      </c>
      <c r="AE133">
        <f>HYPERLINK("https://klasma.github.io/Logging_1266/fåglar/A 31351-2022 prioriterade fågelarter.docx", "A 31351-2022")</f>
        <v/>
      </c>
    </row>
    <row r="134" ht="15" customHeight="1">
      <c r="A134" t="inlineStr">
        <is>
          <t>A 2931-2026</t>
        </is>
      </c>
      <c r="B134" t="inlineStr">
        <is>
          <t>avverkningsanmälan</t>
        </is>
      </c>
      <c r="C134" t="inlineStr">
        <is>
          <t>Föryngringsavverkning</t>
        </is>
      </c>
      <c r="D134" s="1" t="n">
        <v>46038</v>
      </c>
      <c r="E134" s="1" t="n">
        <v>46312</v>
      </c>
      <c r="F134" t="inlineStr">
        <is>
          <t>SKÅNE LÄN</t>
        </is>
      </c>
      <c r="G134" t="inlineStr">
        <is>
          <t>ÄNGELHOLM</t>
        </is>
      </c>
      <c r="I134" t="n">
        <v>3.5</v>
      </c>
      <c r="J134" t="n">
        <v>4</v>
      </c>
      <c r="K134" t="n">
        <v>0</v>
      </c>
      <c r="L134" t="n">
        <v>1</v>
      </c>
      <c r="M134" t="n">
        <v>1</v>
      </c>
      <c r="N134" t="n">
        <v>0</v>
      </c>
      <c r="O134" t="n">
        <v>0</v>
      </c>
      <c r="P134" t="n">
        <v>0</v>
      </c>
      <c r="Q134" t="n">
        <v>2</v>
      </c>
      <c r="R134" t="n">
        <v>1</v>
      </c>
      <c r="S134" t="n">
        <v>5</v>
      </c>
      <c r="T134" t="n">
        <v>6</v>
      </c>
      <c r="U134" t="n">
        <v>5</v>
      </c>
      <c r="V134" s="2" t="inlineStr">
        <is>
          <t>Småvänderot
Entita
Spillkråka
Gröngöling
Grönsiska</t>
        </is>
      </c>
      <c r="W134">
        <f>HYPERLINK("https://klasma.github.io/Logging_1292/artfynd/A 2931-2026 artfynd.xlsx", "A 2931-2026")</f>
        <v/>
      </c>
      <c r="X134">
        <f>HYPERLINK("https://klasma.github.io/Logging_1292/kartor/A 2931-2026 karta.png", "A 2931-2026")</f>
        <v/>
      </c>
      <c r="Y134">
        <f>HYPERLINK("https://klasma.github.io/Logging_1292/kartor_geotiff/A 2931-2026 georefererad karta.tif", "A 2931-2026")</f>
        <v/>
      </c>
      <c r="AA134">
        <f>HYPERLINK("https://klasma.github.io/Logging_1292/klagomål/A 2931-2026 FSC-klagomål.docx", "A 2931-2026")</f>
        <v/>
      </c>
      <c r="AB134">
        <f>HYPERLINK("https://klasma.github.io/Logging_1292/klagomålsmail/A 2931-2026 FSC-klagomål mail.docx", "A 2931-2026")</f>
        <v/>
      </c>
      <c r="AC134">
        <f>HYPERLINK("https://klasma.github.io/Logging_1292/tillsyn/A 2931-2026 tillsynsbegäran.docx", "A 2931-2026")</f>
        <v/>
      </c>
      <c r="AD134">
        <f>HYPERLINK("https://klasma.github.io/Logging_1292/tillsynsmail/A 2931-2026 tillsynsbegäran mail.docx", "A 2931-2026")</f>
        <v/>
      </c>
      <c r="AE134">
        <f>HYPERLINK("https://klasma.github.io/Logging_1292/fåglar/A 2931-2026 prioriterade fågelarter.docx", "A 2931-2026")</f>
        <v/>
      </c>
    </row>
    <row r="135" ht="15" customHeight="1">
      <c r="A135" t="inlineStr">
        <is>
          <t>A 24435-2026</t>
        </is>
      </c>
      <c r="B135" t="inlineStr">
        <is>
          <t>avverkningsanmälan</t>
        </is>
      </c>
      <c r="C135" t="inlineStr">
        <is>
          <t>Föryngringsavverkning</t>
        </is>
      </c>
      <c r="D135" s="1" t="n">
        <v>46168</v>
      </c>
      <c r="E135" s="1" t="n">
        <v>46312</v>
      </c>
      <c r="F135" t="inlineStr">
        <is>
          <t>SKÅNE LÄN</t>
        </is>
      </c>
      <c r="G135" t="inlineStr">
        <is>
          <t>HÄSSLEHOLM</t>
        </is>
      </c>
      <c r="I135" t="n">
        <v>10.6</v>
      </c>
      <c r="J135" t="n">
        <v>0</v>
      </c>
      <c r="K135" t="n">
        <v>1</v>
      </c>
      <c r="L135" t="n">
        <v>0</v>
      </c>
      <c r="M135" t="n">
        <v>0</v>
      </c>
      <c r="N135" t="n">
        <v>0</v>
      </c>
      <c r="O135" t="n">
        <v>0</v>
      </c>
      <c r="P135" t="n">
        <v>0</v>
      </c>
      <c r="Q135" t="n">
        <v>0</v>
      </c>
      <c r="R135" t="n">
        <v>0</v>
      </c>
      <c r="S135" t="n">
        <v>5</v>
      </c>
      <c r="T135" t="n">
        <v>6</v>
      </c>
      <c r="U135" t="n">
        <v>0</v>
      </c>
      <c r="V135" s="2" t="inlineStr">
        <is>
          <t>Rostfläck
Bäckbräsma
Glansfläck
Kärrfibbla
Kärrviol</t>
        </is>
      </c>
      <c r="W135">
        <f>HYPERLINK("https://klasma.github.io/Logging_1293/artfynd/A 24435-2026 artfynd.xlsx", "A 24435-2026")</f>
        <v/>
      </c>
      <c r="X135">
        <f>HYPERLINK("https://klasma.github.io/Logging_1293/kartor/A 24435-2026 karta.png", "A 24435-2026")</f>
        <v/>
      </c>
      <c r="Y135">
        <f>HYPERLINK("https://klasma.github.io/Logging_1293/kartor_geotiff/A 24435-2026 georefererad karta.tif", "A 24435-2026")</f>
        <v/>
      </c>
      <c r="AA135">
        <f>HYPERLINK("https://klasma.github.io/Logging_1293/klagomål/A 24435-2026 FSC-klagomål.docx", "A 24435-2026")</f>
        <v/>
      </c>
      <c r="AB135">
        <f>HYPERLINK("https://klasma.github.io/Logging_1293/klagomålsmail/A 24435-2026 FSC-klagomål mail.docx", "A 24435-2026")</f>
        <v/>
      </c>
      <c r="AC135">
        <f>HYPERLINK("https://klasma.github.io/Logging_1293/tillsyn/A 24435-2026 tillsynsbegäran.docx", "A 24435-2026")</f>
        <v/>
      </c>
      <c r="AD135">
        <f>HYPERLINK("https://klasma.github.io/Logging_1293/tillsynsmail/A 24435-2026 tillsynsbegäran mail.docx", "A 24435-2026")</f>
        <v/>
      </c>
    </row>
    <row r="136" ht="15" customHeight="1">
      <c r="A136" t="inlineStr">
        <is>
          <t>A 15788-2026</t>
        </is>
      </c>
      <c r="B136" t="inlineStr">
        <is>
          <t>avverkningsanmälan</t>
        </is>
      </c>
      <c r="C136" t="inlineStr">
        <is>
          <t>Föryngringsavverkning</t>
        </is>
      </c>
      <c r="D136" s="1" t="n">
        <v>46107</v>
      </c>
      <c r="E136" s="1" t="n">
        <v>46312</v>
      </c>
      <c r="F136" t="inlineStr">
        <is>
          <t>SKÅNE LÄN</t>
        </is>
      </c>
      <c r="G136" t="inlineStr">
        <is>
          <t>KLIPPAN</t>
        </is>
      </c>
      <c r="I136" t="n">
        <v>3.9</v>
      </c>
      <c r="J136" t="n">
        <v>5</v>
      </c>
      <c r="K136" t="n">
        <v>0</v>
      </c>
      <c r="L136" t="n">
        <v>3</v>
      </c>
      <c r="M136" t="n">
        <v>0</v>
      </c>
      <c r="N136" t="n">
        <v>0</v>
      </c>
      <c r="O136" t="n">
        <v>0</v>
      </c>
      <c r="P136" t="n">
        <v>0</v>
      </c>
      <c r="Q136" t="n">
        <v>3</v>
      </c>
      <c r="R136" t="n">
        <v>0</v>
      </c>
      <c r="S136" t="n">
        <v>5</v>
      </c>
      <c r="T136" t="n">
        <v>5</v>
      </c>
      <c r="U136" t="n">
        <v>5</v>
      </c>
      <c r="V136" s="2" t="inlineStr">
        <is>
          <t>Entita
Gulsparv
Rödvingetrast
Spillkråka
Skogsduva</t>
        </is>
      </c>
      <c r="W136">
        <f>HYPERLINK("https://klasma.github.io/Logging_1276/artfynd/A 15788-2026 artfynd.xlsx", "A 15788-2026")</f>
        <v/>
      </c>
      <c r="X136">
        <f>HYPERLINK("https://klasma.github.io/Logging_1276/kartor/A 15788-2026 karta.png", "A 15788-2026")</f>
        <v/>
      </c>
      <c r="Y136">
        <f>HYPERLINK("https://klasma.github.io/Logging_1276/kartor_geotiff/A 15788-2026 georefererad karta.tif", "A 15788-2026")</f>
        <v/>
      </c>
      <c r="AA136">
        <f>HYPERLINK("https://klasma.github.io/Logging_1276/klagomål/A 15788-2026 FSC-klagomål.docx", "A 15788-2026")</f>
        <v/>
      </c>
      <c r="AB136">
        <f>HYPERLINK("https://klasma.github.io/Logging_1276/klagomålsmail/A 15788-2026 FSC-klagomål mail.docx", "A 15788-2026")</f>
        <v/>
      </c>
      <c r="AC136">
        <f>HYPERLINK("https://klasma.github.io/Logging_1276/tillsyn/A 15788-2026 tillsynsbegäran.docx", "A 15788-2026")</f>
        <v/>
      </c>
      <c r="AD136">
        <f>HYPERLINK("https://klasma.github.io/Logging_1276/tillsynsmail/A 15788-2026 tillsynsbegäran mail.docx", "A 15788-2026")</f>
        <v/>
      </c>
      <c r="AE136">
        <f>HYPERLINK("https://klasma.github.io/Logging_1276/fåglar/A 15788-2026 prioriterade fågelarter.docx", "A 15788-2026")</f>
        <v/>
      </c>
    </row>
    <row r="137" ht="15" customHeight="1">
      <c r="A137" t="inlineStr">
        <is>
          <t>A 42692-2022</t>
        </is>
      </c>
      <c r="B137" t="inlineStr">
        <is>
          <t>avverkningsanmälan</t>
        </is>
      </c>
      <c r="C137" t="inlineStr">
        <is>
          <t>Avverkning för annat ändamål</t>
        </is>
      </c>
      <c r="D137" s="1" t="n">
        <v>44832</v>
      </c>
      <c r="E137" s="1" t="n">
        <v>46312</v>
      </c>
      <c r="F137" t="inlineStr">
        <is>
          <t>SKÅNE LÄN</t>
        </is>
      </c>
      <c r="G137" t="inlineStr">
        <is>
          <t>HÖÖR</t>
        </is>
      </c>
      <c r="I137" t="n">
        <v>5.8</v>
      </c>
      <c r="J137" t="n">
        <v>1</v>
      </c>
      <c r="K137" t="n">
        <v>0</v>
      </c>
      <c r="L137" t="n">
        <v>2</v>
      </c>
      <c r="M137" t="n">
        <v>1</v>
      </c>
      <c r="N137" t="n">
        <v>0</v>
      </c>
      <c r="O137" t="n">
        <v>0</v>
      </c>
      <c r="P137" t="n">
        <v>0</v>
      </c>
      <c r="Q137" t="n">
        <v>3</v>
      </c>
      <c r="R137" t="n">
        <v>1</v>
      </c>
      <c r="S137" t="n">
        <v>5</v>
      </c>
      <c r="T137" t="n">
        <v>5</v>
      </c>
      <c r="U137" t="n">
        <v>4</v>
      </c>
      <c r="V137" s="2" t="inlineStr">
        <is>
          <t>Brunfläckig pärlemorfjäril
Loppstarr
Ängsstarr
Bandpraktmossa
Sankt pers nycklar</t>
        </is>
      </c>
      <c r="W137">
        <f>HYPERLINK("https://klasma.github.io/Logging_1267/artfynd/A 42692-2022 artfynd.xlsx", "A 42692-2022")</f>
        <v/>
      </c>
      <c r="X137">
        <f>HYPERLINK("https://klasma.github.io/Logging_1267/kartor/A 42692-2022 karta.png", "A 42692-2022")</f>
        <v/>
      </c>
      <c r="Y137">
        <f>HYPERLINK("https://klasma.github.io/Logging_1267/kartor_geotiff/A 42692-2022 georefererad karta.tif", "A 42692-2022")</f>
        <v/>
      </c>
      <c r="AA137">
        <f>HYPERLINK("https://klasma.github.io/Logging_1267/klagomål/A 42692-2022 FSC-klagomål.docx", "A 42692-2022")</f>
        <v/>
      </c>
      <c r="AB137">
        <f>HYPERLINK("https://klasma.github.io/Logging_1267/klagomålsmail/A 42692-2022 FSC-klagomål mail.docx", "A 42692-2022")</f>
        <v/>
      </c>
      <c r="AC137">
        <f>HYPERLINK("https://klasma.github.io/Logging_1267/tillsyn/A 42692-2022 tillsynsbegäran.docx", "A 42692-2022")</f>
        <v/>
      </c>
      <c r="AD137">
        <f>HYPERLINK("https://klasma.github.io/Logging_1267/tillsynsmail/A 42692-2022 tillsynsbegäran mail.docx", "A 42692-2022")</f>
        <v/>
      </c>
    </row>
    <row r="138" ht="15" customHeight="1">
      <c r="A138" t="inlineStr">
        <is>
          <t>A 37092-2026</t>
        </is>
      </c>
      <c r="B138" t="inlineStr">
        <is>
          <t>avverkningsanmälan</t>
        </is>
      </c>
      <c r="C138" t="inlineStr">
        <is>
          <t>Föryngringsavverkning</t>
        </is>
      </c>
      <c r="D138" s="1" t="n">
        <v>46273</v>
      </c>
      <c r="E138" s="1" t="n">
        <v>46312</v>
      </c>
      <c r="F138" t="inlineStr">
        <is>
          <t>SKÅNE LÄN</t>
        </is>
      </c>
      <c r="G138" t="inlineStr">
        <is>
          <t>KLIPPAN</t>
        </is>
      </c>
      <c r="I138" t="n">
        <v>14.4</v>
      </c>
      <c r="J138" t="n">
        <v>1</v>
      </c>
      <c r="K138" t="n">
        <v>1</v>
      </c>
      <c r="L138" t="n">
        <v>3</v>
      </c>
      <c r="M138" t="n">
        <v>1</v>
      </c>
      <c r="N138" t="n">
        <v>0</v>
      </c>
      <c r="O138" t="n">
        <v>0</v>
      </c>
      <c r="P138" t="n">
        <v>0</v>
      </c>
      <c r="Q138" t="n">
        <v>4</v>
      </c>
      <c r="R138" t="n">
        <v>1</v>
      </c>
      <c r="S138" t="n">
        <v>5</v>
      </c>
      <c r="T138" t="n">
        <v>6</v>
      </c>
      <c r="U138" t="n">
        <v>6</v>
      </c>
      <c r="V138" s="2" t="inlineStr">
        <is>
          <t>Vedlavklubba
Entita
Stor sotdyna
Sydlig sotticka
Gulnål</t>
        </is>
      </c>
      <c r="W138">
        <f>HYPERLINK("https://klasma.github.io/Logging_1276/artfynd/A 37092-2026 artfynd.xlsx", "A 37092-2026")</f>
        <v/>
      </c>
      <c r="X138">
        <f>HYPERLINK("https://klasma.github.io/Logging_1276/kartor/A 37092-2026 karta.png", "A 37092-2026")</f>
        <v/>
      </c>
      <c r="Y138">
        <f>HYPERLINK("https://klasma.github.io/Logging_1276/kartor_geotiff/A 37092-2026 georefererad karta.tif", "A 37092-2026")</f>
        <v/>
      </c>
      <c r="AA138">
        <f>HYPERLINK("https://klasma.github.io/Logging_1276/klagomål/A 37092-2026 FSC-klagomål.docx", "A 37092-2026")</f>
        <v/>
      </c>
      <c r="AB138">
        <f>HYPERLINK("https://klasma.github.io/Logging_1276/klagomålsmail/A 37092-2026 FSC-klagomål mail.docx", "A 37092-2026")</f>
        <v/>
      </c>
      <c r="AC138">
        <f>HYPERLINK("https://klasma.github.io/Logging_1276/tillsyn/A 37092-2026 tillsynsbegäran.docx", "A 37092-2026")</f>
        <v/>
      </c>
      <c r="AD138">
        <f>HYPERLINK("https://klasma.github.io/Logging_1276/tillsynsmail/A 37092-2026 tillsynsbegäran mail.docx", "A 37092-2026")</f>
        <v/>
      </c>
      <c r="AE138">
        <f>HYPERLINK("https://klasma.github.io/Logging_1276/fåglar/A 37092-2026 prioriterade fågelarter.docx", "A 37092-2026")</f>
        <v/>
      </c>
    </row>
    <row r="139" ht="15" customHeight="1">
      <c r="A139" t="inlineStr">
        <is>
          <t>A 20194-2024</t>
        </is>
      </c>
      <c r="B139" t="inlineStr">
        <is>
          <t>avverkningsanmälan</t>
        </is>
      </c>
      <c r="C139" t="inlineStr">
        <is>
          <t>Föryngringsavverkning</t>
        </is>
      </c>
      <c r="D139" s="1" t="n">
        <v>45434</v>
      </c>
      <c r="E139" s="1" t="n">
        <v>46312</v>
      </c>
      <c r="F139" t="inlineStr">
        <is>
          <t>SKÅNE LÄN</t>
        </is>
      </c>
      <c r="G139" t="inlineStr">
        <is>
          <t>HÖRBY</t>
        </is>
      </c>
      <c r="I139" t="n">
        <v>4.4</v>
      </c>
      <c r="J139" t="n">
        <v>0</v>
      </c>
      <c r="K139" t="n">
        <v>2</v>
      </c>
      <c r="L139" t="n">
        <v>0</v>
      </c>
      <c r="M139" t="n">
        <v>0</v>
      </c>
      <c r="N139" t="n">
        <v>2</v>
      </c>
      <c r="O139" t="n">
        <v>1</v>
      </c>
      <c r="P139" t="n">
        <v>0</v>
      </c>
      <c r="Q139" t="n">
        <v>3</v>
      </c>
      <c r="R139" t="n">
        <v>3</v>
      </c>
      <c r="S139" t="n">
        <v>5</v>
      </c>
      <c r="T139" t="n">
        <v>5</v>
      </c>
      <c r="U139" t="n">
        <v>0</v>
      </c>
      <c r="V139" s="2" t="inlineStr">
        <is>
          <t>Naverlönn
Ask
Skogsalm
Scharlakansskål
Stor häxört</t>
        </is>
      </c>
      <c r="W139">
        <f>HYPERLINK("https://klasma.github.io/Logging_1266/artfynd/A 20194-2024 artfynd.xlsx", "A 20194-2024")</f>
        <v/>
      </c>
      <c r="X139">
        <f>HYPERLINK("https://klasma.github.io/Logging_1266/kartor/A 20194-2024 karta.png", "A 20194-2024")</f>
        <v/>
      </c>
      <c r="Y139">
        <f>HYPERLINK("https://klasma.github.io/Logging_1266/kartor_geotiff/A 20194-2024 georefererad karta.tif", "A 20194-2024")</f>
        <v/>
      </c>
      <c r="AA139">
        <f>HYPERLINK("https://klasma.github.io/Logging_1266/klagomål/A 20194-2024 FSC-klagomål.docx", "A 20194-2024")</f>
        <v/>
      </c>
      <c r="AB139">
        <f>HYPERLINK("https://klasma.github.io/Logging_1266/klagomålsmail/A 20194-2024 FSC-klagomål mail.docx", "A 20194-2024")</f>
        <v/>
      </c>
      <c r="AC139">
        <f>HYPERLINK("https://klasma.github.io/Logging_1266/tillsyn/A 20194-2024 tillsynsbegäran.docx", "A 20194-2024")</f>
        <v/>
      </c>
      <c r="AD139">
        <f>HYPERLINK("https://klasma.github.io/Logging_1266/tillsynsmail/A 20194-2024 tillsynsbegäran mail.docx", "A 20194-2024")</f>
        <v/>
      </c>
    </row>
    <row r="140" ht="15" customHeight="1">
      <c r="A140" t="inlineStr">
        <is>
          <t>A 25049-2026</t>
        </is>
      </c>
      <c r="B140" t="inlineStr">
        <is>
          <t>avverkningsanmälan</t>
        </is>
      </c>
      <c r="C140" t="inlineStr">
        <is>
          <t>Föryngringsavverkning</t>
        </is>
      </c>
      <c r="D140" s="1" t="n">
        <v>46174</v>
      </c>
      <c r="E140" s="1" t="n">
        <v>46312</v>
      </c>
      <c r="F140" t="inlineStr">
        <is>
          <t>SKÅNE LÄN</t>
        </is>
      </c>
      <c r="G140" t="inlineStr">
        <is>
          <t>SVEDALA</t>
        </is>
      </c>
      <c r="I140" t="n">
        <v>1.3</v>
      </c>
      <c r="J140" t="n">
        <v>5</v>
      </c>
      <c r="K140" t="n">
        <v>0</v>
      </c>
      <c r="L140" t="n">
        <v>1</v>
      </c>
      <c r="M140" t="n">
        <v>0</v>
      </c>
      <c r="N140" t="n">
        <v>1</v>
      </c>
      <c r="O140" t="n">
        <v>0</v>
      </c>
      <c r="P140" t="n">
        <v>0</v>
      </c>
      <c r="Q140" t="n">
        <v>2</v>
      </c>
      <c r="R140" t="n">
        <v>1</v>
      </c>
      <c r="S140" t="n">
        <v>5</v>
      </c>
      <c r="T140" t="n">
        <v>5</v>
      </c>
      <c r="U140" t="n">
        <v>0</v>
      </c>
      <c r="V140" s="2" t="inlineStr">
        <is>
          <t>Vit stork
Bivråk
Fiskgjuse
Havsörn
Trana</t>
        </is>
      </c>
      <c r="W140">
        <f>HYPERLINK("https://klasma.github.io/Logging_1263/artfynd/A 25049-2026 artfynd.xlsx", "A 25049-2026")</f>
        <v/>
      </c>
      <c r="X140">
        <f>HYPERLINK("https://klasma.github.io/Logging_1263/kartor/A 25049-2026 karta.png", "A 25049-2026")</f>
        <v/>
      </c>
      <c r="Y140">
        <f>HYPERLINK("https://klasma.github.io/Logging_1263/kartor_geotiff/A 25049-2026 georefererad karta.tif", "A 25049-2026")</f>
        <v/>
      </c>
      <c r="AA140">
        <f>HYPERLINK("https://klasma.github.io/Logging_1263/klagomål/A 25049-2026 FSC-klagomål.docx", "A 25049-2026")</f>
        <v/>
      </c>
      <c r="AB140">
        <f>HYPERLINK("https://klasma.github.io/Logging_1263/klagomålsmail/A 25049-2026 FSC-klagomål mail.docx", "A 25049-2026")</f>
        <v/>
      </c>
      <c r="AC140">
        <f>HYPERLINK("https://klasma.github.io/Logging_1263/tillsyn/A 25049-2026 tillsynsbegäran.docx", "A 25049-2026")</f>
        <v/>
      </c>
      <c r="AD140">
        <f>HYPERLINK("https://klasma.github.io/Logging_1263/tillsynsmail/A 25049-2026 tillsynsbegäran mail.docx", "A 25049-2026")</f>
        <v/>
      </c>
      <c r="AE140">
        <f>HYPERLINK("https://klasma.github.io/Logging_1263/fåglar/A 25049-2026 prioriterade fågelarter.docx", "A 25049-2026")</f>
        <v/>
      </c>
    </row>
    <row r="141" ht="15" customHeight="1">
      <c r="A141" t="inlineStr">
        <is>
          <t>A 35675-2026</t>
        </is>
      </c>
      <c r="B141" t="inlineStr">
        <is>
          <t>avverkningsanmälan</t>
        </is>
      </c>
      <c r="C141" t="inlineStr">
        <is>
          <t>Föryngringsavverkning</t>
        </is>
      </c>
      <c r="D141" s="1" t="n">
        <v>46265</v>
      </c>
      <c r="E141" s="1" t="n">
        <v>46312</v>
      </c>
      <c r="F141" t="inlineStr">
        <is>
          <t>SKÅNE LÄN</t>
        </is>
      </c>
      <c r="G141" t="inlineStr">
        <is>
          <t>ÄNGELHOLM</t>
        </is>
      </c>
      <c r="I141" t="n">
        <v>8.9</v>
      </c>
      <c r="J141" t="n">
        <v>4</v>
      </c>
      <c r="K141" t="n">
        <v>1</v>
      </c>
      <c r="L141" t="n">
        <v>1</v>
      </c>
      <c r="M141" t="n">
        <v>1</v>
      </c>
      <c r="N141" t="n">
        <v>0</v>
      </c>
      <c r="O141" t="n">
        <v>0</v>
      </c>
      <c r="P141" t="n">
        <v>0</v>
      </c>
      <c r="Q141" t="n">
        <v>2</v>
      </c>
      <c r="R141" t="n">
        <v>1</v>
      </c>
      <c r="S141" t="n">
        <v>5</v>
      </c>
      <c r="T141" t="n">
        <v>16</v>
      </c>
      <c r="U141" t="n">
        <v>15</v>
      </c>
      <c r="V141" s="2" t="inlineStr">
        <is>
          <t>Lappuggla
Entita
Blåmossa
Skogsödla
Revlummer</t>
        </is>
      </c>
      <c r="W141">
        <f>HYPERLINK("https://klasma.github.io/Logging_1292/artfynd/A 35675-2026 artfynd.xlsx", "A 35675-2026")</f>
        <v/>
      </c>
      <c r="X141">
        <f>HYPERLINK("https://klasma.github.io/Logging_1292/kartor/A 35675-2026 karta.png", "A 35675-2026")</f>
        <v/>
      </c>
      <c r="Y141">
        <f>HYPERLINK("https://klasma.github.io/Logging_1292/kartor_geotiff/A 35675-2026 georefererad karta.tif", "A 35675-2026")</f>
        <v/>
      </c>
      <c r="AA141">
        <f>HYPERLINK("https://klasma.github.io/Logging_1292/klagomål/A 35675-2026 FSC-klagomål.docx", "A 35675-2026")</f>
        <v/>
      </c>
      <c r="AB141">
        <f>HYPERLINK("https://klasma.github.io/Logging_1292/klagomålsmail/A 35675-2026 FSC-klagomål mail.docx", "A 35675-2026")</f>
        <v/>
      </c>
      <c r="AC141">
        <f>HYPERLINK("https://klasma.github.io/Logging_1292/tillsyn/A 35675-2026 tillsynsbegäran.docx", "A 35675-2026")</f>
        <v/>
      </c>
      <c r="AD141">
        <f>HYPERLINK("https://klasma.github.io/Logging_1292/tillsynsmail/A 35675-2026 tillsynsbegäran mail.docx", "A 35675-2026")</f>
        <v/>
      </c>
      <c r="AE141">
        <f>HYPERLINK("https://klasma.github.io/Logging_1292/fåglar/A 35675-2026 prioriterade fågelarter.docx", "A 35675-2026")</f>
        <v/>
      </c>
    </row>
    <row r="142" ht="15" customHeight="1">
      <c r="A142" t="inlineStr">
        <is>
          <t>A 36700-2025</t>
        </is>
      </c>
      <c r="B142" t="inlineStr">
        <is>
          <t>avverkningsanmälan</t>
        </is>
      </c>
      <c r="C142" t="inlineStr">
        <is>
          <t>Avverkning för annat ändamål</t>
        </is>
      </c>
      <c r="D142" s="1" t="n">
        <v>45873</v>
      </c>
      <c r="E142" s="1" t="n">
        <v>46312</v>
      </c>
      <c r="F142" t="inlineStr">
        <is>
          <t>SKÅNE LÄN</t>
        </is>
      </c>
      <c r="G142" t="inlineStr">
        <is>
          <t>PERSTORP</t>
        </is>
      </c>
      <c r="I142" t="n">
        <v>3.9</v>
      </c>
      <c r="J142" t="n">
        <v>4</v>
      </c>
      <c r="K142" t="n">
        <v>1</v>
      </c>
      <c r="L142" t="n">
        <v>1</v>
      </c>
      <c r="M142" t="n">
        <v>0</v>
      </c>
      <c r="N142" t="n">
        <v>0</v>
      </c>
      <c r="O142" t="n">
        <v>0</v>
      </c>
      <c r="P142" t="n">
        <v>0</v>
      </c>
      <c r="Q142" t="n">
        <v>1</v>
      </c>
      <c r="R142" t="n">
        <v>0</v>
      </c>
      <c r="S142" t="n">
        <v>5</v>
      </c>
      <c r="T142" t="n">
        <v>8</v>
      </c>
      <c r="U142" t="n">
        <v>0</v>
      </c>
      <c r="V142" s="2" t="inlineStr">
        <is>
          <t>Entita
Västlig hakmossa
Kungsfågel
Skogsödla
Vanlig padda</t>
        </is>
      </c>
      <c r="W142">
        <f>HYPERLINK("https://klasma.github.io/Logging_1275/artfynd/A 36700-2025 artfynd.xlsx", "A 36700-2025")</f>
        <v/>
      </c>
      <c r="X142">
        <f>HYPERLINK("https://klasma.github.io/Logging_1275/kartor/A 36700-2025 karta.png", "A 36700-2025")</f>
        <v/>
      </c>
      <c r="Y142">
        <f>HYPERLINK("https://klasma.github.io/Logging_1275/kartor_geotiff/A 36700-2025 georefererad karta.tif", "A 36700-2025")</f>
        <v/>
      </c>
      <c r="AA142">
        <f>HYPERLINK("https://klasma.github.io/Logging_1275/klagomål/A 36700-2025 FSC-klagomål.docx", "A 36700-2025")</f>
        <v/>
      </c>
      <c r="AB142">
        <f>HYPERLINK("https://klasma.github.io/Logging_1275/klagomålsmail/A 36700-2025 FSC-klagomål mail.docx", "A 36700-2025")</f>
        <v/>
      </c>
      <c r="AC142">
        <f>HYPERLINK("https://klasma.github.io/Logging_1275/tillsyn/A 36700-2025 tillsynsbegäran.docx", "A 36700-2025")</f>
        <v/>
      </c>
      <c r="AD142">
        <f>HYPERLINK("https://klasma.github.io/Logging_1275/tillsynsmail/A 36700-2025 tillsynsbegäran mail.docx", "A 36700-2025")</f>
        <v/>
      </c>
      <c r="AE142">
        <f>HYPERLINK("https://klasma.github.io/Logging_1275/fåglar/A 36700-2025 prioriterade fågelarter.docx", "A 36700-2025")</f>
        <v/>
      </c>
    </row>
    <row r="143" ht="15" customHeight="1">
      <c r="A143" t="inlineStr">
        <is>
          <t>S 5311-2022</t>
        </is>
      </c>
      <c r="B143" t="inlineStr">
        <is>
          <t>samrådsanmälan</t>
        </is>
      </c>
      <c r="C143" t="inlineStr">
        <is>
          <t>Askåterföring</t>
        </is>
      </c>
      <c r="D143" s="1" t="n">
        <v>44827</v>
      </c>
      <c r="E143" s="1" t="n">
        <v>46312</v>
      </c>
      <c r="F143" t="inlineStr">
        <is>
          <t>SKÅNE LÄN</t>
        </is>
      </c>
      <c r="G143" t="inlineStr">
        <is>
          <t>OSBY</t>
        </is>
      </c>
      <c r="I143" t="n">
        <v>87.3</v>
      </c>
      <c r="J143" t="n">
        <v>5</v>
      </c>
      <c r="K143" t="n">
        <v>0</v>
      </c>
      <c r="L143" t="n">
        <v>3</v>
      </c>
      <c r="M143" t="n">
        <v>0</v>
      </c>
      <c r="N143" t="n">
        <v>0</v>
      </c>
      <c r="O143" t="n">
        <v>0</v>
      </c>
      <c r="P143" t="n">
        <v>0</v>
      </c>
      <c r="Q143" t="n">
        <v>3</v>
      </c>
      <c r="R143" t="n">
        <v>0</v>
      </c>
      <c r="S143" t="n">
        <v>5</v>
      </c>
      <c r="T143" t="n">
        <v>9</v>
      </c>
      <c r="U143" t="n">
        <v>2</v>
      </c>
      <c r="V143" s="2" t="inlineStr">
        <is>
          <t>Barbastell
Brunlångöra
Nordfladdermus
Dvärgpipistrell
Gråskimlig fladdermus</t>
        </is>
      </c>
      <c r="W143">
        <f>HYPERLINK("https://klasma.github.io/Logging_1273/artfynd/S 5311-2022 artfynd.xlsx", "S 5311-2022")</f>
        <v/>
      </c>
      <c r="X143">
        <f>HYPERLINK("https://klasma.github.io/Logging_1273/kartor/S 5311-2022 karta.png", "S 5311-2022")</f>
        <v/>
      </c>
      <c r="Y143">
        <f>HYPERLINK("https://klasma.github.io/Logging_1273/kartor_geotiff/S 5311-2022 georefererad karta.tif", "S 5311-2022")</f>
        <v/>
      </c>
      <c r="AA143">
        <f>HYPERLINK("https://klasma.github.io/Logging_1273/klagomål/S 5311-2022 FSC-klagomål.docx", "S 5311-2022")</f>
        <v/>
      </c>
      <c r="AB143">
        <f>HYPERLINK("https://klasma.github.io/Logging_1273/klagomålsmail/S 5311-2022 FSC-klagomål mail.docx", "S 5311-2022")</f>
        <v/>
      </c>
      <c r="AC143">
        <f>HYPERLINK("https://klasma.github.io/Logging_1273/tillsyn/S 5311-2022 tillsynsbegäran.docx", "S 5311-2022")</f>
        <v/>
      </c>
      <c r="AD143">
        <f>HYPERLINK("https://klasma.github.io/Logging_1273/tillsynsmail/S 5311-2022 tillsynsbegäran mail.docx", "S 5311-2022")</f>
        <v/>
      </c>
    </row>
    <row r="144" ht="15" customHeight="1">
      <c r="A144" t="inlineStr">
        <is>
          <t>S 1725-2023</t>
        </is>
      </c>
      <c r="B144" t="inlineStr">
        <is>
          <t>samrådsanmälan</t>
        </is>
      </c>
      <c r="C144" t="inlineStr">
        <is>
          <t>Askåterföring</t>
        </is>
      </c>
      <c r="D144" s="1" t="n">
        <v>45069</v>
      </c>
      <c r="E144" s="1" t="n">
        <v>46312</v>
      </c>
      <c r="F144" t="inlineStr">
        <is>
          <t>SKÅNE LÄN</t>
        </is>
      </c>
      <c r="G144" t="inlineStr">
        <is>
          <t>KRISTIANSTAD</t>
        </is>
      </c>
      <c r="I144" t="n">
        <v>123.3</v>
      </c>
      <c r="J144" t="n">
        <v>5</v>
      </c>
      <c r="K144" t="n">
        <v>0</v>
      </c>
      <c r="L144" t="n">
        <v>2</v>
      </c>
      <c r="M144" t="n">
        <v>0</v>
      </c>
      <c r="N144" t="n">
        <v>0</v>
      </c>
      <c r="O144" t="n">
        <v>0</v>
      </c>
      <c r="P144" t="n">
        <v>0</v>
      </c>
      <c r="Q144" t="n">
        <v>2</v>
      </c>
      <c r="R144" t="n">
        <v>0</v>
      </c>
      <c r="S144" t="n">
        <v>5</v>
      </c>
      <c r="T144" t="n">
        <v>5</v>
      </c>
      <c r="U144" t="n">
        <v>2</v>
      </c>
      <c r="V144" s="2" t="inlineStr">
        <is>
          <t>Barbastell
Nordfladdermus
Dvärgpipistrell
Trana
Vattenfladdermus</t>
        </is>
      </c>
      <c r="W144">
        <f>HYPERLINK("https://klasma.github.io/Logging_1290/artfynd/S 1725-2023 artfynd.xlsx", "S 1725-2023")</f>
        <v/>
      </c>
      <c r="X144">
        <f>HYPERLINK("https://klasma.github.io/Logging_1290/kartor/S 1725-2023 karta.png", "S 1725-2023")</f>
        <v/>
      </c>
      <c r="Y144">
        <f>HYPERLINK("https://klasma.github.io/Logging_1290/kartor_geotiff/S 1725-2023 georefererad karta.tif", "S 1725-2023")</f>
        <v/>
      </c>
      <c r="AA144">
        <f>HYPERLINK("https://klasma.github.io/Logging_1290/klagomål/S 1725-2023 FSC-klagomål.docx", "S 1725-2023")</f>
        <v/>
      </c>
      <c r="AB144">
        <f>HYPERLINK("https://klasma.github.io/Logging_1290/klagomålsmail/S 1725-2023 FSC-klagomål mail.docx", "S 1725-2023")</f>
        <v/>
      </c>
      <c r="AC144">
        <f>HYPERLINK("https://klasma.github.io/Logging_1290/tillsyn/S 1725-2023 tillsynsbegäran.docx", "S 1725-2023")</f>
        <v/>
      </c>
      <c r="AD144">
        <f>HYPERLINK("https://klasma.github.io/Logging_1290/tillsynsmail/S 1725-2023 tillsynsbegäran mail.docx", "S 1725-2023")</f>
        <v/>
      </c>
      <c r="AE144">
        <f>HYPERLINK("https://klasma.github.io/Logging_1290/fåglar/S 1725-2023 prioriterade fågelarter.docx", "S 1725-2023")</f>
        <v/>
      </c>
    </row>
    <row r="145" ht="15" customHeight="1">
      <c r="A145" t="inlineStr">
        <is>
          <t>S 5052-2024</t>
        </is>
      </c>
      <c r="B145" t="inlineStr">
        <is>
          <t>samrådsanmälan</t>
        </is>
      </c>
      <c r="C145" t="inlineStr">
        <is>
          <t>Askåterföring</t>
        </is>
      </c>
      <c r="D145" s="1" t="n">
        <v>45637</v>
      </c>
      <c r="E145" s="1" t="n">
        <v>46312</v>
      </c>
      <c r="F145" t="inlineStr">
        <is>
          <t>SKÅNE LÄN</t>
        </is>
      </c>
      <c r="G145" t="inlineStr">
        <is>
          <t>ÖSTRA GÖINGE</t>
        </is>
      </c>
      <c r="I145" t="n">
        <v>65.59999999999999</v>
      </c>
      <c r="J145" t="n">
        <v>0</v>
      </c>
      <c r="K145" t="n">
        <v>4</v>
      </c>
      <c r="L145" t="n">
        <v>1</v>
      </c>
      <c r="M145" t="n">
        <v>0</v>
      </c>
      <c r="N145" t="n">
        <v>0</v>
      </c>
      <c r="O145" t="n">
        <v>0</v>
      </c>
      <c r="P145" t="n">
        <v>0</v>
      </c>
      <c r="Q145" t="n">
        <v>1</v>
      </c>
      <c r="R145" t="n">
        <v>0</v>
      </c>
      <c r="S145" t="n">
        <v>5</v>
      </c>
      <c r="T145" t="n">
        <v>7</v>
      </c>
      <c r="U145" t="n">
        <v>0</v>
      </c>
      <c r="V145" s="2" t="inlineStr">
        <is>
          <t>Kattfotslav
Blåmossa
Flagellkvastmossa
Havstulpanlav
Stor revmossa</t>
        </is>
      </c>
      <c r="W145">
        <f>HYPERLINK("https://klasma.github.io/Logging_1256/artfynd/S 5052-2024 artfynd.xlsx", "S 5052-2024")</f>
        <v/>
      </c>
      <c r="X145">
        <f>HYPERLINK("https://klasma.github.io/Logging_1256/kartor/S 5052-2024 karta.png", "S 5052-2024")</f>
        <v/>
      </c>
      <c r="Y145">
        <f>HYPERLINK("https://klasma.github.io/Logging_1256/kartor_geotiff/S 5052-2024 georefererad karta.tif", "S 5052-2024")</f>
        <v/>
      </c>
      <c r="AA145">
        <f>HYPERLINK("https://klasma.github.io/Logging_1256/klagomål/S 5052-2024 FSC-klagomål.docx", "S 5052-2024")</f>
        <v/>
      </c>
      <c r="AB145">
        <f>HYPERLINK("https://klasma.github.io/Logging_1256/klagomålsmail/S 5052-2024 FSC-klagomål mail.docx", "S 5052-2024")</f>
        <v/>
      </c>
      <c r="AC145">
        <f>HYPERLINK("https://klasma.github.io/Logging_1256/tillsyn/S 5052-2024 tillsynsbegäran.docx", "S 5052-2024")</f>
        <v/>
      </c>
      <c r="AD145">
        <f>HYPERLINK("https://klasma.github.io/Logging_1256/tillsynsmail/S 5052-2024 tillsynsbegäran mail.docx", "S 5052-2024")</f>
        <v/>
      </c>
    </row>
    <row r="146" ht="15" customHeight="1">
      <c r="A146" t="inlineStr">
        <is>
          <t>S 1651-2022</t>
        </is>
      </c>
      <c r="B146" t="inlineStr">
        <is>
          <t>samrådsanmälan</t>
        </is>
      </c>
      <c r="C146" t="inlineStr">
        <is>
          <t>Annan skogsbruksåtgärd</t>
        </is>
      </c>
      <c r="D146" s="1" t="n">
        <v>44649</v>
      </c>
      <c r="E146" s="1" t="n">
        <v>46312</v>
      </c>
      <c r="F146" t="inlineStr">
        <is>
          <t>SKÅNE LÄN</t>
        </is>
      </c>
      <c r="G146" t="inlineStr">
        <is>
          <t>ÖRKELLJUNGA</t>
        </is>
      </c>
      <c r="I146" t="n">
        <v>7.7</v>
      </c>
      <c r="J146" t="n">
        <v>0</v>
      </c>
      <c r="K146" t="n">
        <v>4</v>
      </c>
      <c r="L146" t="n">
        <v>0</v>
      </c>
      <c r="M146" t="n">
        <v>1</v>
      </c>
      <c r="N146" t="n">
        <v>0</v>
      </c>
      <c r="O146" t="n">
        <v>0</v>
      </c>
      <c r="P146" t="n">
        <v>0</v>
      </c>
      <c r="Q146" t="n">
        <v>1</v>
      </c>
      <c r="R146" t="n">
        <v>1</v>
      </c>
      <c r="S146" t="n">
        <v>5</v>
      </c>
      <c r="T146" t="n">
        <v>5</v>
      </c>
      <c r="U146" t="n">
        <v>0</v>
      </c>
      <c r="V146" s="2" t="inlineStr">
        <is>
          <t>Pulverädellav
Blåmossa
Gulnål
Stubbspretmossa
Västlig hakmossa</t>
        </is>
      </c>
      <c r="W146">
        <f>HYPERLINK("https://klasma.github.io/Logging_1257/artfynd/S 1651-2022 artfynd.xlsx", "S 1651-2022")</f>
        <v/>
      </c>
      <c r="X146">
        <f>HYPERLINK("https://klasma.github.io/Logging_1257/kartor/S 1651-2022 karta.png", "S 1651-2022")</f>
        <v/>
      </c>
      <c r="Y146">
        <f>HYPERLINK("https://klasma.github.io/Logging_1257/kartor_geotiff/S 1651-2022 georefererad karta.tif", "S 1651-2022")</f>
        <v/>
      </c>
      <c r="AA146">
        <f>HYPERLINK("https://klasma.github.io/Logging_1257/klagomål/S 1651-2022 FSC-klagomål.docx", "S 1651-2022")</f>
        <v/>
      </c>
      <c r="AB146">
        <f>HYPERLINK("https://klasma.github.io/Logging_1257/klagomålsmail/S 1651-2022 FSC-klagomål mail.docx", "S 1651-2022")</f>
        <v/>
      </c>
      <c r="AC146">
        <f>HYPERLINK("https://klasma.github.io/Logging_1257/tillsyn/S 1651-2022 tillsynsbegäran.docx", "S 1651-2022")</f>
        <v/>
      </c>
      <c r="AD146">
        <f>HYPERLINK("https://klasma.github.io/Logging_1257/tillsynsmail/S 1651-2022 tillsynsbegäran mail.docx", "S 1651-2022")</f>
        <v/>
      </c>
    </row>
    <row r="147" ht="15" customHeight="1">
      <c r="A147" t="inlineStr">
        <is>
          <t>S 4693-2022</t>
        </is>
      </c>
      <c r="B147" t="inlineStr">
        <is>
          <t>samrådsanmälan</t>
        </is>
      </c>
      <c r="C147" t="inlineStr">
        <is>
          <t>Askåterföring</t>
        </is>
      </c>
      <c r="D147" s="1" t="n">
        <v>44796</v>
      </c>
      <c r="E147" s="1" t="n">
        <v>46312</v>
      </c>
      <c r="F147" t="inlineStr">
        <is>
          <t>SKÅNE LÄN</t>
        </is>
      </c>
      <c r="G147" t="inlineStr">
        <is>
          <t>KRISTIANSTAD</t>
        </is>
      </c>
      <c r="I147" t="n">
        <v>86.8</v>
      </c>
      <c r="J147" t="n">
        <v>2</v>
      </c>
      <c r="K147" t="n">
        <v>1</v>
      </c>
      <c r="L147" t="n">
        <v>3</v>
      </c>
      <c r="M147" t="n">
        <v>0</v>
      </c>
      <c r="N147" t="n">
        <v>0</v>
      </c>
      <c r="O147" t="n">
        <v>0</v>
      </c>
      <c r="P147" t="n">
        <v>0</v>
      </c>
      <c r="Q147" t="n">
        <v>3</v>
      </c>
      <c r="R147" t="n">
        <v>0</v>
      </c>
      <c r="S147" t="n">
        <v>5</v>
      </c>
      <c r="T147" t="n">
        <v>5</v>
      </c>
      <c r="U147" t="n">
        <v>4</v>
      </c>
      <c r="V147" s="2" t="inlineStr">
        <is>
          <t>Duvhök
Mindre tåtelsmygare
Tallticka
Grovticka
Havsörn</t>
        </is>
      </c>
      <c r="W147">
        <f>HYPERLINK("https://klasma.github.io/Logging_1290/artfynd/S 4693-2022 artfynd.xlsx", "S 4693-2022")</f>
        <v/>
      </c>
      <c r="X147">
        <f>HYPERLINK("https://klasma.github.io/Logging_1290/kartor/S 4693-2022 karta.png", "S 4693-2022")</f>
        <v/>
      </c>
      <c r="Y147">
        <f>HYPERLINK("https://klasma.github.io/Logging_1290/kartor_geotiff/S 4693-2022 georefererad karta.tif", "S 4693-2022")</f>
        <v/>
      </c>
      <c r="AA147">
        <f>HYPERLINK("https://klasma.github.io/Logging_1290/klagomål/S 4693-2022 FSC-klagomål.docx", "S 4693-2022")</f>
        <v/>
      </c>
      <c r="AB147">
        <f>HYPERLINK("https://klasma.github.io/Logging_1290/klagomålsmail/S 4693-2022 FSC-klagomål mail.docx", "S 4693-2022")</f>
        <v/>
      </c>
      <c r="AC147">
        <f>HYPERLINK("https://klasma.github.io/Logging_1290/tillsyn/S 4693-2022 tillsynsbegäran.docx", "S 4693-2022")</f>
        <v/>
      </c>
      <c r="AD147">
        <f>HYPERLINK("https://klasma.github.io/Logging_1290/tillsynsmail/S 4693-2022 tillsynsbegäran mail.docx", "S 4693-2022")</f>
        <v/>
      </c>
      <c r="AE147">
        <f>HYPERLINK("https://klasma.github.io/Logging_1290/fåglar/S 4693-2022 prioriterade fågelarter.docx", "S 4693-2022")</f>
        <v/>
      </c>
    </row>
    <row r="148" ht="15" customHeight="1">
      <c r="A148" t="inlineStr">
        <is>
          <t>S 221-2023</t>
        </is>
      </c>
      <c r="B148" t="inlineStr">
        <is>
          <t>samrådsanmälan</t>
        </is>
      </c>
      <c r="C148" t="inlineStr">
        <is>
          <t>Askåterföring</t>
        </is>
      </c>
      <c r="D148" s="1" t="n">
        <v>44949</v>
      </c>
      <c r="E148" s="1" t="n">
        <v>46312</v>
      </c>
      <c r="F148" t="inlineStr">
        <is>
          <t>SKÅNE LÄN</t>
        </is>
      </c>
      <c r="G148" t="inlineStr">
        <is>
          <t>KLIPPAN</t>
        </is>
      </c>
      <c r="I148" t="n">
        <v>57.2</v>
      </c>
      <c r="J148" t="n">
        <v>5</v>
      </c>
      <c r="K148" t="n">
        <v>0</v>
      </c>
      <c r="L148" t="n">
        <v>1</v>
      </c>
      <c r="M148" t="n">
        <v>0</v>
      </c>
      <c r="N148" t="n">
        <v>0</v>
      </c>
      <c r="O148" t="n">
        <v>0</v>
      </c>
      <c r="P148" t="n">
        <v>0</v>
      </c>
      <c r="Q148" t="n">
        <v>1</v>
      </c>
      <c r="R148" t="n">
        <v>0</v>
      </c>
      <c r="S148" t="n">
        <v>5</v>
      </c>
      <c r="T148" t="n">
        <v>7</v>
      </c>
      <c r="U148" t="n">
        <v>7</v>
      </c>
      <c r="V148" s="2" t="inlineStr">
        <is>
          <t>Mindre hackspett
Större vattensalamander
Vanlig groda
Vanlig padda
Grönvit nattviol</t>
        </is>
      </c>
      <c r="W148">
        <f>HYPERLINK("https://klasma.github.io/Logging_1276/artfynd/S 221-2023 artfynd.xlsx", "S 221-2023")</f>
        <v/>
      </c>
      <c r="X148">
        <f>HYPERLINK("https://klasma.github.io/Logging_1276/kartor/S 221-2023 karta.png", "S 221-2023")</f>
        <v/>
      </c>
      <c r="Y148">
        <f>HYPERLINK("https://klasma.github.io/Logging_1276/kartor_geotiff/S 221-2023 georefererad karta.tif", "S 221-2023")</f>
        <v/>
      </c>
      <c r="AA148">
        <f>HYPERLINK("https://klasma.github.io/Logging_1276/klagomål/S 221-2023 FSC-klagomål.docx", "S 221-2023")</f>
        <v/>
      </c>
      <c r="AB148">
        <f>HYPERLINK("https://klasma.github.io/Logging_1276/klagomålsmail/S 221-2023 FSC-klagomål mail.docx", "S 221-2023")</f>
        <v/>
      </c>
      <c r="AC148">
        <f>HYPERLINK("https://klasma.github.io/Logging_1276/tillsyn/S 221-2023 tillsynsbegäran.docx", "S 221-2023")</f>
        <v/>
      </c>
      <c r="AD148">
        <f>HYPERLINK("https://klasma.github.io/Logging_1276/tillsynsmail/S 221-2023 tillsynsbegäran mail.docx", "S 221-2023")</f>
        <v/>
      </c>
      <c r="AE148">
        <f>HYPERLINK("https://klasma.github.io/Logging_1276/fåglar/S 221-2023 prioriterade fågelarter.docx", "S 221-2023")</f>
        <v/>
      </c>
    </row>
    <row r="149" ht="15" customHeight="1">
      <c r="A149" t="inlineStr">
        <is>
          <t>S 5728-2022</t>
        </is>
      </c>
      <c r="B149" t="inlineStr">
        <is>
          <t>samrådsanmälan</t>
        </is>
      </c>
      <c r="C149" t="inlineStr">
        <is>
          <t>Askåterföring</t>
        </is>
      </c>
      <c r="D149" s="1" t="n">
        <v>44846</v>
      </c>
      <c r="E149" s="1" t="n">
        <v>46312</v>
      </c>
      <c r="F149" t="inlineStr">
        <is>
          <t>SKÅNE LÄN</t>
        </is>
      </c>
      <c r="G149" t="inlineStr">
        <is>
          <t>ESLÖV</t>
        </is>
      </c>
      <c r="I149" t="n">
        <v>70.40000000000001</v>
      </c>
      <c r="J149" t="n">
        <v>2</v>
      </c>
      <c r="K149" t="n">
        <v>1</v>
      </c>
      <c r="L149" t="n">
        <v>1</v>
      </c>
      <c r="M149" t="n">
        <v>2</v>
      </c>
      <c r="N149" t="n">
        <v>1</v>
      </c>
      <c r="O149" t="n">
        <v>0</v>
      </c>
      <c r="P149" t="n">
        <v>0</v>
      </c>
      <c r="Q149" t="n">
        <v>4</v>
      </c>
      <c r="R149" t="n">
        <v>3</v>
      </c>
      <c r="S149" t="n">
        <v>5</v>
      </c>
      <c r="T149" t="n">
        <v>5</v>
      </c>
      <c r="U149" t="n">
        <v>4</v>
      </c>
      <c r="V149" s="2" t="inlineStr">
        <is>
          <t>Skogsalm
Brunfläckig pärlemorfjäril
Igelkott
Björktrast
Skogsknipprot</t>
        </is>
      </c>
      <c r="W149">
        <f>HYPERLINK("https://klasma.github.io/Logging_1285/artfynd/S 5728-2022 artfynd.xlsx", "S 5728-2022")</f>
        <v/>
      </c>
      <c r="X149">
        <f>HYPERLINK("https://klasma.github.io/Logging_1285/kartor/S 5728-2022 karta.png", "S 5728-2022")</f>
        <v/>
      </c>
      <c r="Y149">
        <f>HYPERLINK("https://klasma.github.io/Logging_1285/kartor_geotiff/S 5728-2022 georefererad karta.tif", "S 5728-2022")</f>
        <v/>
      </c>
      <c r="AA149">
        <f>HYPERLINK("https://klasma.github.io/Logging_1285/klagomål/S 5728-2022 FSC-klagomål.docx", "S 5728-2022")</f>
        <v/>
      </c>
      <c r="AB149">
        <f>HYPERLINK("https://klasma.github.io/Logging_1285/klagomålsmail/S 5728-2022 FSC-klagomål mail.docx", "S 5728-2022")</f>
        <v/>
      </c>
      <c r="AC149">
        <f>HYPERLINK("https://klasma.github.io/Logging_1285/tillsyn/S 5728-2022 tillsynsbegäran.docx", "S 5728-2022")</f>
        <v/>
      </c>
      <c r="AD149">
        <f>HYPERLINK("https://klasma.github.io/Logging_1285/tillsynsmail/S 5728-2022 tillsynsbegäran mail.docx", "S 5728-2022")</f>
        <v/>
      </c>
      <c r="AE149">
        <f>HYPERLINK("https://klasma.github.io/Logging_1285/fåglar/S 5728-2022 prioriterade fågelarter.docx", "S 5728-2022")</f>
        <v/>
      </c>
    </row>
    <row r="150" ht="15" customHeight="1">
      <c r="A150" t="inlineStr">
        <is>
          <t>A 40509-2022</t>
        </is>
      </c>
      <c r="B150" t="inlineStr">
        <is>
          <t>avverkningsanmälan</t>
        </is>
      </c>
      <c r="C150" t="inlineStr">
        <is>
          <t>Avverkning för att bevara och utveckla /försöksver</t>
        </is>
      </c>
      <c r="D150" s="1" t="n">
        <v>44823</v>
      </c>
      <c r="E150" s="1" t="n">
        <v>46312</v>
      </c>
      <c r="F150" t="inlineStr">
        <is>
          <t>SKÅNE LÄN</t>
        </is>
      </c>
      <c r="G150" t="inlineStr">
        <is>
          <t>KRISTIANSTAD</t>
        </is>
      </c>
      <c r="H150" t="inlineStr">
        <is>
          <t>Sveaskog</t>
        </is>
      </c>
      <c r="I150" t="n">
        <v>1.8</v>
      </c>
      <c r="J150" t="n">
        <v>0</v>
      </c>
      <c r="K150" t="n">
        <v>1</v>
      </c>
      <c r="L150" t="n">
        <v>2</v>
      </c>
      <c r="M150" t="n">
        <v>1</v>
      </c>
      <c r="N150" t="n">
        <v>0</v>
      </c>
      <c r="O150" t="n">
        <v>0</v>
      </c>
      <c r="P150" t="n">
        <v>0</v>
      </c>
      <c r="Q150" t="n">
        <v>3</v>
      </c>
      <c r="R150" t="n">
        <v>1</v>
      </c>
      <c r="S150" t="n">
        <v>4</v>
      </c>
      <c r="T150" t="n">
        <v>4</v>
      </c>
      <c r="U150" t="n">
        <v>4</v>
      </c>
      <c r="V150" s="2" t="inlineStr">
        <is>
          <t>Småvänderot
Gullpudra
Skogslysing
Svart trolldruva</t>
        </is>
      </c>
      <c r="W150">
        <f>HYPERLINK("https://klasma.github.io/Logging_1290/artfynd/A 40509-2022 artfynd.xlsx", "A 40509-2022")</f>
        <v/>
      </c>
      <c r="X150">
        <f>HYPERLINK("https://klasma.github.io/Logging_1290/kartor/A 40509-2022 karta.png", "A 40509-2022")</f>
        <v/>
      </c>
      <c r="Y150">
        <f>HYPERLINK("https://klasma.github.io/Logging_1290/kartor_geotiff/A 40509-2022 georefererad karta.tif", "A 40509-2022")</f>
        <v/>
      </c>
      <c r="AA150">
        <f>HYPERLINK("https://klasma.github.io/Logging_1290/klagomål/A 40509-2022 FSC-klagomål.docx", "A 40509-2022")</f>
        <v/>
      </c>
      <c r="AB150">
        <f>HYPERLINK("https://klasma.github.io/Logging_1290/klagomålsmail/A 40509-2022 FSC-klagomål mail.docx", "A 40509-2022")</f>
        <v/>
      </c>
      <c r="AC150">
        <f>HYPERLINK("https://klasma.github.io/Logging_1290/tillsyn/A 40509-2022 tillsynsbegäran.docx", "A 40509-2022")</f>
        <v/>
      </c>
      <c r="AD150">
        <f>HYPERLINK("https://klasma.github.io/Logging_1290/tillsynsmail/A 40509-2022 tillsynsbegäran mail.docx", "A 40509-2022")</f>
        <v/>
      </c>
    </row>
    <row r="151" ht="15" customHeight="1">
      <c r="A151" t="inlineStr">
        <is>
          <t>A 59733-2023</t>
        </is>
      </c>
      <c r="B151" t="inlineStr">
        <is>
          <t>avverkningsanmälan</t>
        </is>
      </c>
      <c r="C151" t="inlineStr">
        <is>
          <t>Föryngringsavverkning</t>
        </is>
      </c>
      <c r="D151" s="1" t="n">
        <v>45257</v>
      </c>
      <c r="E151" s="1" t="n">
        <v>46312</v>
      </c>
      <c r="F151" t="inlineStr">
        <is>
          <t>SKÅNE LÄN</t>
        </is>
      </c>
      <c r="G151" t="inlineStr">
        <is>
          <t>LUND</t>
        </is>
      </c>
      <c r="I151" t="n">
        <v>8.9</v>
      </c>
      <c r="J151" t="n">
        <v>0</v>
      </c>
      <c r="K151" t="n">
        <v>1</v>
      </c>
      <c r="L151" t="n">
        <v>2</v>
      </c>
      <c r="M151" t="n">
        <v>1</v>
      </c>
      <c r="N151" t="n">
        <v>0</v>
      </c>
      <c r="O151" t="n">
        <v>0</v>
      </c>
      <c r="P151" t="n">
        <v>0</v>
      </c>
      <c r="Q151" t="n">
        <v>3</v>
      </c>
      <c r="R151" t="n">
        <v>1</v>
      </c>
      <c r="S151" t="n">
        <v>4</v>
      </c>
      <c r="T151" t="n">
        <v>4</v>
      </c>
      <c r="U151" t="n">
        <v>1</v>
      </c>
      <c r="V151" s="2" t="inlineStr">
        <is>
          <t>Småvänderot
Backtimjan
Scharlakansvaxing
Ängsfingersvamp</t>
        </is>
      </c>
      <c r="W151">
        <f>HYPERLINK("https://klasma.github.io/Logging_1281/artfynd/A 59733-2023 artfynd.xlsx", "A 59733-2023")</f>
        <v/>
      </c>
      <c r="X151">
        <f>HYPERLINK("https://klasma.github.io/Logging_1281/kartor/A 59733-2023 karta.png", "A 59733-2023")</f>
        <v/>
      </c>
      <c r="Y151">
        <f>HYPERLINK("https://klasma.github.io/Logging_1281/kartor_geotiff/A 59733-2023 georefererad karta.tif", "A 59733-2023")</f>
        <v/>
      </c>
      <c r="AA151">
        <f>HYPERLINK("https://klasma.github.io/Logging_1281/klagomål/A 59733-2023 FSC-klagomål.docx", "A 59733-2023")</f>
        <v/>
      </c>
      <c r="AB151">
        <f>HYPERLINK("https://klasma.github.io/Logging_1281/klagomålsmail/A 59733-2023 FSC-klagomål mail.docx", "A 59733-2023")</f>
        <v/>
      </c>
      <c r="AC151">
        <f>HYPERLINK("https://klasma.github.io/Logging_1281/tillsyn/A 59733-2023 tillsynsbegäran.docx", "A 59733-2023")</f>
        <v/>
      </c>
      <c r="AD151">
        <f>HYPERLINK("https://klasma.github.io/Logging_1281/tillsynsmail/A 59733-2023 tillsynsbegäran mail.docx", "A 59733-2023")</f>
        <v/>
      </c>
    </row>
    <row r="152" ht="15" customHeight="1">
      <c r="A152" t="inlineStr">
        <is>
          <t>A 584-2025</t>
        </is>
      </c>
      <c r="B152" t="inlineStr">
        <is>
          <t>avverkningsanmälan</t>
        </is>
      </c>
      <c r="C152" t="inlineStr">
        <is>
          <t>Föryngringsavverkning</t>
        </is>
      </c>
      <c r="D152" s="1" t="n">
        <v>45664</v>
      </c>
      <c r="E152" s="1" t="n">
        <v>46312</v>
      </c>
      <c r="F152" t="inlineStr">
        <is>
          <t>SKÅNE LÄN</t>
        </is>
      </c>
      <c r="G152" t="inlineStr">
        <is>
          <t>ÄNGELHOLM</t>
        </is>
      </c>
      <c r="I152" t="n">
        <v>1.2</v>
      </c>
      <c r="J152" t="n">
        <v>4</v>
      </c>
      <c r="K152" t="n">
        <v>0</v>
      </c>
      <c r="L152" t="n">
        <v>1</v>
      </c>
      <c r="M152" t="n">
        <v>0</v>
      </c>
      <c r="N152" t="n">
        <v>0</v>
      </c>
      <c r="O152" t="n">
        <v>0</v>
      </c>
      <c r="P152" t="n">
        <v>0</v>
      </c>
      <c r="Q152" t="n">
        <v>1</v>
      </c>
      <c r="R152" t="n">
        <v>0</v>
      </c>
      <c r="S152" t="n">
        <v>4</v>
      </c>
      <c r="T152" t="n">
        <v>4</v>
      </c>
      <c r="U152" t="n">
        <v>4</v>
      </c>
      <c r="V152" s="2" t="inlineStr">
        <is>
          <t>Entita
Spillkråka
Kråka
Kungsfågel</t>
        </is>
      </c>
      <c r="W152">
        <f>HYPERLINK("https://klasma.github.io/Logging_1292/artfynd/A 584-2025 artfynd.xlsx", "A 584-2025")</f>
        <v/>
      </c>
      <c r="X152">
        <f>HYPERLINK("https://klasma.github.io/Logging_1292/kartor/A 584-2025 karta.png", "A 584-2025")</f>
        <v/>
      </c>
      <c r="Y152">
        <f>HYPERLINK("https://klasma.github.io/Logging_1292/kartor_geotiff/A 584-2025 georefererad karta.tif", "A 584-2025")</f>
        <v/>
      </c>
      <c r="AA152">
        <f>HYPERLINK("https://klasma.github.io/Logging_1292/klagomål/A 584-2025 FSC-klagomål.docx", "A 584-2025")</f>
        <v/>
      </c>
      <c r="AB152">
        <f>HYPERLINK("https://klasma.github.io/Logging_1292/klagomålsmail/A 584-2025 FSC-klagomål mail.docx", "A 584-2025")</f>
        <v/>
      </c>
      <c r="AC152">
        <f>HYPERLINK("https://klasma.github.io/Logging_1292/tillsyn/A 584-2025 tillsynsbegäran.docx", "A 584-2025")</f>
        <v/>
      </c>
      <c r="AD152">
        <f>HYPERLINK("https://klasma.github.io/Logging_1292/tillsynsmail/A 584-2025 tillsynsbegäran mail.docx", "A 584-2025")</f>
        <v/>
      </c>
      <c r="AE152">
        <f>HYPERLINK("https://klasma.github.io/Logging_1292/fåglar/A 584-2025 prioriterade fågelarter.docx", "A 584-2025")</f>
        <v/>
      </c>
    </row>
    <row r="153" ht="15" customHeight="1">
      <c r="A153" t="inlineStr">
        <is>
          <t>A 5927-2023</t>
        </is>
      </c>
      <c r="B153" t="inlineStr">
        <is>
          <t>avverkningsanmälan</t>
        </is>
      </c>
      <c r="C153" t="inlineStr">
        <is>
          <t>Föryngringsavverkning</t>
        </is>
      </c>
      <c r="D153" s="1" t="n">
        <v>44963</v>
      </c>
      <c r="E153" s="1" t="n">
        <v>46312</v>
      </c>
      <c r="F153" t="inlineStr">
        <is>
          <t>SKÅNE LÄN</t>
        </is>
      </c>
      <c r="G153" t="inlineStr">
        <is>
          <t>ÖRKELLJUNGA</t>
        </is>
      </c>
      <c r="I153" t="n">
        <v>0.9</v>
      </c>
      <c r="J153" t="n">
        <v>2</v>
      </c>
      <c r="K153" t="n">
        <v>0</v>
      </c>
      <c r="L153" t="n">
        <v>2</v>
      </c>
      <c r="M153" t="n">
        <v>1</v>
      </c>
      <c r="N153" t="n">
        <v>1</v>
      </c>
      <c r="O153" t="n">
        <v>0</v>
      </c>
      <c r="P153" t="n">
        <v>0</v>
      </c>
      <c r="Q153" t="n">
        <v>4</v>
      </c>
      <c r="R153" t="n">
        <v>2</v>
      </c>
      <c r="S153" t="n">
        <v>4</v>
      </c>
      <c r="T153" t="n">
        <v>4</v>
      </c>
      <c r="U153" t="n">
        <v>0</v>
      </c>
      <c r="V153" s="2" t="inlineStr">
        <is>
          <t>Skogsalm
Hussvala
Ladusvala
Svart skogssnigel</t>
        </is>
      </c>
      <c r="W153">
        <f>HYPERLINK("https://klasma.github.io/Logging_1257/artfynd/A 5927-2023 artfynd.xlsx", "A 5927-2023")</f>
        <v/>
      </c>
      <c r="X153">
        <f>HYPERLINK("https://klasma.github.io/Logging_1257/kartor/A 5927-2023 karta.png", "A 5927-2023")</f>
        <v/>
      </c>
      <c r="Y153">
        <f>HYPERLINK("https://klasma.github.io/Logging_1257/kartor_geotiff/A 5927-2023 georefererad karta.tif", "A 5927-2023")</f>
        <v/>
      </c>
      <c r="AA153">
        <f>HYPERLINK("https://klasma.github.io/Logging_1257/klagomål/A 5927-2023 FSC-klagomål.docx", "A 5927-2023")</f>
        <v/>
      </c>
      <c r="AB153">
        <f>HYPERLINK("https://klasma.github.io/Logging_1257/klagomålsmail/A 5927-2023 FSC-klagomål mail.docx", "A 5927-2023")</f>
        <v/>
      </c>
      <c r="AC153">
        <f>HYPERLINK("https://klasma.github.io/Logging_1257/tillsyn/A 5927-2023 tillsynsbegäran.docx", "A 5927-2023")</f>
        <v/>
      </c>
      <c r="AD153">
        <f>HYPERLINK("https://klasma.github.io/Logging_1257/tillsynsmail/A 5927-2023 tillsynsbegäran mail.docx", "A 5927-2023")</f>
        <v/>
      </c>
    </row>
    <row r="154" ht="15" customHeight="1">
      <c r="A154" t="inlineStr">
        <is>
          <t>A 39622-2023</t>
        </is>
      </c>
      <c r="B154" t="inlineStr">
        <is>
          <t>avverkningsanmälan</t>
        </is>
      </c>
      <c r="C154" t="inlineStr">
        <is>
          <t>Föryngringsavverkning</t>
        </is>
      </c>
      <c r="D154" s="1" t="n">
        <v>45163</v>
      </c>
      <c r="E154" s="1" t="n">
        <v>46312</v>
      </c>
      <c r="F154" t="inlineStr">
        <is>
          <t>SKÅNE LÄN</t>
        </is>
      </c>
      <c r="G154" t="inlineStr">
        <is>
          <t>ÖRKELLJUNGA</t>
        </is>
      </c>
      <c r="I154" t="n">
        <v>10.7</v>
      </c>
      <c r="J154" t="n">
        <v>3</v>
      </c>
      <c r="K154" t="n">
        <v>1</v>
      </c>
      <c r="L154" t="n">
        <v>0</v>
      </c>
      <c r="M154" t="n">
        <v>0</v>
      </c>
      <c r="N154" t="n">
        <v>0</v>
      </c>
      <c r="O154" t="n">
        <v>0</v>
      </c>
      <c r="P154" t="n">
        <v>0</v>
      </c>
      <c r="Q154" t="n">
        <v>0</v>
      </c>
      <c r="R154" t="n">
        <v>0</v>
      </c>
      <c r="S154" t="n">
        <v>4</v>
      </c>
      <c r="T154" t="n">
        <v>5</v>
      </c>
      <c r="U154" t="n">
        <v>0</v>
      </c>
      <c r="V154" s="2" t="inlineStr">
        <is>
          <t>Dvärghäxört
Skogsödla
Vanlig groda
Vanlig padda</t>
        </is>
      </c>
      <c r="W154">
        <f>HYPERLINK("https://klasma.github.io/Logging_1257/artfynd/A 39622-2023 artfynd.xlsx", "A 39622-2023")</f>
        <v/>
      </c>
      <c r="X154">
        <f>HYPERLINK("https://klasma.github.io/Logging_1257/kartor/A 39622-2023 karta.png", "A 39622-2023")</f>
        <v/>
      </c>
      <c r="Y154">
        <f>HYPERLINK("https://klasma.github.io/Logging_1257/kartor_geotiff/A 39622-2023 georefererad karta.tif", "A 39622-2023")</f>
        <v/>
      </c>
      <c r="AA154">
        <f>HYPERLINK("https://klasma.github.io/Logging_1257/klagomål/A 39622-2023 FSC-klagomål.docx", "A 39622-2023")</f>
        <v/>
      </c>
      <c r="AB154">
        <f>HYPERLINK("https://klasma.github.io/Logging_1257/klagomålsmail/A 39622-2023 FSC-klagomål mail.docx", "A 39622-2023")</f>
        <v/>
      </c>
      <c r="AC154">
        <f>HYPERLINK("https://klasma.github.io/Logging_1257/tillsyn/A 39622-2023 tillsynsbegäran.docx", "A 39622-2023")</f>
        <v/>
      </c>
      <c r="AD154">
        <f>HYPERLINK("https://klasma.github.io/Logging_1257/tillsynsmail/A 39622-2023 tillsynsbegäran mail.docx", "A 39622-2023")</f>
        <v/>
      </c>
    </row>
    <row r="155" ht="15" customHeight="1">
      <c r="A155" t="inlineStr">
        <is>
          <t>A 22337-2024</t>
        </is>
      </c>
      <c r="B155" t="inlineStr">
        <is>
          <t>avverkningsanmälan</t>
        </is>
      </c>
      <c r="C155" t="inlineStr">
        <is>
          <t>Föryngringsavverkning</t>
        </is>
      </c>
      <c r="D155" s="1" t="n">
        <v>45446</v>
      </c>
      <c r="E155" s="1" t="n">
        <v>46312</v>
      </c>
      <c r="F155" t="inlineStr">
        <is>
          <t>SKÅNE LÄN</t>
        </is>
      </c>
      <c r="G155" t="inlineStr">
        <is>
          <t>SJÖBO</t>
        </is>
      </c>
      <c r="I155" t="n">
        <v>12.6</v>
      </c>
      <c r="J155" t="n">
        <v>1</v>
      </c>
      <c r="K155" t="n">
        <v>3</v>
      </c>
      <c r="L155" t="n">
        <v>0</v>
      </c>
      <c r="M155" t="n">
        <v>1</v>
      </c>
      <c r="N155" t="n">
        <v>0</v>
      </c>
      <c r="O155" t="n">
        <v>0</v>
      </c>
      <c r="P155" t="n">
        <v>0</v>
      </c>
      <c r="Q155" t="n">
        <v>1</v>
      </c>
      <c r="R155" t="n">
        <v>1</v>
      </c>
      <c r="S155" t="n">
        <v>4</v>
      </c>
      <c r="T155" t="n">
        <v>5</v>
      </c>
      <c r="U155" t="n">
        <v>2</v>
      </c>
      <c r="V155" s="2" t="inlineStr">
        <is>
          <t>Fläcklungört
Kransrams
Myskmadra
Skogsknipprot</t>
        </is>
      </c>
      <c r="W155">
        <f>HYPERLINK("https://klasma.github.io/Logging_1265/artfynd/A 22337-2024 artfynd.xlsx", "A 22337-2024")</f>
        <v/>
      </c>
      <c r="X155">
        <f>HYPERLINK("https://klasma.github.io/Logging_1265/kartor/A 22337-2024 karta.png", "A 22337-2024")</f>
        <v/>
      </c>
      <c r="Y155">
        <f>HYPERLINK("https://klasma.github.io/Logging_1265/kartor_geotiff/A 22337-2024 georefererad karta.tif", "A 22337-2024")</f>
        <v/>
      </c>
      <c r="AA155">
        <f>HYPERLINK("https://klasma.github.io/Logging_1265/klagomål/A 22337-2024 FSC-klagomål.docx", "A 22337-2024")</f>
        <v/>
      </c>
      <c r="AB155">
        <f>HYPERLINK("https://klasma.github.io/Logging_1265/klagomålsmail/A 22337-2024 FSC-klagomål mail.docx", "A 22337-2024")</f>
        <v/>
      </c>
      <c r="AC155">
        <f>HYPERLINK("https://klasma.github.io/Logging_1265/tillsyn/A 22337-2024 tillsynsbegäran.docx", "A 22337-2024")</f>
        <v/>
      </c>
      <c r="AD155">
        <f>HYPERLINK("https://klasma.github.io/Logging_1265/tillsynsmail/A 22337-2024 tillsynsbegäran mail.docx", "A 22337-2024")</f>
        <v/>
      </c>
    </row>
    <row r="156" ht="15" customHeight="1">
      <c r="A156" t="inlineStr">
        <is>
          <t>A 59155-2022</t>
        </is>
      </c>
      <c r="B156" t="inlineStr">
        <is>
          <t>avverkningsanmälan</t>
        </is>
      </c>
      <c r="C156" t="inlineStr">
        <is>
          <t>Föryngringsavverkning</t>
        </is>
      </c>
      <c r="D156" s="1" t="n">
        <v>44897</v>
      </c>
      <c r="E156" s="1" t="n">
        <v>46312</v>
      </c>
      <c r="F156" t="inlineStr">
        <is>
          <t>SKÅNE LÄN</t>
        </is>
      </c>
      <c r="G156" t="inlineStr">
        <is>
          <t>ÖSTRA GÖINGE</t>
        </is>
      </c>
      <c r="I156" t="n">
        <v>5.2</v>
      </c>
      <c r="J156" t="n">
        <v>0</v>
      </c>
      <c r="K156" t="n">
        <v>2</v>
      </c>
      <c r="L156" t="n">
        <v>0</v>
      </c>
      <c r="M156" t="n">
        <v>1</v>
      </c>
      <c r="N156" t="n">
        <v>1</v>
      </c>
      <c r="O156" t="n">
        <v>0</v>
      </c>
      <c r="P156" t="n">
        <v>0</v>
      </c>
      <c r="Q156" t="n">
        <v>2</v>
      </c>
      <c r="R156" t="n">
        <v>2</v>
      </c>
      <c r="S156" t="n">
        <v>4</v>
      </c>
      <c r="T156" t="n">
        <v>6</v>
      </c>
      <c r="U156" t="n">
        <v>3</v>
      </c>
      <c r="V156" s="2" t="inlineStr">
        <is>
          <t>Ask
Blek kraterlav
Gulfotshätta
Lönnlav</t>
        </is>
      </c>
      <c r="W156">
        <f>HYPERLINK("https://klasma.github.io/Logging_1256/artfynd/A 59155-2022 artfynd.xlsx", "A 59155-2022")</f>
        <v/>
      </c>
      <c r="X156">
        <f>HYPERLINK("https://klasma.github.io/Logging_1256/kartor/A 59155-2022 karta.png", "A 59155-2022")</f>
        <v/>
      </c>
      <c r="Y156">
        <f>HYPERLINK("https://klasma.github.io/Logging_1256/kartor_geotiff/A 59155-2022 georefererad karta.tif", "A 59155-2022")</f>
        <v/>
      </c>
      <c r="AA156">
        <f>HYPERLINK("https://klasma.github.io/Logging_1256/klagomål/A 59155-2022 FSC-klagomål.docx", "A 59155-2022")</f>
        <v/>
      </c>
      <c r="AB156">
        <f>HYPERLINK("https://klasma.github.io/Logging_1256/klagomålsmail/A 59155-2022 FSC-klagomål mail.docx", "A 59155-2022")</f>
        <v/>
      </c>
      <c r="AC156">
        <f>HYPERLINK("https://klasma.github.io/Logging_1256/tillsyn/A 59155-2022 tillsynsbegäran.docx", "A 59155-2022")</f>
        <v/>
      </c>
      <c r="AD156">
        <f>HYPERLINK("https://klasma.github.io/Logging_1256/tillsynsmail/A 59155-2022 tillsynsbegäran mail.docx", "A 59155-2022")</f>
        <v/>
      </c>
    </row>
    <row r="157" ht="15" customHeight="1">
      <c r="A157" t="inlineStr">
        <is>
          <t>A 38013-2022</t>
        </is>
      </c>
      <c r="B157" t="inlineStr">
        <is>
          <t>avverkningsanmälan</t>
        </is>
      </c>
      <c r="C157" t="inlineStr">
        <is>
          <t>Föryngringsavverkning</t>
        </is>
      </c>
      <c r="D157" s="1" t="n">
        <v>44811</v>
      </c>
      <c r="E157" s="1" t="n">
        <v>46312</v>
      </c>
      <c r="F157" t="inlineStr">
        <is>
          <t>SKÅNE LÄN</t>
        </is>
      </c>
      <c r="G157" t="inlineStr">
        <is>
          <t>BÅSTAD</t>
        </is>
      </c>
      <c r="I157" t="n">
        <v>5.3</v>
      </c>
      <c r="J157" t="n">
        <v>0</v>
      </c>
      <c r="K157" t="n">
        <v>3</v>
      </c>
      <c r="L157" t="n">
        <v>0</v>
      </c>
      <c r="M157" t="n">
        <v>1</v>
      </c>
      <c r="N157" t="n">
        <v>0</v>
      </c>
      <c r="O157" t="n">
        <v>0</v>
      </c>
      <c r="P157" t="n">
        <v>0</v>
      </c>
      <c r="Q157" t="n">
        <v>1</v>
      </c>
      <c r="R157" t="n">
        <v>1</v>
      </c>
      <c r="S157" t="n">
        <v>4</v>
      </c>
      <c r="T157" t="n">
        <v>4</v>
      </c>
      <c r="U157" t="n">
        <v>1</v>
      </c>
      <c r="V157" s="2" t="inlineStr">
        <is>
          <t>Igelkott
Blåmossa
Stubbspretmossa
Västlig hakmossa</t>
        </is>
      </c>
      <c r="W157">
        <f>HYPERLINK("https://klasma.github.io/Logging_1278/artfynd/A 38013-2022 artfynd.xlsx", "A 38013-2022")</f>
        <v/>
      </c>
      <c r="X157">
        <f>HYPERLINK("https://klasma.github.io/Logging_1278/kartor/A 38013-2022 karta.png", "A 38013-2022")</f>
        <v/>
      </c>
      <c r="Y157">
        <f>HYPERLINK("https://klasma.github.io/Logging_1278/kartor_geotiff/A 38013-2022 georefererad karta.tif", "A 38013-2022")</f>
        <v/>
      </c>
      <c r="AA157">
        <f>HYPERLINK("https://klasma.github.io/Logging_1278/klagomål/A 38013-2022 FSC-klagomål.docx", "A 38013-2022")</f>
        <v/>
      </c>
      <c r="AB157">
        <f>HYPERLINK("https://klasma.github.io/Logging_1278/klagomålsmail/A 38013-2022 FSC-klagomål mail.docx", "A 38013-2022")</f>
        <v/>
      </c>
      <c r="AC157">
        <f>HYPERLINK("https://klasma.github.io/Logging_1278/tillsyn/A 38013-2022 tillsynsbegäran.docx", "A 38013-2022")</f>
        <v/>
      </c>
      <c r="AD157">
        <f>HYPERLINK("https://klasma.github.io/Logging_1278/tillsynsmail/A 38013-2022 tillsynsbegäran mail.docx", "A 38013-2022")</f>
        <v/>
      </c>
    </row>
    <row r="158" ht="15" customHeight="1">
      <c r="A158" t="inlineStr">
        <is>
          <t>A 13890-2024</t>
        </is>
      </c>
      <c r="B158" t="inlineStr">
        <is>
          <t>avverkningsanmälan</t>
        </is>
      </c>
      <c r="C158" t="inlineStr">
        <is>
          <t>Föryngringsavverkning</t>
        </is>
      </c>
      <c r="D158" s="1" t="n">
        <v>45391</v>
      </c>
      <c r="E158" s="1" t="n">
        <v>46312</v>
      </c>
      <c r="F158" t="inlineStr">
        <is>
          <t>SKÅNE LÄN</t>
        </is>
      </c>
      <c r="G158" t="inlineStr">
        <is>
          <t>HÄSSLEHOLM</t>
        </is>
      </c>
      <c r="H158" t="inlineStr">
        <is>
          <t>Kommuner</t>
        </is>
      </c>
      <c r="I158" t="n">
        <v>1.4</v>
      </c>
      <c r="J158" t="n">
        <v>1</v>
      </c>
      <c r="K158" t="n">
        <v>1</v>
      </c>
      <c r="L158" t="n">
        <v>2</v>
      </c>
      <c r="M158" t="n">
        <v>0</v>
      </c>
      <c r="N158" t="n">
        <v>0</v>
      </c>
      <c r="O158" t="n">
        <v>0</v>
      </c>
      <c r="P158" t="n">
        <v>0</v>
      </c>
      <c r="Q158" t="n">
        <v>2</v>
      </c>
      <c r="R158" t="n">
        <v>0</v>
      </c>
      <c r="S158" t="n">
        <v>4</v>
      </c>
      <c r="T158" t="n">
        <v>4</v>
      </c>
      <c r="U158" t="n">
        <v>0</v>
      </c>
      <c r="V158" s="2" t="inlineStr">
        <is>
          <t>Bokvårtlav
Orangepudrad klotterlav
Platt fjädermossa
Revlummer</t>
        </is>
      </c>
      <c r="W158">
        <f>HYPERLINK("https://klasma.github.io/Logging_1293/artfynd/A 13890-2024 artfynd.xlsx", "A 13890-2024")</f>
        <v/>
      </c>
      <c r="X158">
        <f>HYPERLINK("https://klasma.github.io/Logging_1293/kartor/A 13890-2024 karta.png", "A 13890-2024")</f>
        <v/>
      </c>
      <c r="Y158">
        <f>HYPERLINK("https://klasma.github.io/Logging_1293/kartor_geotiff/A 13890-2024 georefererad karta.tif", "A 13890-2024")</f>
        <v/>
      </c>
      <c r="AA158">
        <f>HYPERLINK("https://klasma.github.io/Logging_1293/klagomål/A 13890-2024 FSC-klagomål.docx", "A 13890-2024")</f>
        <v/>
      </c>
      <c r="AB158">
        <f>HYPERLINK("https://klasma.github.io/Logging_1293/klagomålsmail/A 13890-2024 FSC-klagomål mail.docx", "A 13890-2024")</f>
        <v/>
      </c>
      <c r="AC158">
        <f>HYPERLINK("https://klasma.github.io/Logging_1293/tillsyn/A 13890-2024 tillsynsbegäran.docx", "A 13890-2024")</f>
        <v/>
      </c>
      <c r="AD158">
        <f>HYPERLINK("https://klasma.github.io/Logging_1293/tillsynsmail/A 13890-2024 tillsynsbegäran mail.docx", "A 13890-2024")</f>
        <v/>
      </c>
    </row>
    <row r="159" ht="15" customHeight="1">
      <c r="A159" t="inlineStr">
        <is>
          <t>A 49885-2022</t>
        </is>
      </c>
      <c r="B159" t="inlineStr">
        <is>
          <t>avverkningsanmälan</t>
        </is>
      </c>
      <c r="C159" t="inlineStr">
        <is>
          <t>Föryngringsavverkning</t>
        </is>
      </c>
      <c r="D159" s="1" t="n">
        <v>44864</v>
      </c>
      <c r="E159" s="1" t="n">
        <v>46312</v>
      </c>
      <c r="F159" t="inlineStr">
        <is>
          <t>SKÅNE LÄN</t>
        </is>
      </c>
      <c r="G159" t="inlineStr">
        <is>
          <t>ÄNGELHOLM</t>
        </is>
      </c>
      <c r="I159" t="n">
        <v>1.4</v>
      </c>
      <c r="J159" t="n">
        <v>0</v>
      </c>
      <c r="K159" t="n">
        <v>3</v>
      </c>
      <c r="L159" t="n">
        <v>0</v>
      </c>
      <c r="M159" t="n">
        <v>1</v>
      </c>
      <c r="N159" t="n">
        <v>0</v>
      </c>
      <c r="O159" t="n">
        <v>0</v>
      </c>
      <c r="P159" t="n">
        <v>0</v>
      </c>
      <c r="Q159" t="n">
        <v>1</v>
      </c>
      <c r="R159" t="n">
        <v>1</v>
      </c>
      <c r="S159" t="n">
        <v>4</v>
      </c>
      <c r="T159" t="n">
        <v>4</v>
      </c>
      <c r="U159" t="n">
        <v>2</v>
      </c>
      <c r="V159" s="2" t="inlineStr">
        <is>
          <t>Rosa lundlav
Guldlockmossa
Klippfrullania
Rostfläck</t>
        </is>
      </c>
      <c r="W159">
        <f>HYPERLINK("https://klasma.github.io/Logging_1292/artfynd/A 49885-2022 artfynd.xlsx", "A 49885-2022")</f>
        <v/>
      </c>
      <c r="X159">
        <f>HYPERLINK("https://klasma.github.io/Logging_1292/kartor/A 49885-2022 karta.png", "A 49885-2022")</f>
        <v/>
      </c>
      <c r="Y159">
        <f>HYPERLINK("https://klasma.github.io/Logging_1292/kartor_geotiff/A 49885-2022 georefererad karta.tif", "A 49885-2022")</f>
        <v/>
      </c>
      <c r="AA159">
        <f>HYPERLINK("https://klasma.github.io/Logging_1292/klagomål/A 49885-2022 FSC-klagomål.docx", "A 49885-2022")</f>
        <v/>
      </c>
      <c r="AB159">
        <f>HYPERLINK("https://klasma.github.io/Logging_1292/klagomålsmail/A 49885-2022 FSC-klagomål mail.docx", "A 49885-2022")</f>
        <v/>
      </c>
      <c r="AC159">
        <f>HYPERLINK("https://klasma.github.io/Logging_1292/tillsyn/A 49885-2022 tillsynsbegäran.docx", "A 49885-2022")</f>
        <v/>
      </c>
      <c r="AD159">
        <f>HYPERLINK("https://klasma.github.io/Logging_1292/tillsynsmail/A 49885-2022 tillsynsbegäran mail.docx", "A 49885-2022")</f>
        <v/>
      </c>
    </row>
    <row r="160" ht="15" customHeight="1">
      <c r="A160" t="inlineStr">
        <is>
          <t>A 60809-2023</t>
        </is>
      </c>
      <c r="B160" t="inlineStr">
        <is>
          <t>avverkningsanmälan</t>
        </is>
      </c>
      <c r="C160" t="inlineStr">
        <is>
          <t>Föryngringsavverkning</t>
        </is>
      </c>
      <c r="D160" s="1" t="n">
        <v>45260</v>
      </c>
      <c r="E160" s="1" t="n">
        <v>46312</v>
      </c>
      <c r="F160" t="inlineStr">
        <is>
          <t>SKÅNE LÄN</t>
        </is>
      </c>
      <c r="G160" t="inlineStr">
        <is>
          <t>TOMELILLA</t>
        </is>
      </c>
      <c r="I160" t="n">
        <v>3.6</v>
      </c>
      <c r="J160" t="n">
        <v>2</v>
      </c>
      <c r="K160" t="n">
        <v>1</v>
      </c>
      <c r="L160" t="n">
        <v>1</v>
      </c>
      <c r="M160" t="n">
        <v>0</v>
      </c>
      <c r="N160" t="n">
        <v>0</v>
      </c>
      <c r="O160" t="n">
        <v>0</v>
      </c>
      <c r="P160" t="n">
        <v>0</v>
      </c>
      <c r="Q160" t="n">
        <v>1</v>
      </c>
      <c r="R160" t="n">
        <v>0</v>
      </c>
      <c r="S160" t="n">
        <v>4</v>
      </c>
      <c r="T160" t="n">
        <v>5</v>
      </c>
      <c r="U160" t="n">
        <v>5</v>
      </c>
      <c r="V160" s="2" t="inlineStr">
        <is>
          <t>Gropticka
Grovticka
Kungsfågel
Vanlig padda</t>
        </is>
      </c>
      <c r="W160">
        <f>HYPERLINK("https://klasma.github.io/Logging_1270/artfynd/A 60809-2023 artfynd.xlsx", "A 60809-2023")</f>
        <v/>
      </c>
      <c r="X160">
        <f>HYPERLINK("https://klasma.github.io/Logging_1270/kartor/A 60809-2023 karta.png", "A 60809-2023")</f>
        <v/>
      </c>
      <c r="Y160">
        <f>HYPERLINK("https://klasma.github.io/Logging_1270/kartor_geotiff/A 60809-2023 georefererad karta.tif", "A 60809-2023")</f>
        <v/>
      </c>
      <c r="AA160">
        <f>HYPERLINK("https://klasma.github.io/Logging_1270/klagomål/A 60809-2023 FSC-klagomål.docx", "A 60809-2023")</f>
        <v/>
      </c>
      <c r="AB160">
        <f>HYPERLINK("https://klasma.github.io/Logging_1270/klagomålsmail/A 60809-2023 FSC-klagomål mail.docx", "A 60809-2023")</f>
        <v/>
      </c>
      <c r="AC160">
        <f>HYPERLINK("https://klasma.github.io/Logging_1270/tillsyn/A 60809-2023 tillsynsbegäran.docx", "A 60809-2023")</f>
        <v/>
      </c>
      <c r="AD160">
        <f>HYPERLINK("https://klasma.github.io/Logging_1270/tillsynsmail/A 60809-2023 tillsynsbegäran mail.docx", "A 60809-2023")</f>
        <v/>
      </c>
    </row>
    <row r="161" ht="15" customHeight="1">
      <c r="A161" t="inlineStr">
        <is>
          <t>A 47662-2025</t>
        </is>
      </c>
      <c r="B161" t="inlineStr">
        <is>
          <t>avverkningsanmälan</t>
        </is>
      </c>
      <c r="C161" t="inlineStr">
        <is>
          <t>Föryngringsavverkning</t>
        </is>
      </c>
      <c r="D161" s="1" t="n">
        <v>45931</v>
      </c>
      <c r="E161" s="1" t="n">
        <v>46312</v>
      </c>
      <c r="F161" t="inlineStr">
        <is>
          <t>SKÅNE LÄN</t>
        </is>
      </c>
      <c r="G161" t="inlineStr">
        <is>
          <t>KRISTIANSTAD</t>
        </is>
      </c>
      <c r="H161" t="inlineStr">
        <is>
          <t>Övriga Aktiebolag</t>
        </is>
      </c>
      <c r="I161" t="n">
        <v>3</v>
      </c>
      <c r="J161" t="n">
        <v>0</v>
      </c>
      <c r="K161" t="n">
        <v>2</v>
      </c>
      <c r="L161" t="n">
        <v>0</v>
      </c>
      <c r="M161" t="n">
        <v>2</v>
      </c>
      <c r="N161" t="n">
        <v>0</v>
      </c>
      <c r="O161" t="n">
        <v>0</v>
      </c>
      <c r="P161" t="n">
        <v>0</v>
      </c>
      <c r="Q161" t="n">
        <v>2</v>
      </c>
      <c r="R161" t="n">
        <v>2</v>
      </c>
      <c r="S161" t="n">
        <v>4</v>
      </c>
      <c r="T161" t="n">
        <v>4</v>
      </c>
      <c r="U161" t="n">
        <v>2</v>
      </c>
      <c r="V161" s="2" t="inlineStr">
        <is>
          <t>Crunoecia irrorata
Småvänderot
Lundbräsma
Myskmadra</t>
        </is>
      </c>
      <c r="W161">
        <f>HYPERLINK("https://klasma.github.io/Logging_1290/artfynd/A 47662-2025 artfynd.xlsx", "A 47662-2025")</f>
        <v/>
      </c>
      <c r="X161">
        <f>HYPERLINK("https://klasma.github.io/Logging_1290/kartor/A 47662-2025 karta.png", "A 47662-2025")</f>
        <v/>
      </c>
      <c r="Y161">
        <f>HYPERLINK("https://klasma.github.io/Logging_1290/kartor_geotiff/A 47662-2025 georefererad karta.tif", "A 47662-2025")</f>
        <v/>
      </c>
      <c r="AA161">
        <f>HYPERLINK("https://klasma.github.io/Logging_1290/klagomål/A 47662-2025 FSC-klagomål.docx", "A 47662-2025")</f>
        <v/>
      </c>
      <c r="AB161">
        <f>HYPERLINK("https://klasma.github.io/Logging_1290/klagomålsmail/A 47662-2025 FSC-klagomål mail.docx", "A 47662-2025")</f>
        <v/>
      </c>
      <c r="AC161">
        <f>HYPERLINK("https://klasma.github.io/Logging_1290/tillsyn/A 47662-2025 tillsynsbegäran.docx", "A 47662-2025")</f>
        <v/>
      </c>
      <c r="AD161">
        <f>HYPERLINK("https://klasma.github.io/Logging_1290/tillsynsmail/A 47662-2025 tillsynsbegäran mail.docx", "A 47662-2025")</f>
        <v/>
      </c>
    </row>
    <row r="162" ht="15" customHeight="1">
      <c r="A162" t="inlineStr">
        <is>
          <t>A 21774-2026</t>
        </is>
      </c>
      <c r="B162" t="inlineStr">
        <is>
          <t>avverkningsanmälan</t>
        </is>
      </c>
      <c r="C162" t="inlineStr">
        <is>
          <t>Föryngringsavverkning</t>
        </is>
      </c>
      <c r="D162" s="1" t="n">
        <v>46150</v>
      </c>
      <c r="E162" s="1" t="n">
        <v>46312</v>
      </c>
      <c r="F162" t="inlineStr">
        <is>
          <t>SKÅNE LÄN</t>
        </is>
      </c>
      <c r="G162" t="inlineStr">
        <is>
          <t>HÖRBY</t>
        </is>
      </c>
      <c r="I162" t="n">
        <v>1.2</v>
      </c>
      <c r="J162" t="n">
        <v>0</v>
      </c>
      <c r="K162" t="n">
        <v>0</v>
      </c>
      <c r="L162" t="n">
        <v>3</v>
      </c>
      <c r="M162" t="n">
        <v>1</v>
      </c>
      <c r="N162" t="n">
        <v>0</v>
      </c>
      <c r="O162" t="n">
        <v>0</v>
      </c>
      <c r="P162" t="n">
        <v>0</v>
      </c>
      <c r="Q162" t="n">
        <v>4</v>
      </c>
      <c r="R162" t="n">
        <v>1</v>
      </c>
      <c r="S162" t="n">
        <v>4</v>
      </c>
      <c r="T162" t="n">
        <v>6</v>
      </c>
      <c r="U162" t="n">
        <v>0</v>
      </c>
      <c r="V162" s="2" t="inlineStr">
        <is>
          <t>Violettkantad guldvinge
Granspira
Sotnätfjäril
Svinrot</t>
        </is>
      </c>
      <c r="W162">
        <f>HYPERLINK("https://klasma.github.io/Logging_1266/artfynd/A 21774-2026 artfynd.xlsx", "A 21774-2026")</f>
        <v/>
      </c>
      <c r="X162">
        <f>HYPERLINK("https://klasma.github.io/Logging_1266/kartor/A 21774-2026 karta.png", "A 21774-2026")</f>
        <v/>
      </c>
      <c r="Y162">
        <f>HYPERLINK("https://klasma.github.io/Logging_1266/kartor_geotiff/A 21774-2026 georefererad karta.tif", "A 21774-2026")</f>
        <v/>
      </c>
      <c r="AA162">
        <f>HYPERLINK("https://klasma.github.io/Logging_1266/klagomål/A 21774-2026 FSC-klagomål.docx", "A 21774-2026")</f>
        <v/>
      </c>
      <c r="AB162">
        <f>HYPERLINK("https://klasma.github.io/Logging_1266/klagomålsmail/A 21774-2026 FSC-klagomål mail.docx", "A 21774-2026")</f>
        <v/>
      </c>
      <c r="AC162">
        <f>HYPERLINK("https://klasma.github.io/Logging_1266/tillsyn/A 21774-2026 tillsynsbegäran.docx", "A 21774-2026")</f>
        <v/>
      </c>
      <c r="AD162">
        <f>HYPERLINK("https://klasma.github.io/Logging_1266/tillsynsmail/A 21774-2026 tillsynsbegäran mail.docx", "A 21774-2026")</f>
        <v/>
      </c>
    </row>
    <row r="163" ht="15" customHeight="1">
      <c r="A163" t="inlineStr">
        <is>
          <t>A 31764-2023</t>
        </is>
      </c>
      <c r="B163" t="inlineStr">
        <is>
          <t>avverkningsanmälan</t>
        </is>
      </c>
      <c r="C163" t="inlineStr">
        <is>
          <t>Föryngringsavverkning</t>
        </is>
      </c>
      <c r="D163" s="1" t="n">
        <v>45118</v>
      </c>
      <c r="E163" s="1" t="n">
        <v>46312</v>
      </c>
      <c r="F163" t="inlineStr">
        <is>
          <t>SKÅNE LÄN</t>
        </is>
      </c>
      <c r="G163" t="inlineStr">
        <is>
          <t>LUND</t>
        </is>
      </c>
      <c r="H163" t="inlineStr">
        <is>
          <t>Kommuner</t>
        </is>
      </c>
      <c r="I163" t="n">
        <v>1.2</v>
      </c>
      <c r="J163" t="n">
        <v>1</v>
      </c>
      <c r="K163" t="n">
        <v>0</v>
      </c>
      <c r="L163" t="n">
        <v>2</v>
      </c>
      <c r="M163" t="n">
        <v>0</v>
      </c>
      <c r="N163" t="n">
        <v>0</v>
      </c>
      <c r="O163" t="n">
        <v>0</v>
      </c>
      <c r="P163" t="n">
        <v>0</v>
      </c>
      <c r="Q163" t="n">
        <v>3</v>
      </c>
      <c r="R163" t="n">
        <v>0</v>
      </c>
      <c r="S163" t="n">
        <v>4</v>
      </c>
      <c r="T163" t="n">
        <v>4</v>
      </c>
      <c r="U163" t="n">
        <v>1</v>
      </c>
      <c r="V163" s="2" t="inlineStr">
        <is>
          <t>Rosenporing
Sydlig sotticka
Skorpdyna
Vanlig snok</t>
        </is>
      </c>
      <c r="W163">
        <f>HYPERLINK("https://klasma.github.io/Logging_1281/artfynd/A 31764-2023 artfynd.xlsx", "A 31764-2023")</f>
        <v/>
      </c>
      <c r="X163">
        <f>HYPERLINK("https://klasma.github.io/Logging_1281/kartor/A 31764-2023 karta.png", "A 31764-2023")</f>
        <v/>
      </c>
      <c r="Y163">
        <f>HYPERLINK("https://klasma.github.io/Logging_1281/kartor_geotiff/A 31764-2023 georefererad karta.tif", "A 31764-2023")</f>
        <v/>
      </c>
      <c r="AA163">
        <f>HYPERLINK("https://klasma.github.io/Logging_1281/klagomål/A 31764-2023 FSC-klagomål.docx", "A 31764-2023")</f>
        <v/>
      </c>
      <c r="AB163">
        <f>HYPERLINK("https://klasma.github.io/Logging_1281/klagomålsmail/A 31764-2023 FSC-klagomål mail.docx", "A 31764-2023")</f>
        <v/>
      </c>
      <c r="AC163">
        <f>HYPERLINK("https://klasma.github.io/Logging_1281/tillsyn/A 31764-2023 tillsynsbegäran.docx", "A 31764-2023")</f>
        <v/>
      </c>
      <c r="AD163">
        <f>HYPERLINK("https://klasma.github.io/Logging_1281/tillsynsmail/A 31764-2023 tillsynsbegäran mail.docx", "A 31764-2023")</f>
        <v/>
      </c>
    </row>
    <row r="164" ht="15" customHeight="1">
      <c r="A164" t="inlineStr">
        <is>
          <t>A 4112-2025</t>
        </is>
      </c>
      <c r="B164" t="inlineStr">
        <is>
          <t>avverkningsanmälan</t>
        </is>
      </c>
      <c r="C164" t="inlineStr">
        <is>
          <t>Föryngringsavverkning</t>
        </is>
      </c>
      <c r="D164" s="1" t="n">
        <v>45684</v>
      </c>
      <c r="E164" s="1" t="n">
        <v>46312</v>
      </c>
      <c r="F164" t="inlineStr">
        <is>
          <t>SKÅNE LÄN</t>
        </is>
      </c>
      <c r="G164" t="inlineStr">
        <is>
          <t>ÖRKELLJUNGA</t>
        </is>
      </c>
      <c r="I164" t="n">
        <v>11.4</v>
      </c>
      <c r="J164" t="n">
        <v>3</v>
      </c>
      <c r="K164" t="n">
        <v>0</v>
      </c>
      <c r="L164" t="n">
        <v>0</v>
      </c>
      <c r="M164" t="n">
        <v>1</v>
      </c>
      <c r="N164" t="n">
        <v>0</v>
      </c>
      <c r="O164" t="n">
        <v>0</v>
      </c>
      <c r="P164" t="n">
        <v>0</v>
      </c>
      <c r="Q164" t="n">
        <v>1</v>
      </c>
      <c r="R164" t="n">
        <v>1</v>
      </c>
      <c r="S164" t="n">
        <v>4</v>
      </c>
      <c r="T164" t="n">
        <v>6</v>
      </c>
      <c r="U164" t="n">
        <v>4</v>
      </c>
      <c r="V164" s="2" t="inlineStr">
        <is>
          <t>Småvänderot
Gröngöling
Utter
Vanlig padda</t>
        </is>
      </c>
      <c r="W164">
        <f>HYPERLINK("https://klasma.github.io/Logging_1257/artfynd/A 4112-2025 artfynd.xlsx", "A 4112-2025")</f>
        <v/>
      </c>
      <c r="X164">
        <f>HYPERLINK("https://klasma.github.io/Logging_1257/kartor/A 4112-2025 karta.png", "A 4112-2025")</f>
        <v/>
      </c>
      <c r="Y164">
        <f>HYPERLINK("https://klasma.github.io/Logging_1257/kartor_geotiff/A 4112-2025 georefererad karta.tif", "A 4112-2025")</f>
        <v/>
      </c>
      <c r="AA164">
        <f>HYPERLINK("https://klasma.github.io/Logging_1257/klagomål/A 4112-2025 FSC-klagomål.docx", "A 4112-2025")</f>
        <v/>
      </c>
      <c r="AB164">
        <f>HYPERLINK("https://klasma.github.io/Logging_1257/klagomålsmail/A 4112-2025 FSC-klagomål mail.docx", "A 4112-2025")</f>
        <v/>
      </c>
      <c r="AC164">
        <f>HYPERLINK("https://klasma.github.io/Logging_1257/tillsyn/A 4112-2025 tillsynsbegäran.docx", "A 4112-2025")</f>
        <v/>
      </c>
      <c r="AD164">
        <f>HYPERLINK("https://klasma.github.io/Logging_1257/tillsynsmail/A 4112-2025 tillsynsbegäran mail.docx", "A 4112-2025")</f>
        <v/>
      </c>
    </row>
    <row r="165" ht="15" customHeight="1">
      <c r="A165" t="inlineStr">
        <is>
          <t>A 14150-2023</t>
        </is>
      </c>
      <c r="B165" t="inlineStr">
        <is>
          <t>avverkningsanmälan</t>
        </is>
      </c>
      <c r="C165" t="inlineStr">
        <is>
          <t>Föryngringsavverkning</t>
        </is>
      </c>
      <c r="D165" s="1" t="n">
        <v>45009</v>
      </c>
      <c r="E165" s="1" t="n">
        <v>46312</v>
      </c>
      <c r="F165" t="inlineStr">
        <is>
          <t>SKÅNE LÄN</t>
        </is>
      </c>
      <c r="G165" t="inlineStr">
        <is>
          <t>SVEDALA</t>
        </is>
      </c>
      <c r="I165" t="n">
        <v>2.5</v>
      </c>
      <c r="J165" t="n">
        <v>0</v>
      </c>
      <c r="K165" t="n">
        <v>4</v>
      </c>
      <c r="L165" t="n">
        <v>0</v>
      </c>
      <c r="M165" t="n">
        <v>0</v>
      </c>
      <c r="N165" t="n">
        <v>0</v>
      </c>
      <c r="O165" t="n">
        <v>0</v>
      </c>
      <c r="P165" t="n">
        <v>0</v>
      </c>
      <c r="Q165" t="n">
        <v>0</v>
      </c>
      <c r="R165" t="n">
        <v>0</v>
      </c>
      <c r="S165" t="n">
        <v>4</v>
      </c>
      <c r="T165" t="n">
        <v>7</v>
      </c>
      <c r="U165" t="n">
        <v>7</v>
      </c>
      <c r="V165" s="2" t="inlineStr">
        <is>
          <t>Guldlockmossa
Lönnlav
Platt fjädermossa
Tibast</t>
        </is>
      </c>
      <c r="W165">
        <f>HYPERLINK("https://klasma.github.io/Logging_1263/artfynd/A 14150-2023 artfynd.xlsx", "A 14150-2023")</f>
        <v/>
      </c>
      <c r="X165">
        <f>HYPERLINK("https://klasma.github.io/Logging_1263/kartor/A 14150-2023 karta.png", "A 14150-2023")</f>
        <v/>
      </c>
      <c r="Y165">
        <f>HYPERLINK("https://klasma.github.io/Logging_1263/kartor_geotiff/A 14150-2023 georefererad karta.tif", "A 14150-2023")</f>
        <v/>
      </c>
      <c r="AA165">
        <f>HYPERLINK("https://klasma.github.io/Logging_1263/klagomål/A 14150-2023 FSC-klagomål.docx", "A 14150-2023")</f>
        <v/>
      </c>
      <c r="AB165">
        <f>HYPERLINK("https://klasma.github.io/Logging_1263/klagomålsmail/A 14150-2023 FSC-klagomål mail.docx", "A 14150-2023")</f>
        <v/>
      </c>
      <c r="AC165">
        <f>HYPERLINK("https://klasma.github.io/Logging_1263/tillsyn/A 14150-2023 tillsynsbegäran.docx", "A 14150-2023")</f>
        <v/>
      </c>
      <c r="AD165">
        <f>HYPERLINK("https://klasma.github.io/Logging_1263/tillsynsmail/A 14150-2023 tillsynsbegäran mail.docx", "A 14150-2023")</f>
        <v/>
      </c>
    </row>
    <row r="166" ht="15" customHeight="1">
      <c r="A166" t="inlineStr">
        <is>
          <t>A 62987-2023</t>
        </is>
      </c>
      <c r="B166" t="inlineStr">
        <is>
          <t>avverkningsanmälan</t>
        </is>
      </c>
      <c r="C166" t="inlineStr">
        <is>
          <t>Föryngringsavverkning</t>
        </is>
      </c>
      <c r="D166" s="1" t="n">
        <v>45272</v>
      </c>
      <c r="E166" s="1" t="n">
        <v>46312</v>
      </c>
      <c r="F166" t="inlineStr">
        <is>
          <t>SKÅNE LÄN</t>
        </is>
      </c>
      <c r="G166" t="inlineStr">
        <is>
          <t>KRISTIANSTAD</t>
        </is>
      </c>
      <c r="I166" t="n">
        <v>13.5</v>
      </c>
      <c r="J166" t="n">
        <v>3</v>
      </c>
      <c r="K166" t="n">
        <v>1</v>
      </c>
      <c r="L166" t="n">
        <v>0</v>
      </c>
      <c r="M166" t="n">
        <v>0</v>
      </c>
      <c r="N166" t="n">
        <v>0</v>
      </c>
      <c r="O166" t="n">
        <v>0</v>
      </c>
      <c r="P166" t="n">
        <v>0</v>
      </c>
      <c r="Q166" t="n">
        <v>0</v>
      </c>
      <c r="R166" t="n">
        <v>0</v>
      </c>
      <c r="S166" t="n">
        <v>4</v>
      </c>
      <c r="T166" t="n">
        <v>6</v>
      </c>
      <c r="U166" t="n">
        <v>0</v>
      </c>
      <c r="V166" s="2" t="inlineStr">
        <is>
          <t>Västlig hakmossa
Åkergroda
Mindre vattensalamander
Skogsödla</t>
        </is>
      </c>
      <c r="W166">
        <f>HYPERLINK("https://klasma.github.io/Logging_1290/artfynd/A 62987-2023 artfynd.xlsx", "A 62987-2023")</f>
        <v/>
      </c>
      <c r="X166">
        <f>HYPERLINK("https://klasma.github.io/Logging_1290/kartor/A 62987-2023 karta.png", "A 62987-2023")</f>
        <v/>
      </c>
      <c r="Y166">
        <f>HYPERLINK("https://klasma.github.io/Logging_1290/kartor_geotiff/A 62987-2023 georefererad karta.tif", "A 62987-2023")</f>
        <v/>
      </c>
      <c r="AA166">
        <f>HYPERLINK("https://klasma.github.io/Logging_1290/klagomål/A 62987-2023 FSC-klagomål.docx", "A 62987-2023")</f>
        <v/>
      </c>
      <c r="AB166">
        <f>HYPERLINK("https://klasma.github.io/Logging_1290/klagomålsmail/A 62987-2023 FSC-klagomål mail.docx", "A 62987-2023")</f>
        <v/>
      </c>
      <c r="AC166">
        <f>HYPERLINK("https://klasma.github.io/Logging_1290/tillsyn/A 62987-2023 tillsynsbegäran.docx", "A 62987-2023")</f>
        <v/>
      </c>
      <c r="AD166">
        <f>HYPERLINK("https://klasma.github.io/Logging_1290/tillsynsmail/A 62987-2023 tillsynsbegäran mail.docx", "A 62987-2023")</f>
        <v/>
      </c>
    </row>
    <row r="167" ht="15" customHeight="1">
      <c r="A167" t="inlineStr">
        <is>
          <t>A 42004-2025</t>
        </is>
      </c>
      <c r="B167" t="inlineStr">
        <is>
          <t>avverkningsanmälan</t>
        </is>
      </c>
      <c r="C167" t="inlineStr">
        <is>
          <t>Föryngringsavverkning</t>
        </is>
      </c>
      <c r="D167" s="1" t="n">
        <v>45903</v>
      </c>
      <c r="E167" s="1" t="n">
        <v>46312</v>
      </c>
      <c r="F167" t="inlineStr">
        <is>
          <t>SKÅNE LÄN</t>
        </is>
      </c>
      <c r="G167" t="inlineStr">
        <is>
          <t>KLIPPAN</t>
        </is>
      </c>
      <c r="I167" t="n">
        <v>10.1</v>
      </c>
      <c r="J167" t="n">
        <v>4</v>
      </c>
      <c r="K167" t="n">
        <v>0</v>
      </c>
      <c r="L167" t="n">
        <v>0</v>
      </c>
      <c r="M167" t="n">
        <v>0</v>
      </c>
      <c r="N167" t="n">
        <v>0</v>
      </c>
      <c r="O167" t="n">
        <v>0</v>
      </c>
      <c r="P167" t="n">
        <v>0</v>
      </c>
      <c r="Q167" t="n">
        <v>0</v>
      </c>
      <c r="R167" t="n">
        <v>0</v>
      </c>
      <c r="S167" t="n">
        <v>4</v>
      </c>
      <c r="T167" t="n">
        <v>5</v>
      </c>
      <c r="U167" t="n">
        <v>4</v>
      </c>
      <c r="V167" s="2" t="inlineStr">
        <is>
          <t>Spillkråka
Gröngöling
Kungsfågel
Skogsduva</t>
        </is>
      </c>
      <c r="W167">
        <f>HYPERLINK("https://klasma.github.io/Logging_1276/artfynd/A 42004-2025 artfynd.xlsx", "A 42004-2025")</f>
        <v/>
      </c>
      <c r="X167">
        <f>HYPERLINK("https://klasma.github.io/Logging_1276/kartor/A 42004-2025 karta.png", "A 42004-2025")</f>
        <v/>
      </c>
      <c r="Y167">
        <f>HYPERLINK("https://klasma.github.io/Logging_1276/kartor_geotiff/A 42004-2025 georefererad karta.tif", "A 42004-2025")</f>
        <v/>
      </c>
      <c r="AA167">
        <f>HYPERLINK("https://klasma.github.io/Logging_1276/klagomål/A 42004-2025 FSC-klagomål.docx", "A 42004-2025")</f>
        <v/>
      </c>
      <c r="AB167">
        <f>HYPERLINK("https://klasma.github.io/Logging_1276/klagomålsmail/A 42004-2025 FSC-klagomål mail.docx", "A 42004-2025")</f>
        <v/>
      </c>
      <c r="AC167">
        <f>HYPERLINK("https://klasma.github.io/Logging_1276/tillsyn/A 42004-2025 tillsynsbegäran.docx", "A 42004-2025")</f>
        <v/>
      </c>
      <c r="AD167">
        <f>HYPERLINK("https://klasma.github.io/Logging_1276/tillsynsmail/A 42004-2025 tillsynsbegäran mail.docx", "A 42004-2025")</f>
        <v/>
      </c>
      <c r="AE167">
        <f>HYPERLINK("https://klasma.github.io/Logging_1276/fåglar/A 42004-2025 prioriterade fågelarter.docx", "A 42004-2025")</f>
        <v/>
      </c>
    </row>
    <row r="168" ht="15" customHeight="1">
      <c r="A168" t="inlineStr">
        <is>
          <t>A 8181-2025</t>
        </is>
      </c>
      <c r="B168" t="inlineStr">
        <is>
          <t>avverkningsanmälan</t>
        </is>
      </c>
      <c r="C168" t="inlineStr">
        <is>
          <t>Föryngringsavverkning</t>
        </is>
      </c>
      <c r="D168" s="1" t="n">
        <v>45708</v>
      </c>
      <c r="E168" s="1" t="n">
        <v>46312</v>
      </c>
      <c r="F168" t="inlineStr">
        <is>
          <t>SKÅNE LÄN</t>
        </is>
      </c>
      <c r="G168" t="inlineStr">
        <is>
          <t>HÄSSLEHOLM</t>
        </is>
      </c>
      <c r="I168" t="n">
        <v>6.8</v>
      </c>
      <c r="J168" t="n">
        <v>4</v>
      </c>
      <c r="K168" t="n">
        <v>0</v>
      </c>
      <c r="L168" t="n">
        <v>2</v>
      </c>
      <c r="M168" t="n">
        <v>0</v>
      </c>
      <c r="N168" t="n">
        <v>0</v>
      </c>
      <c r="O168" t="n">
        <v>0</v>
      </c>
      <c r="P168" t="n">
        <v>0</v>
      </c>
      <c r="Q168" t="n">
        <v>2</v>
      </c>
      <c r="R168" t="n">
        <v>0</v>
      </c>
      <c r="S168" t="n">
        <v>4</v>
      </c>
      <c r="T168" t="n">
        <v>7</v>
      </c>
      <c r="U168" t="n">
        <v>7</v>
      </c>
      <c r="V168" s="2" t="inlineStr">
        <is>
          <t>Entita
Talltita
Grönsiska
Kungsfågel</t>
        </is>
      </c>
      <c r="W168">
        <f>HYPERLINK("https://klasma.github.io/Logging_1293/artfynd/A 8181-2025 artfynd.xlsx", "A 8181-2025")</f>
        <v/>
      </c>
      <c r="X168">
        <f>HYPERLINK("https://klasma.github.io/Logging_1293/kartor/A 8181-2025 karta.png", "A 8181-2025")</f>
        <v/>
      </c>
      <c r="Y168">
        <f>HYPERLINK("https://klasma.github.io/Logging_1293/kartor_geotiff/A 8181-2025 georefererad karta.tif", "A 8181-2025")</f>
        <v/>
      </c>
      <c r="AA168">
        <f>HYPERLINK("https://klasma.github.io/Logging_1293/klagomål/A 8181-2025 FSC-klagomål.docx", "A 8181-2025")</f>
        <v/>
      </c>
      <c r="AB168">
        <f>HYPERLINK("https://klasma.github.io/Logging_1293/klagomålsmail/A 8181-2025 FSC-klagomål mail.docx", "A 8181-2025")</f>
        <v/>
      </c>
      <c r="AC168">
        <f>HYPERLINK("https://klasma.github.io/Logging_1293/tillsyn/A 8181-2025 tillsynsbegäran.docx", "A 8181-2025")</f>
        <v/>
      </c>
      <c r="AD168">
        <f>HYPERLINK("https://klasma.github.io/Logging_1293/tillsynsmail/A 8181-2025 tillsynsbegäran mail.docx", "A 8181-2025")</f>
        <v/>
      </c>
      <c r="AE168">
        <f>HYPERLINK("https://klasma.github.io/Logging_1293/fåglar/A 8181-2025 prioriterade fågelarter.docx", "A 8181-2025")</f>
        <v/>
      </c>
    </row>
    <row r="169" ht="15" customHeight="1">
      <c r="A169" t="inlineStr">
        <is>
          <t>A 60543-2023</t>
        </is>
      </c>
      <c r="B169" t="inlineStr">
        <is>
          <t>avverkningsanmälan</t>
        </is>
      </c>
      <c r="C169" t="inlineStr">
        <is>
          <t>Föryngringsavverkning</t>
        </is>
      </c>
      <c r="D169" s="1" t="n">
        <v>45259</v>
      </c>
      <c r="E169" s="1" t="n">
        <v>46312</v>
      </c>
      <c r="F169" t="inlineStr">
        <is>
          <t>SKÅNE LÄN</t>
        </is>
      </c>
      <c r="G169" t="inlineStr">
        <is>
          <t>SJÖBO</t>
        </is>
      </c>
      <c r="I169" t="n">
        <v>4.6</v>
      </c>
      <c r="J169" t="n">
        <v>1</v>
      </c>
      <c r="K169" t="n">
        <v>3</v>
      </c>
      <c r="L169" t="n">
        <v>1</v>
      </c>
      <c r="M169" t="n">
        <v>0</v>
      </c>
      <c r="N169" t="n">
        <v>0</v>
      </c>
      <c r="O169" t="n">
        <v>0</v>
      </c>
      <c r="P169" t="n">
        <v>0</v>
      </c>
      <c r="Q169" t="n">
        <v>1</v>
      </c>
      <c r="R169" t="n">
        <v>0</v>
      </c>
      <c r="S169" t="n">
        <v>4</v>
      </c>
      <c r="T169" t="n">
        <v>4</v>
      </c>
      <c r="U169" t="n">
        <v>4</v>
      </c>
      <c r="V169" s="2" t="inlineStr">
        <is>
          <t>Trollfibbla
Kransrams
Stor häxört
Tvåblad</t>
        </is>
      </c>
      <c r="W169">
        <f>HYPERLINK("https://klasma.github.io/Logging_1265/artfynd/A 60543-2023 artfynd.xlsx", "A 60543-2023")</f>
        <v/>
      </c>
      <c r="X169">
        <f>HYPERLINK("https://klasma.github.io/Logging_1265/kartor/A 60543-2023 karta.png", "A 60543-2023")</f>
        <v/>
      </c>
      <c r="Y169">
        <f>HYPERLINK("https://klasma.github.io/Logging_1265/kartor_geotiff/A 60543-2023 georefererad karta.tif", "A 60543-2023")</f>
        <v/>
      </c>
      <c r="AA169">
        <f>HYPERLINK("https://klasma.github.io/Logging_1265/klagomål/A 60543-2023 FSC-klagomål.docx", "A 60543-2023")</f>
        <v/>
      </c>
      <c r="AB169">
        <f>HYPERLINK("https://klasma.github.io/Logging_1265/klagomålsmail/A 60543-2023 FSC-klagomål mail.docx", "A 60543-2023")</f>
        <v/>
      </c>
      <c r="AC169">
        <f>HYPERLINK("https://klasma.github.io/Logging_1265/tillsyn/A 60543-2023 tillsynsbegäran.docx", "A 60543-2023")</f>
        <v/>
      </c>
      <c r="AD169">
        <f>HYPERLINK("https://klasma.github.io/Logging_1265/tillsynsmail/A 60543-2023 tillsynsbegäran mail.docx", "A 60543-2023")</f>
        <v/>
      </c>
    </row>
    <row r="170" ht="15" customHeight="1">
      <c r="A170" t="inlineStr">
        <is>
          <t>A 43326-2025</t>
        </is>
      </c>
      <c r="B170" t="inlineStr">
        <is>
          <t>avverkningsanmälan</t>
        </is>
      </c>
      <c r="C170" t="inlineStr">
        <is>
          <t>Föryngringsavverkning</t>
        </is>
      </c>
      <c r="D170" s="1" t="n">
        <v>45910</v>
      </c>
      <c r="E170" s="1" t="n">
        <v>46312</v>
      </c>
      <c r="F170" t="inlineStr">
        <is>
          <t>SKÅNE LÄN</t>
        </is>
      </c>
      <c r="G170" t="inlineStr">
        <is>
          <t>SVALÖV</t>
        </is>
      </c>
      <c r="I170" t="n">
        <v>2.1</v>
      </c>
      <c r="J170" t="n">
        <v>4</v>
      </c>
      <c r="K170" t="n">
        <v>0</v>
      </c>
      <c r="L170" t="n">
        <v>3</v>
      </c>
      <c r="M170" t="n">
        <v>0</v>
      </c>
      <c r="N170" t="n">
        <v>0</v>
      </c>
      <c r="O170" t="n">
        <v>0</v>
      </c>
      <c r="P170" t="n">
        <v>0</v>
      </c>
      <c r="Q170" t="n">
        <v>3</v>
      </c>
      <c r="R170" t="n">
        <v>0</v>
      </c>
      <c r="S170" t="n">
        <v>4</v>
      </c>
      <c r="T170" t="n">
        <v>5</v>
      </c>
      <c r="U170" t="n">
        <v>5</v>
      </c>
      <c r="V170" s="2" t="inlineStr">
        <is>
          <t>Entita
Gulsparv
Mindre hackspett
Spillkråka</t>
        </is>
      </c>
      <c r="W170">
        <f>HYPERLINK("https://klasma.github.io/Logging_1214/artfynd/A 43326-2025 artfynd.xlsx", "A 43326-2025")</f>
        <v/>
      </c>
      <c r="X170">
        <f>HYPERLINK("https://klasma.github.io/Logging_1214/kartor/A 43326-2025 karta.png", "A 43326-2025")</f>
        <v/>
      </c>
      <c r="Y170">
        <f>HYPERLINK("https://klasma.github.io/Logging_1214/kartor_geotiff/A 43326-2025 georefererad karta.tif", "A 43326-2025")</f>
        <v/>
      </c>
      <c r="AA170">
        <f>HYPERLINK("https://klasma.github.io/Logging_1214/klagomål/A 43326-2025 FSC-klagomål.docx", "A 43326-2025")</f>
        <v/>
      </c>
      <c r="AB170">
        <f>HYPERLINK("https://klasma.github.io/Logging_1214/klagomålsmail/A 43326-2025 FSC-klagomål mail.docx", "A 43326-2025")</f>
        <v/>
      </c>
      <c r="AC170">
        <f>HYPERLINK("https://klasma.github.io/Logging_1214/tillsyn/A 43326-2025 tillsynsbegäran.docx", "A 43326-2025")</f>
        <v/>
      </c>
      <c r="AD170">
        <f>HYPERLINK("https://klasma.github.io/Logging_1214/tillsynsmail/A 43326-2025 tillsynsbegäran mail.docx", "A 43326-2025")</f>
        <v/>
      </c>
      <c r="AE170">
        <f>HYPERLINK("https://klasma.github.io/Logging_1214/fåglar/A 43326-2025 prioriterade fågelarter.docx", "A 43326-2025")</f>
        <v/>
      </c>
    </row>
    <row r="171" ht="15" customHeight="1">
      <c r="A171" t="inlineStr">
        <is>
          <t>A 30603-2026</t>
        </is>
      </c>
      <c r="B171" t="inlineStr">
        <is>
          <t>avverkningsanmälan</t>
        </is>
      </c>
      <c r="C171" t="inlineStr">
        <is>
          <t>Avverkning för att bevara och utveckla /försöksver</t>
        </is>
      </c>
      <c r="D171" s="1" t="n">
        <v>46210</v>
      </c>
      <c r="E171" s="1" t="n">
        <v>46312</v>
      </c>
      <c r="F171" t="inlineStr">
        <is>
          <t>SKÅNE LÄN</t>
        </is>
      </c>
      <c r="G171" t="inlineStr">
        <is>
          <t>HÖÖR</t>
        </is>
      </c>
      <c r="I171" t="n">
        <v>3.3</v>
      </c>
      <c r="J171" t="n">
        <v>3</v>
      </c>
      <c r="K171" t="n">
        <v>0</v>
      </c>
      <c r="L171" t="n">
        <v>2</v>
      </c>
      <c r="M171" t="n">
        <v>1</v>
      </c>
      <c r="N171" t="n">
        <v>0</v>
      </c>
      <c r="O171" t="n">
        <v>0</v>
      </c>
      <c r="P171" t="n">
        <v>0</v>
      </c>
      <c r="Q171" t="n">
        <v>3</v>
      </c>
      <c r="R171" t="n">
        <v>1</v>
      </c>
      <c r="S171" t="n">
        <v>4</v>
      </c>
      <c r="T171" t="n">
        <v>5</v>
      </c>
      <c r="U171" t="n">
        <v>0</v>
      </c>
      <c r="V171" s="2" t="inlineStr">
        <is>
          <t>Igelkott
Kungsfiskare
Ägretthäger
Fiskgjuse</t>
        </is>
      </c>
      <c r="W171">
        <f>HYPERLINK("https://klasma.github.io/Logging_1267/artfynd/A 30603-2026 artfynd.xlsx", "A 30603-2026")</f>
        <v/>
      </c>
      <c r="X171">
        <f>HYPERLINK("https://klasma.github.io/Logging_1267/kartor/A 30603-2026 karta.png", "A 30603-2026")</f>
        <v/>
      </c>
      <c r="Y171">
        <f>HYPERLINK("https://klasma.github.io/Logging_1267/kartor_geotiff/A 30603-2026 georefererad karta.tif", "A 30603-2026")</f>
        <v/>
      </c>
      <c r="AA171">
        <f>HYPERLINK("https://klasma.github.io/Logging_1267/klagomål/A 30603-2026 FSC-klagomål.docx", "A 30603-2026")</f>
        <v/>
      </c>
      <c r="AB171">
        <f>HYPERLINK("https://klasma.github.io/Logging_1267/klagomålsmail/A 30603-2026 FSC-klagomål mail.docx", "A 30603-2026")</f>
        <v/>
      </c>
      <c r="AC171">
        <f>HYPERLINK("https://klasma.github.io/Logging_1267/tillsyn/A 30603-2026 tillsynsbegäran.docx", "A 30603-2026")</f>
        <v/>
      </c>
      <c r="AD171">
        <f>HYPERLINK("https://klasma.github.io/Logging_1267/tillsynsmail/A 30603-2026 tillsynsbegäran mail.docx", "A 30603-2026")</f>
        <v/>
      </c>
      <c r="AE171">
        <f>HYPERLINK("https://klasma.github.io/Logging_1267/fåglar/A 30603-2026 prioriterade fågelarter.docx", "A 30603-2026")</f>
        <v/>
      </c>
    </row>
    <row r="172" ht="15" customHeight="1">
      <c r="A172" t="inlineStr">
        <is>
          <t>A 13467-2023</t>
        </is>
      </c>
      <c r="B172" t="inlineStr">
        <is>
          <t>avverkningsanmälan</t>
        </is>
      </c>
      <c r="C172" t="inlineStr">
        <is>
          <t>Föryngringsavverkning</t>
        </is>
      </c>
      <c r="D172" s="1" t="n">
        <v>45005</v>
      </c>
      <c r="E172" s="1" t="n">
        <v>46312</v>
      </c>
      <c r="F172" t="inlineStr">
        <is>
          <t>SKÅNE LÄN</t>
        </is>
      </c>
      <c r="G172" t="inlineStr">
        <is>
          <t>HELSINGBORG</t>
        </is>
      </c>
      <c r="I172" t="n">
        <v>2.3</v>
      </c>
      <c r="J172" t="n">
        <v>2</v>
      </c>
      <c r="K172" t="n">
        <v>2</v>
      </c>
      <c r="L172" t="n">
        <v>1</v>
      </c>
      <c r="M172" t="n">
        <v>0</v>
      </c>
      <c r="N172" t="n">
        <v>0</v>
      </c>
      <c r="O172" t="n">
        <v>0</v>
      </c>
      <c r="P172" t="n">
        <v>0</v>
      </c>
      <c r="Q172" t="n">
        <v>1</v>
      </c>
      <c r="R172" t="n">
        <v>0</v>
      </c>
      <c r="S172" t="n">
        <v>4</v>
      </c>
      <c r="T172" t="n">
        <v>6</v>
      </c>
      <c r="U172" t="n">
        <v>6</v>
      </c>
      <c r="V172" s="2" t="inlineStr">
        <is>
          <t>Gulsparv
Grå skärelav
Gulnål
Kråka</t>
        </is>
      </c>
      <c r="W172">
        <f>HYPERLINK("https://klasma.github.io/Logging_1283/artfynd/A 13467-2023 artfynd.xlsx", "A 13467-2023")</f>
        <v/>
      </c>
      <c r="X172">
        <f>HYPERLINK("https://klasma.github.io/Logging_1283/kartor/A 13467-2023 karta.png", "A 13467-2023")</f>
        <v/>
      </c>
      <c r="Y172">
        <f>HYPERLINK("https://klasma.github.io/Logging_1283/kartor_geotiff/A 13467-2023 georefererad karta.tif", "A 13467-2023")</f>
        <v/>
      </c>
      <c r="AA172">
        <f>HYPERLINK("https://klasma.github.io/Logging_1283/klagomål/A 13467-2023 FSC-klagomål.docx", "A 13467-2023")</f>
        <v/>
      </c>
      <c r="AB172">
        <f>HYPERLINK("https://klasma.github.io/Logging_1283/klagomålsmail/A 13467-2023 FSC-klagomål mail.docx", "A 13467-2023")</f>
        <v/>
      </c>
      <c r="AC172">
        <f>HYPERLINK("https://klasma.github.io/Logging_1283/tillsyn/A 13467-2023 tillsynsbegäran.docx", "A 13467-2023")</f>
        <v/>
      </c>
      <c r="AD172">
        <f>HYPERLINK("https://klasma.github.io/Logging_1283/tillsynsmail/A 13467-2023 tillsynsbegäran mail.docx", "A 13467-2023")</f>
        <v/>
      </c>
      <c r="AE172">
        <f>HYPERLINK("https://klasma.github.io/Logging_1283/fåglar/A 13467-2023 prioriterade fågelarter.docx", "A 13467-2023")</f>
        <v/>
      </c>
    </row>
    <row r="173" ht="15" customHeight="1">
      <c r="A173" t="inlineStr">
        <is>
          <t>A 1744-2024</t>
        </is>
      </c>
      <c r="B173" t="inlineStr">
        <is>
          <t>avverkningsanmälan</t>
        </is>
      </c>
      <c r="C173" t="inlineStr">
        <is>
          <t>Föryngringsavverkning</t>
        </is>
      </c>
      <c r="D173" s="1" t="n">
        <v>45307</v>
      </c>
      <c r="E173" s="1" t="n">
        <v>46312</v>
      </c>
      <c r="F173" t="inlineStr">
        <is>
          <t>SKÅNE LÄN</t>
        </is>
      </c>
      <c r="G173" t="inlineStr">
        <is>
          <t>KRISTIANSTAD</t>
        </is>
      </c>
      <c r="I173" t="n">
        <v>3.9</v>
      </c>
      <c r="J173" t="n">
        <v>0</v>
      </c>
      <c r="K173" t="n">
        <v>3</v>
      </c>
      <c r="L173" t="n">
        <v>1</v>
      </c>
      <c r="M173" t="n">
        <v>0</v>
      </c>
      <c r="N173" t="n">
        <v>0</v>
      </c>
      <c r="O173" t="n">
        <v>0</v>
      </c>
      <c r="P173" t="n">
        <v>0</v>
      </c>
      <c r="Q173" t="n">
        <v>1</v>
      </c>
      <c r="R173" t="n">
        <v>0</v>
      </c>
      <c r="S173" t="n">
        <v>4</v>
      </c>
      <c r="T173" t="n">
        <v>4</v>
      </c>
      <c r="U173" t="n">
        <v>0</v>
      </c>
      <c r="V173" s="2" t="inlineStr">
        <is>
          <t>Tallticka
Ekskinn
Guldlockmossa
Jättesvampmal</t>
        </is>
      </c>
      <c r="W173">
        <f>HYPERLINK("https://klasma.github.io/Logging_1290/artfynd/A 1744-2024 artfynd.xlsx", "A 1744-2024")</f>
        <v/>
      </c>
      <c r="X173">
        <f>HYPERLINK("https://klasma.github.io/Logging_1290/kartor/A 1744-2024 karta.png", "A 1744-2024")</f>
        <v/>
      </c>
      <c r="Y173">
        <f>HYPERLINK("https://klasma.github.io/Logging_1290/kartor_geotiff/A 1744-2024 georefererad karta.tif", "A 1744-2024")</f>
        <v/>
      </c>
      <c r="AA173">
        <f>HYPERLINK("https://klasma.github.io/Logging_1290/klagomål/A 1744-2024 FSC-klagomål.docx", "A 1744-2024")</f>
        <v/>
      </c>
      <c r="AB173">
        <f>HYPERLINK("https://klasma.github.io/Logging_1290/klagomålsmail/A 1744-2024 FSC-klagomål mail.docx", "A 1744-2024")</f>
        <v/>
      </c>
      <c r="AC173">
        <f>HYPERLINK("https://klasma.github.io/Logging_1290/tillsyn/A 1744-2024 tillsynsbegäran.docx", "A 1744-2024")</f>
        <v/>
      </c>
      <c r="AD173">
        <f>HYPERLINK("https://klasma.github.io/Logging_1290/tillsynsmail/A 1744-2024 tillsynsbegäran mail.docx", "A 1744-2024")</f>
        <v/>
      </c>
    </row>
    <row r="174" ht="15" customHeight="1">
      <c r="A174" t="inlineStr">
        <is>
          <t>A 2787-2024</t>
        </is>
      </c>
      <c r="B174" t="inlineStr">
        <is>
          <t>avverkningsanmälan</t>
        </is>
      </c>
      <c r="C174" t="inlineStr">
        <is>
          <t>Föryngringsavverkning</t>
        </is>
      </c>
      <c r="D174" s="1" t="n">
        <v>45314</v>
      </c>
      <c r="E174" s="1" t="n">
        <v>46312</v>
      </c>
      <c r="F174" t="inlineStr">
        <is>
          <t>SKÅNE LÄN</t>
        </is>
      </c>
      <c r="G174" t="inlineStr">
        <is>
          <t>HÖÖR</t>
        </is>
      </c>
      <c r="I174" t="n">
        <v>0.8</v>
      </c>
      <c r="J174" t="n">
        <v>4</v>
      </c>
      <c r="K174" t="n">
        <v>0</v>
      </c>
      <c r="L174" t="n">
        <v>2</v>
      </c>
      <c r="M174" t="n">
        <v>0</v>
      </c>
      <c r="N174" t="n">
        <v>0</v>
      </c>
      <c r="O174" t="n">
        <v>0</v>
      </c>
      <c r="P174" t="n">
        <v>0</v>
      </c>
      <c r="Q174" t="n">
        <v>2</v>
      </c>
      <c r="R174" t="n">
        <v>0</v>
      </c>
      <c r="S174" t="n">
        <v>4</v>
      </c>
      <c r="T174" t="n">
        <v>4</v>
      </c>
      <c r="U174" t="n">
        <v>0</v>
      </c>
      <c r="V174" s="2" t="inlineStr">
        <is>
          <t>Brunlångöra
Nordfladdermus
Större brunfladdermus
Vattenfladdermus</t>
        </is>
      </c>
      <c r="W174">
        <f>HYPERLINK("https://klasma.github.io/Logging_1267/artfynd/A 2787-2024 artfynd.xlsx", "A 2787-2024")</f>
        <v/>
      </c>
      <c r="X174">
        <f>HYPERLINK("https://klasma.github.io/Logging_1267/kartor/A 2787-2024 karta.png", "A 2787-2024")</f>
        <v/>
      </c>
      <c r="Y174">
        <f>HYPERLINK("https://klasma.github.io/Logging_1267/kartor_geotiff/A 2787-2024 georefererad karta.tif", "A 2787-2024")</f>
        <v/>
      </c>
      <c r="AA174">
        <f>HYPERLINK("https://klasma.github.io/Logging_1267/klagomål/A 2787-2024 FSC-klagomål.docx", "A 2787-2024")</f>
        <v/>
      </c>
      <c r="AB174">
        <f>HYPERLINK("https://klasma.github.io/Logging_1267/klagomålsmail/A 2787-2024 FSC-klagomål mail.docx", "A 2787-2024")</f>
        <v/>
      </c>
      <c r="AC174">
        <f>HYPERLINK("https://klasma.github.io/Logging_1267/tillsyn/A 2787-2024 tillsynsbegäran.docx", "A 2787-2024")</f>
        <v/>
      </c>
      <c r="AD174">
        <f>HYPERLINK("https://klasma.github.io/Logging_1267/tillsynsmail/A 2787-2024 tillsynsbegäran mail.docx", "A 2787-2024")</f>
        <v/>
      </c>
    </row>
    <row r="175" ht="15" customHeight="1">
      <c r="A175" t="inlineStr">
        <is>
          <t>A 31700-2023</t>
        </is>
      </c>
      <c r="B175" t="inlineStr">
        <is>
          <t>avverkningsanmälan</t>
        </is>
      </c>
      <c r="C175" t="inlineStr">
        <is>
          <t>Föryngringsavverkning</t>
        </is>
      </c>
      <c r="D175" s="1" t="n">
        <v>45117</v>
      </c>
      <c r="E175" s="1" t="n">
        <v>46312</v>
      </c>
      <c r="F175" t="inlineStr">
        <is>
          <t>SKÅNE LÄN</t>
        </is>
      </c>
      <c r="G175" t="inlineStr">
        <is>
          <t>SVEDALA</t>
        </is>
      </c>
      <c r="I175" t="n">
        <v>1.1</v>
      </c>
      <c r="J175" t="n">
        <v>3</v>
      </c>
      <c r="K175" t="n">
        <v>0</v>
      </c>
      <c r="L175" t="n">
        <v>0</v>
      </c>
      <c r="M175" t="n">
        <v>1</v>
      </c>
      <c r="N175" t="n">
        <v>1</v>
      </c>
      <c r="O175" t="n">
        <v>0</v>
      </c>
      <c r="P175" t="n">
        <v>0</v>
      </c>
      <c r="Q175" t="n">
        <v>2</v>
      </c>
      <c r="R175" t="n">
        <v>2</v>
      </c>
      <c r="S175" t="n">
        <v>4</v>
      </c>
      <c r="T175" t="n">
        <v>7</v>
      </c>
      <c r="U175" t="n">
        <v>2</v>
      </c>
      <c r="V175" s="2" t="inlineStr">
        <is>
          <t>Brun glada
Revig blodrot
Lövgroda
Större vattensalamander</t>
        </is>
      </c>
      <c r="W175">
        <f>HYPERLINK("https://klasma.github.io/Logging_1263/artfynd/A 31700-2023 artfynd.xlsx", "A 31700-2023")</f>
        <v/>
      </c>
      <c r="X175">
        <f>HYPERLINK("https://klasma.github.io/Logging_1263/kartor/A 31700-2023 karta.png", "A 31700-2023")</f>
        <v/>
      </c>
      <c r="Y175">
        <f>HYPERLINK("https://klasma.github.io/Logging_1263/kartor_geotiff/A 31700-2023 georefererad karta.tif", "A 31700-2023")</f>
        <v/>
      </c>
      <c r="AA175">
        <f>HYPERLINK("https://klasma.github.io/Logging_1263/klagomål/A 31700-2023 FSC-klagomål.docx", "A 31700-2023")</f>
        <v/>
      </c>
      <c r="AB175">
        <f>HYPERLINK("https://klasma.github.io/Logging_1263/klagomålsmail/A 31700-2023 FSC-klagomål mail.docx", "A 31700-2023")</f>
        <v/>
      </c>
      <c r="AC175">
        <f>HYPERLINK("https://klasma.github.io/Logging_1263/tillsyn/A 31700-2023 tillsynsbegäran.docx", "A 31700-2023")</f>
        <v/>
      </c>
      <c r="AD175">
        <f>HYPERLINK("https://klasma.github.io/Logging_1263/tillsynsmail/A 31700-2023 tillsynsbegäran mail.docx", "A 31700-2023")</f>
        <v/>
      </c>
      <c r="AE175">
        <f>HYPERLINK("https://klasma.github.io/Logging_1263/fåglar/A 31700-2023 prioriterade fågelarter.docx", "A 31700-2023")</f>
        <v/>
      </c>
    </row>
    <row r="176" ht="15" customHeight="1">
      <c r="A176" t="inlineStr">
        <is>
          <t>A 32741-2026</t>
        </is>
      </c>
      <c r="B176" t="inlineStr">
        <is>
          <t>avverkningsanmälan</t>
        </is>
      </c>
      <c r="C176" t="inlineStr">
        <is>
          <t>Föryngringsavverkning</t>
        </is>
      </c>
      <c r="D176" s="1" t="n">
        <v>46241</v>
      </c>
      <c r="E176" s="1" t="n">
        <v>46312</v>
      </c>
      <c r="F176" t="inlineStr">
        <is>
          <t>SKÅNE LÄN</t>
        </is>
      </c>
      <c r="G176" t="inlineStr">
        <is>
          <t>OSBY</t>
        </is>
      </c>
      <c r="I176" t="n">
        <v>0.7</v>
      </c>
      <c r="J176" t="n">
        <v>0</v>
      </c>
      <c r="K176" t="n">
        <v>4</v>
      </c>
      <c r="L176" t="n">
        <v>0</v>
      </c>
      <c r="M176" t="n">
        <v>0</v>
      </c>
      <c r="N176" t="n">
        <v>0</v>
      </c>
      <c r="O176" t="n">
        <v>0</v>
      </c>
      <c r="P176" t="n">
        <v>0</v>
      </c>
      <c r="Q176" t="n">
        <v>0</v>
      </c>
      <c r="R176" t="n">
        <v>0</v>
      </c>
      <c r="S176" t="n">
        <v>4</v>
      </c>
      <c r="T176" t="n">
        <v>21</v>
      </c>
      <c r="U176" t="n">
        <v>0</v>
      </c>
      <c r="V176" s="2" t="inlineStr">
        <is>
          <t>Barkkornlav
Fällmossa
Havstulpanlav
Platt fjädermossa</t>
        </is>
      </c>
      <c r="W176">
        <f>HYPERLINK("https://klasma.github.io/Logging_1273/artfynd/A 32741-2026 artfynd.xlsx", "A 32741-2026")</f>
        <v/>
      </c>
      <c r="X176">
        <f>HYPERLINK("https://klasma.github.io/Logging_1273/kartor/A 32741-2026 karta.png", "A 32741-2026")</f>
        <v/>
      </c>
      <c r="Y176">
        <f>HYPERLINK("https://klasma.github.io/Logging_1273/kartor_geotiff/A 32741-2026 georefererad karta.tif", "A 32741-2026")</f>
        <v/>
      </c>
      <c r="AA176">
        <f>HYPERLINK("https://klasma.github.io/Logging_1273/klagomål/A 32741-2026 FSC-klagomål.docx", "A 32741-2026")</f>
        <v/>
      </c>
      <c r="AB176">
        <f>HYPERLINK("https://klasma.github.io/Logging_1273/klagomålsmail/A 32741-2026 FSC-klagomål mail.docx", "A 32741-2026")</f>
        <v/>
      </c>
      <c r="AC176">
        <f>HYPERLINK("https://klasma.github.io/Logging_1273/tillsyn/A 32741-2026 tillsynsbegäran.docx", "A 32741-2026")</f>
        <v/>
      </c>
      <c r="AD176">
        <f>HYPERLINK("https://klasma.github.io/Logging_1273/tillsynsmail/A 32741-2026 tillsynsbegäran mail.docx", "A 32741-2026")</f>
        <v/>
      </c>
    </row>
    <row r="177" ht="15" customHeight="1">
      <c r="A177" t="inlineStr">
        <is>
          <t>A 38084-2024</t>
        </is>
      </c>
      <c r="B177" t="inlineStr">
        <is>
          <t>avverkningsanmälan</t>
        </is>
      </c>
      <c r="C177" t="inlineStr">
        <is>
          <t>Föryngringsavverkning</t>
        </is>
      </c>
      <c r="D177" s="1" t="n">
        <v>45545</v>
      </c>
      <c r="E177" s="1" t="n">
        <v>46312</v>
      </c>
      <c r="F177" t="inlineStr">
        <is>
          <t>SKÅNE LÄN</t>
        </is>
      </c>
      <c r="G177" t="inlineStr">
        <is>
          <t>HÖRBY</t>
        </is>
      </c>
      <c r="I177" t="n">
        <v>0.5</v>
      </c>
      <c r="J177" t="n">
        <v>1</v>
      </c>
      <c r="K177" t="n">
        <v>2</v>
      </c>
      <c r="L177" t="n">
        <v>0</v>
      </c>
      <c r="M177" t="n">
        <v>0</v>
      </c>
      <c r="N177" t="n">
        <v>0</v>
      </c>
      <c r="O177" t="n">
        <v>0</v>
      </c>
      <c r="P177" t="n">
        <v>0</v>
      </c>
      <c r="Q177" t="n">
        <v>0</v>
      </c>
      <c r="R177" t="n">
        <v>0</v>
      </c>
      <c r="S177" t="n">
        <v>4</v>
      </c>
      <c r="T177" t="n">
        <v>4</v>
      </c>
      <c r="U177" t="n">
        <v>4</v>
      </c>
      <c r="V177" s="2" t="inlineStr">
        <is>
          <t>Myskmadra
Skogsbräsma
Tandrot
Grönsiska</t>
        </is>
      </c>
      <c r="W177">
        <f>HYPERLINK("https://klasma.github.io/Logging_1266/artfynd/A 38084-2024 artfynd.xlsx", "A 38084-2024")</f>
        <v/>
      </c>
      <c r="X177">
        <f>HYPERLINK("https://klasma.github.io/Logging_1266/kartor/A 38084-2024 karta.png", "A 38084-2024")</f>
        <v/>
      </c>
      <c r="Y177">
        <f>HYPERLINK("https://klasma.github.io/Logging_1266/kartor_geotiff/A 38084-2024 georefererad karta.tif", "A 38084-2024")</f>
        <v/>
      </c>
      <c r="AA177">
        <f>HYPERLINK("https://klasma.github.io/Logging_1266/klagomål/A 38084-2024 FSC-klagomål.docx", "A 38084-2024")</f>
        <v/>
      </c>
      <c r="AB177">
        <f>HYPERLINK("https://klasma.github.io/Logging_1266/klagomålsmail/A 38084-2024 FSC-klagomål mail.docx", "A 38084-2024")</f>
        <v/>
      </c>
      <c r="AC177">
        <f>HYPERLINK("https://klasma.github.io/Logging_1266/tillsyn/A 38084-2024 tillsynsbegäran.docx", "A 38084-2024")</f>
        <v/>
      </c>
      <c r="AD177">
        <f>HYPERLINK("https://klasma.github.io/Logging_1266/tillsynsmail/A 38084-2024 tillsynsbegäran mail.docx", "A 38084-2024")</f>
        <v/>
      </c>
    </row>
    <row r="178" ht="15" customHeight="1">
      <c r="A178" t="inlineStr">
        <is>
          <t>A 56294-2022</t>
        </is>
      </c>
      <c r="B178" t="inlineStr">
        <is>
          <t>avverkningsanmälan</t>
        </is>
      </c>
      <c r="C178" t="inlineStr">
        <is>
          <t>Föryngringsavverkning</t>
        </is>
      </c>
      <c r="D178" s="1" t="n">
        <v>44887</v>
      </c>
      <c r="E178" s="1" t="n">
        <v>46312</v>
      </c>
      <c r="F178" t="inlineStr">
        <is>
          <t>SKÅNE LÄN</t>
        </is>
      </c>
      <c r="G178" t="inlineStr">
        <is>
          <t>SJÖBO</t>
        </is>
      </c>
      <c r="I178" t="n">
        <v>4.6</v>
      </c>
      <c r="J178" t="n">
        <v>0</v>
      </c>
      <c r="K178" t="n">
        <v>2</v>
      </c>
      <c r="L178" t="n">
        <v>1</v>
      </c>
      <c r="M178" t="n">
        <v>1</v>
      </c>
      <c r="N178" t="n">
        <v>0</v>
      </c>
      <c r="O178" t="n">
        <v>0</v>
      </c>
      <c r="P178" t="n">
        <v>0</v>
      </c>
      <c r="Q178" t="n">
        <v>2</v>
      </c>
      <c r="R178" t="n">
        <v>1</v>
      </c>
      <c r="S178" t="n">
        <v>4</v>
      </c>
      <c r="T178" t="n">
        <v>4</v>
      </c>
      <c r="U178" t="n">
        <v>3</v>
      </c>
      <c r="V178" s="2" t="inlineStr">
        <is>
          <t>Crunoecia irrorata
Skugglosta
Myskmadra
Strävlosta</t>
        </is>
      </c>
      <c r="W178">
        <f>HYPERLINK("https://klasma.github.io/Logging_1265/artfynd/A 56294-2022 artfynd.xlsx", "A 56294-2022")</f>
        <v/>
      </c>
      <c r="X178">
        <f>HYPERLINK("https://klasma.github.io/Logging_1265/kartor/A 56294-2022 karta.png", "A 56294-2022")</f>
        <v/>
      </c>
      <c r="Y178">
        <f>HYPERLINK("https://klasma.github.io/Logging_1265/kartor_geotiff/A 56294-2022 georefererad karta.tif", "A 56294-2022")</f>
        <v/>
      </c>
      <c r="AA178">
        <f>HYPERLINK("https://klasma.github.io/Logging_1265/klagomål/A 56294-2022 FSC-klagomål.docx", "A 56294-2022")</f>
        <v/>
      </c>
      <c r="AB178">
        <f>HYPERLINK("https://klasma.github.io/Logging_1265/klagomålsmail/A 56294-2022 FSC-klagomål mail.docx", "A 56294-2022")</f>
        <v/>
      </c>
      <c r="AC178">
        <f>HYPERLINK("https://klasma.github.io/Logging_1265/tillsyn/A 56294-2022 tillsynsbegäran.docx", "A 56294-2022")</f>
        <v/>
      </c>
      <c r="AD178">
        <f>HYPERLINK("https://klasma.github.io/Logging_1265/tillsynsmail/A 56294-2022 tillsynsbegäran mail.docx", "A 56294-2022")</f>
        <v/>
      </c>
    </row>
    <row r="179" ht="15" customHeight="1">
      <c r="A179" t="inlineStr">
        <is>
          <t>A 5619-2024</t>
        </is>
      </c>
      <c r="B179" t="inlineStr">
        <is>
          <t>avverkningsanmälan</t>
        </is>
      </c>
      <c r="C179" t="inlineStr">
        <is>
          <t>Föryngringsavverkning</t>
        </is>
      </c>
      <c r="D179" s="1" t="n">
        <v>45334</v>
      </c>
      <c r="E179" s="1" t="n">
        <v>46312</v>
      </c>
      <c r="F179" t="inlineStr">
        <is>
          <t>SKÅNE LÄN</t>
        </is>
      </c>
      <c r="G179" t="inlineStr">
        <is>
          <t>HÖRBY</t>
        </is>
      </c>
      <c r="I179" t="n">
        <v>4.6</v>
      </c>
      <c r="J179" t="n">
        <v>0</v>
      </c>
      <c r="K179" t="n">
        <v>1</v>
      </c>
      <c r="L179" t="n">
        <v>1</v>
      </c>
      <c r="M179" t="n">
        <v>0</v>
      </c>
      <c r="N179" t="n">
        <v>2</v>
      </c>
      <c r="O179" t="n">
        <v>0</v>
      </c>
      <c r="P179" t="n">
        <v>0</v>
      </c>
      <c r="Q179" t="n">
        <v>3</v>
      </c>
      <c r="R179" t="n">
        <v>2</v>
      </c>
      <c r="S179" t="n">
        <v>4</v>
      </c>
      <c r="T179" t="n">
        <v>7</v>
      </c>
      <c r="U179" t="n">
        <v>0</v>
      </c>
      <c r="V179" s="2" t="inlineStr">
        <is>
          <t>Ask
Skogsalm
Gullpudra
Trubbfjädermossa</t>
        </is>
      </c>
      <c r="W179">
        <f>HYPERLINK("https://klasma.github.io/Logging_1266/artfynd/A 5619-2024 artfynd.xlsx", "A 5619-2024")</f>
        <v/>
      </c>
      <c r="X179">
        <f>HYPERLINK("https://klasma.github.io/Logging_1266/kartor/A 5619-2024 karta.png", "A 5619-2024")</f>
        <v/>
      </c>
      <c r="Y179">
        <f>HYPERLINK("https://klasma.github.io/Logging_1266/kartor_geotiff/A 5619-2024 georefererad karta.tif", "A 5619-2024")</f>
        <v/>
      </c>
      <c r="AA179">
        <f>HYPERLINK("https://klasma.github.io/Logging_1266/klagomål/A 5619-2024 FSC-klagomål.docx", "A 5619-2024")</f>
        <v/>
      </c>
      <c r="AB179">
        <f>HYPERLINK("https://klasma.github.io/Logging_1266/klagomålsmail/A 5619-2024 FSC-klagomål mail.docx", "A 5619-2024")</f>
        <v/>
      </c>
      <c r="AC179">
        <f>HYPERLINK("https://klasma.github.io/Logging_1266/tillsyn/A 5619-2024 tillsynsbegäran.docx", "A 5619-2024")</f>
        <v/>
      </c>
      <c r="AD179">
        <f>HYPERLINK("https://klasma.github.io/Logging_1266/tillsynsmail/A 5619-2024 tillsynsbegäran mail.docx", "A 5619-2024")</f>
        <v/>
      </c>
    </row>
    <row r="180" ht="15" customHeight="1">
      <c r="A180" t="inlineStr">
        <is>
          <t>A 49831-2025</t>
        </is>
      </c>
      <c r="B180" t="inlineStr">
        <is>
          <t>avverkningsanmälan</t>
        </is>
      </c>
      <c r="C180" t="inlineStr">
        <is>
          <t>Föryngringsavverkning</t>
        </is>
      </c>
      <c r="D180" s="1" t="n">
        <v>45940</v>
      </c>
      <c r="E180" s="1" t="n">
        <v>46312</v>
      </c>
      <c r="F180" t="inlineStr">
        <is>
          <t>SKÅNE LÄN</t>
        </is>
      </c>
      <c r="G180" t="inlineStr">
        <is>
          <t>KRISTIANSTAD</t>
        </is>
      </c>
      <c r="I180" t="n">
        <v>21.5</v>
      </c>
      <c r="J180" t="n">
        <v>4</v>
      </c>
      <c r="K180" t="n">
        <v>0</v>
      </c>
      <c r="L180" t="n">
        <v>1</v>
      </c>
      <c r="M180" t="n">
        <v>0</v>
      </c>
      <c r="N180" t="n">
        <v>0</v>
      </c>
      <c r="O180" t="n">
        <v>0</v>
      </c>
      <c r="P180" t="n">
        <v>0</v>
      </c>
      <c r="Q180" t="n">
        <v>1</v>
      </c>
      <c r="R180" t="n">
        <v>0</v>
      </c>
      <c r="S180" t="n">
        <v>4</v>
      </c>
      <c r="T180" t="n">
        <v>10</v>
      </c>
      <c r="U180" t="n">
        <v>10</v>
      </c>
      <c r="V180" s="2" t="inlineStr">
        <is>
          <t>Entita
Spillkråka
Gröngöling
Kungsfågel</t>
        </is>
      </c>
      <c r="W180">
        <f>HYPERLINK("https://klasma.github.io/Logging_1290/artfynd/A 49831-2025 artfynd.xlsx", "A 49831-2025")</f>
        <v/>
      </c>
      <c r="X180">
        <f>HYPERLINK("https://klasma.github.io/Logging_1290/kartor/A 49831-2025 karta.png", "A 49831-2025")</f>
        <v/>
      </c>
      <c r="Y180">
        <f>HYPERLINK("https://klasma.github.io/Logging_1290/kartor_geotiff/A 49831-2025 georefererad karta.tif", "A 49831-2025")</f>
        <v/>
      </c>
      <c r="AA180">
        <f>HYPERLINK("https://klasma.github.io/Logging_1290/klagomål/A 49831-2025 FSC-klagomål.docx", "A 49831-2025")</f>
        <v/>
      </c>
      <c r="AB180">
        <f>HYPERLINK("https://klasma.github.io/Logging_1290/klagomålsmail/A 49831-2025 FSC-klagomål mail.docx", "A 49831-2025")</f>
        <v/>
      </c>
      <c r="AC180">
        <f>HYPERLINK("https://klasma.github.io/Logging_1290/tillsyn/A 49831-2025 tillsynsbegäran.docx", "A 49831-2025")</f>
        <v/>
      </c>
      <c r="AD180">
        <f>HYPERLINK("https://klasma.github.io/Logging_1290/tillsynsmail/A 49831-2025 tillsynsbegäran mail.docx", "A 49831-2025")</f>
        <v/>
      </c>
      <c r="AE180">
        <f>HYPERLINK("https://klasma.github.io/Logging_1290/fåglar/A 49831-2025 prioriterade fågelarter.docx", "A 49831-2025")</f>
        <v/>
      </c>
    </row>
    <row r="181" ht="15" customHeight="1">
      <c r="A181" t="inlineStr">
        <is>
          <t>A 28093-2025</t>
        </is>
      </c>
      <c r="B181" t="inlineStr">
        <is>
          <t>avverkningsanmälan</t>
        </is>
      </c>
      <c r="C181" t="inlineStr">
        <is>
          <t>Föryngringsavverkning</t>
        </is>
      </c>
      <c r="D181" s="1" t="n">
        <v>45817</v>
      </c>
      <c r="E181" s="1" t="n">
        <v>46312</v>
      </c>
      <c r="F181" t="inlineStr">
        <is>
          <t>SKÅNE LÄN</t>
        </is>
      </c>
      <c r="G181" t="inlineStr">
        <is>
          <t>ESLÖV</t>
        </is>
      </c>
      <c r="I181" t="n">
        <v>10.2</v>
      </c>
      <c r="J181" t="n">
        <v>3</v>
      </c>
      <c r="K181" t="n">
        <v>0</v>
      </c>
      <c r="L181" t="n">
        <v>0</v>
      </c>
      <c r="M181" t="n">
        <v>2</v>
      </c>
      <c r="N181" t="n">
        <v>0</v>
      </c>
      <c r="O181" t="n">
        <v>0</v>
      </c>
      <c r="P181" t="n">
        <v>0</v>
      </c>
      <c r="Q181" t="n">
        <v>2</v>
      </c>
      <c r="R181" t="n">
        <v>2</v>
      </c>
      <c r="S181" t="n">
        <v>4</v>
      </c>
      <c r="T181" t="n">
        <v>4</v>
      </c>
      <c r="U181" t="n">
        <v>2</v>
      </c>
      <c r="V181" s="2" t="inlineStr">
        <is>
          <t>Grönfink
Revig blodrot
Spillkråka
Kungsfågel</t>
        </is>
      </c>
      <c r="W181">
        <f>HYPERLINK("https://klasma.github.io/Logging_1285/artfynd/A 28093-2025 artfynd.xlsx", "A 28093-2025")</f>
        <v/>
      </c>
      <c r="X181">
        <f>HYPERLINK("https://klasma.github.io/Logging_1285/kartor/A 28093-2025 karta.png", "A 28093-2025")</f>
        <v/>
      </c>
      <c r="Y181">
        <f>HYPERLINK("https://klasma.github.io/Logging_1285/kartor_geotiff/A 28093-2025 georefererad karta.tif", "A 28093-2025")</f>
        <v/>
      </c>
      <c r="AA181">
        <f>HYPERLINK("https://klasma.github.io/Logging_1285/klagomål/A 28093-2025 FSC-klagomål.docx", "A 28093-2025")</f>
        <v/>
      </c>
      <c r="AB181">
        <f>HYPERLINK("https://klasma.github.io/Logging_1285/klagomålsmail/A 28093-2025 FSC-klagomål mail.docx", "A 28093-2025")</f>
        <v/>
      </c>
      <c r="AC181">
        <f>HYPERLINK("https://klasma.github.io/Logging_1285/tillsyn/A 28093-2025 tillsynsbegäran.docx", "A 28093-2025")</f>
        <v/>
      </c>
      <c r="AD181">
        <f>HYPERLINK("https://klasma.github.io/Logging_1285/tillsynsmail/A 28093-2025 tillsynsbegäran mail.docx", "A 28093-2025")</f>
        <v/>
      </c>
      <c r="AE181">
        <f>HYPERLINK("https://klasma.github.io/Logging_1285/fåglar/A 28093-2025 prioriterade fågelarter.docx", "A 28093-2025")</f>
        <v/>
      </c>
    </row>
    <row r="182" ht="15" customHeight="1">
      <c r="A182" t="inlineStr">
        <is>
          <t>A 30451-2025</t>
        </is>
      </c>
      <c r="B182" t="inlineStr">
        <is>
          <t>avverkningsanmälan</t>
        </is>
      </c>
      <c r="C182" t="inlineStr">
        <is>
          <t>Föryngringsavverkning</t>
        </is>
      </c>
      <c r="D182" s="1" t="n">
        <v>45827</v>
      </c>
      <c r="E182" s="1" t="n">
        <v>46312</v>
      </c>
      <c r="F182" t="inlineStr">
        <is>
          <t>SKÅNE LÄN</t>
        </is>
      </c>
      <c r="G182" t="inlineStr">
        <is>
          <t>SJÖBO</t>
        </is>
      </c>
      <c r="I182" t="n">
        <v>2.1</v>
      </c>
      <c r="J182" t="n">
        <v>1</v>
      </c>
      <c r="K182" t="n">
        <v>0</v>
      </c>
      <c r="L182" t="n">
        <v>3</v>
      </c>
      <c r="M182" t="n">
        <v>0</v>
      </c>
      <c r="N182" t="n">
        <v>0</v>
      </c>
      <c r="O182" t="n">
        <v>0</v>
      </c>
      <c r="P182" t="n">
        <v>0</v>
      </c>
      <c r="Q182" t="n">
        <v>3</v>
      </c>
      <c r="R182" t="n">
        <v>0</v>
      </c>
      <c r="S182" t="n">
        <v>4</v>
      </c>
      <c r="T182" t="n">
        <v>4</v>
      </c>
      <c r="U182" t="n">
        <v>1</v>
      </c>
      <c r="V182" s="2" t="inlineStr">
        <is>
          <t>Bokstumpbagge
Gråbandad trägnagare
Skogsveronika
Vanlig snok</t>
        </is>
      </c>
      <c r="W182">
        <f>HYPERLINK("https://klasma.github.io/Logging_1265/artfynd/A 30451-2025 artfynd.xlsx", "A 30451-2025")</f>
        <v/>
      </c>
      <c r="X182">
        <f>HYPERLINK("https://klasma.github.io/Logging_1265/kartor/A 30451-2025 karta.png", "A 30451-2025")</f>
        <v/>
      </c>
      <c r="Y182">
        <f>HYPERLINK("https://klasma.github.io/Logging_1265/kartor_geotiff/A 30451-2025 georefererad karta.tif", "A 30451-2025")</f>
        <v/>
      </c>
      <c r="AA182">
        <f>HYPERLINK("https://klasma.github.io/Logging_1265/klagomål/A 30451-2025 FSC-klagomål.docx", "A 30451-2025")</f>
        <v/>
      </c>
      <c r="AB182">
        <f>HYPERLINK("https://klasma.github.io/Logging_1265/klagomålsmail/A 30451-2025 FSC-klagomål mail.docx", "A 30451-2025")</f>
        <v/>
      </c>
      <c r="AC182">
        <f>HYPERLINK("https://klasma.github.io/Logging_1265/tillsyn/A 30451-2025 tillsynsbegäran.docx", "A 30451-2025")</f>
        <v/>
      </c>
      <c r="AD182">
        <f>HYPERLINK("https://klasma.github.io/Logging_1265/tillsynsmail/A 30451-2025 tillsynsbegäran mail.docx", "A 30451-2025")</f>
        <v/>
      </c>
    </row>
    <row r="183" ht="15" customHeight="1">
      <c r="A183" t="inlineStr">
        <is>
          <t>A 42062-2024</t>
        </is>
      </c>
      <c r="B183" t="inlineStr">
        <is>
          <t>avverkningsanmälan</t>
        </is>
      </c>
      <c r="C183" t="inlineStr">
        <is>
          <t>Föryngringsavverkning</t>
        </is>
      </c>
      <c r="D183" s="1" t="n">
        <v>45561</v>
      </c>
      <c r="E183" s="1" t="n">
        <v>46312</v>
      </c>
      <c r="F183" t="inlineStr">
        <is>
          <t>SKÅNE LÄN</t>
        </is>
      </c>
      <c r="G183" t="inlineStr">
        <is>
          <t>BROMÖLLA</t>
        </is>
      </c>
      <c r="I183" t="n">
        <v>12.2</v>
      </c>
      <c r="J183" t="n">
        <v>0</v>
      </c>
      <c r="K183" t="n">
        <v>4</v>
      </c>
      <c r="L183" t="n">
        <v>0</v>
      </c>
      <c r="M183" t="n">
        <v>0</v>
      </c>
      <c r="N183" t="n">
        <v>0</v>
      </c>
      <c r="O183" t="n">
        <v>0</v>
      </c>
      <c r="P183" t="n">
        <v>0</v>
      </c>
      <c r="Q183" t="n">
        <v>0</v>
      </c>
      <c r="R183" t="n">
        <v>0</v>
      </c>
      <c r="S183" t="n">
        <v>4</v>
      </c>
      <c r="T183" t="n">
        <v>11</v>
      </c>
      <c r="U183" t="n">
        <v>11</v>
      </c>
      <c r="V183" s="2" t="inlineStr">
        <is>
          <t>Ekskinn
Havstulpanlav
Rostfläck
Västlig hakmossa</t>
        </is>
      </c>
      <c r="W183">
        <f>HYPERLINK("https://klasma.github.io/Logging_1272/artfynd/A 42062-2024 artfynd.xlsx", "A 42062-2024")</f>
        <v/>
      </c>
      <c r="X183">
        <f>HYPERLINK("https://klasma.github.io/Logging_1272/kartor/A 42062-2024 karta.png", "A 42062-2024")</f>
        <v/>
      </c>
      <c r="Y183">
        <f>HYPERLINK("https://klasma.github.io/Logging_1272/kartor_geotiff/A 42062-2024 georefererad karta.tif", "A 42062-2024")</f>
        <v/>
      </c>
      <c r="AA183">
        <f>HYPERLINK("https://klasma.github.io/Logging_1272/klagomål/A 42062-2024 FSC-klagomål.docx", "A 42062-2024")</f>
        <v/>
      </c>
      <c r="AB183">
        <f>HYPERLINK("https://klasma.github.io/Logging_1272/klagomålsmail/A 42062-2024 FSC-klagomål mail.docx", "A 42062-2024")</f>
        <v/>
      </c>
      <c r="AC183">
        <f>HYPERLINK("https://klasma.github.io/Logging_1272/tillsyn/A 42062-2024 tillsynsbegäran.docx", "A 42062-2024")</f>
        <v/>
      </c>
      <c r="AD183">
        <f>HYPERLINK("https://klasma.github.io/Logging_1272/tillsynsmail/A 42062-2024 tillsynsbegäran mail.docx", "A 42062-2024")</f>
        <v/>
      </c>
    </row>
    <row r="184" ht="15" customHeight="1">
      <c r="A184" t="inlineStr">
        <is>
          <t>A 4816-2025</t>
        </is>
      </c>
      <c r="B184" t="inlineStr">
        <is>
          <t>avverkningsanmälan</t>
        </is>
      </c>
      <c r="C184" t="inlineStr">
        <is>
          <t>Föryngringsavverkning</t>
        </is>
      </c>
      <c r="D184" s="1" t="n">
        <v>45688</v>
      </c>
      <c r="E184" s="1" t="n">
        <v>46312</v>
      </c>
      <c r="F184" t="inlineStr">
        <is>
          <t>SKÅNE LÄN</t>
        </is>
      </c>
      <c r="G184" t="inlineStr">
        <is>
          <t>LUND</t>
        </is>
      </c>
      <c r="I184" t="n">
        <v>7.7</v>
      </c>
      <c r="J184" t="n">
        <v>0</v>
      </c>
      <c r="K184" t="n">
        <v>2</v>
      </c>
      <c r="L184" t="n">
        <v>1</v>
      </c>
      <c r="M184" t="n">
        <v>0</v>
      </c>
      <c r="N184" t="n">
        <v>1</v>
      </c>
      <c r="O184" t="n">
        <v>0</v>
      </c>
      <c r="P184" t="n">
        <v>0</v>
      </c>
      <c r="Q184" t="n">
        <v>2</v>
      </c>
      <c r="R184" t="n">
        <v>1</v>
      </c>
      <c r="S184" t="n">
        <v>4</v>
      </c>
      <c r="T184" t="n">
        <v>7</v>
      </c>
      <c r="U184" t="n">
        <v>3</v>
      </c>
      <c r="V184" s="2" t="inlineStr">
        <is>
          <t>Skogsalm
Sydlig sotticka
Guldlockmossa
Strutbräken</t>
        </is>
      </c>
      <c r="W184">
        <f>HYPERLINK("https://klasma.github.io/Logging_1281/artfynd/A 4816-2025 artfynd.xlsx", "A 4816-2025")</f>
        <v/>
      </c>
      <c r="X184">
        <f>HYPERLINK("https://klasma.github.io/Logging_1281/kartor/A 4816-2025 karta.png", "A 4816-2025")</f>
        <v/>
      </c>
      <c r="Y184">
        <f>HYPERLINK("https://klasma.github.io/Logging_1281/kartor_geotiff/A 4816-2025 georefererad karta.tif", "A 4816-2025")</f>
        <v/>
      </c>
      <c r="AA184">
        <f>HYPERLINK("https://klasma.github.io/Logging_1281/klagomål/A 4816-2025 FSC-klagomål.docx", "A 4816-2025")</f>
        <v/>
      </c>
      <c r="AB184">
        <f>HYPERLINK("https://klasma.github.io/Logging_1281/klagomålsmail/A 4816-2025 FSC-klagomål mail.docx", "A 4816-2025")</f>
        <v/>
      </c>
      <c r="AC184">
        <f>HYPERLINK("https://klasma.github.io/Logging_1281/tillsyn/A 4816-2025 tillsynsbegäran.docx", "A 4816-2025")</f>
        <v/>
      </c>
      <c r="AD184">
        <f>HYPERLINK("https://klasma.github.io/Logging_1281/tillsynsmail/A 4816-2025 tillsynsbegäran mail.docx", "A 4816-2025")</f>
        <v/>
      </c>
    </row>
    <row r="185" ht="15" customHeight="1">
      <c r="A185" t="inlineStr">
        <is>
          <t>S 1255-2023</t>
        </is>
      </c>
      <c r="B185" t="inlineStr">
        <is>
          <t>samrådsanmälan</t>
        </is>
      </c>
      <c r="C185" t="inlineStr">
        <is>
          <t>Askåterföring</t>
        </is>
      </c>
      <c r="D185" s="1" t="n">
        <v>45028</v>
      </c>
      <c r="E185" s="1" t="n">
        <v>46312</v>
      </c>
      <c r="F185" t="inlineStr">
        <is>
          <t>SKÅNE LÄN</t>
        </is>
      </c>
      <c r="G185" t="inlineStr">
        <is>
          <t>HÄSSLEHOLM</t>
        </is>
      </c>
      <c r="I185" t="n">
        <v>11.3</v>
      </c>
      <c r="J185" t="n">
        <v>2</v>
      </c>
      <c r="K185" t="n">
        <v>2</v>
      </c>
      <c r="L185" t="n">
        <v>0</v>
      </c>
      <c r="M185" t="n">
        <v>0</v>
      </c>
      <c r="N185" t="n">
        <v>0</v>
      </c>
      <c r="O185" t="n">
        <v>0</v>
      </c>
      <c r="P185" t="n">
        <v>0</v>
      </c>
      <c r="Q185" t="n">
        <v>0</v>
      </c>
      <c r="R185" t="n">
        <v>0</v>
      </c>
      <c r="S185" t="n">
        <v>4</v>
      </c>
      <c r="T185" t="n">
        <v>4</v>
      </c>
      <c r="U185" t="n">
        <v>0</v>
      </c>
      <c r="V185" s="2" t="inlineStr">
        <is>
          <t>Kambräken
Västlig hakmossa
Vanlig groda
Revlummer</t>
        </is>
      </c>
      <c r="W185">
        <f>HYPERLINK("https://klasma.github.io/Logging_1293/artfynd/S 1255-2023 artfynd.xlsx", "S 1255-2023")</f>
        <v/>
      </c>
      <c r="X185">
        <f>HYPERLINK("https://klasma.github.io/Logging_1293/kartor/S 1255-2023 karta.png", "S 1255-2023")</f>
        <v/>
      </c>
      <c r="Y185">
        <f>HYPERLINK("https://klasma.github.io/Logging_1293/kartor_geotiff/S 1255-2023 georefererad karta.tif", "S 1255-2023")</f>
        <v/>
      </c>
      <c r="AA185">
        <f>HYPERLINK("https://klasma.github.io/Logging_1293/klagomål/S 1255-2023 FSC-klagomål.docx", "S 1255-2023")</f>
        <v/>
      </c>
      <c r="AB185">
        <f>HYPERLINK("https://klasma.github.io/Logging_1293/klagomålsmail/S 1255-2023 FSC-klagomål mail.docx", "S 1255-2023")</f>
        <v/>
      </c>
      <c r="AC185">
        <f>HYPERLINK("https://klasma.github.io/Logging_1293/tillsyn/S 1255-2023 tillsynsbegäran.docx", "S 1255-2023")</f>
        <v/>
      </c>
      <c r="AD185">
        <f>HYPERLINK("https://klasma.github.io/Logging_1293/tillsynsmail/S 1255-2023 tillsynsbegäran mail.docx", "S 1255-2023")</f>
        <v/>
      </c>
    </row>
    <row r="186" ht="15" customHeight="1">
      <c r="A186" t="inlineStr">
        <is>
          <t>S 3447-2023</t>
        </is>
      </c>
      <c r="B186" t="inlineStr">
        <is>
          <t>samrådsanmälan</t>
        </is>
      </c>
      <c r="C186" t="inlineStr">
        <is>
          <t>Askåterföring</t>
        </is>
      </c>
      <c r="D186" s="1" t="n">
        <v>45202</v>
      </c>
      <c r="E186" s="1" t="n">
        <v>46312</v>
      </c>
      <c r="F186" t="inlineStr">
        <is>
          <t>SKÅNE LÄN</t>
        </is>
      </c>
      <c r="G186" t="inlineStr">
        <is>
          <t>KRISTIANSTAD</t>
        </is>
      </c>
      <c r="I186" t="n">
        <v>59.6</v>
      </c>
      <c r="J186" t="n">
        <v>2</v>
      </c>
      <c r="K186" t="n">
        <v>1</v>
      </c>
      <c r="L186" t="n">
        <v>0</v>
      </c>
      <c r="M186" t="n">
        <v>1</v>
      </c>
      <c r="N186" t="n">
        <v>0</v>
      </c>
      <c r="O186" t="n">
        <v>0</v>
      </c>
      <c r="P186" t="n">
        <v>0</v>
      </c>
      <c r="Q186" t="n">
        <v>1</v>
      </c>
      <c r="R186" t="n">
        <v>1</v>
      </c>
      <c r="S186" t="n">
        <v>4</v>
      </c>
      <c r="T186" t="n">
        <v>5</v>
      </c>
      <c r="U186" t="n">
        <v>3</v>
      </c>
      <c r="V186" s="2" t="inlineStr">
        <is>
          <t>Småvänderot
Kambräken
Gullviva
Revlummer</t>
        </is>
      </c>
      <c r="W186">
        <f>HYPERLINK("https://klasma.github.io/Logging_1290/artfynd/S 3447-2023 artfynd.xlsx", "S 3447-2023")</f>
        <v/>
      </c>
      <c r="X186">
        <f>HYPERLINK("https://klasma.github.io/Logging_1290/kartor/S 3447-2023 karta.png", "S 3447-2023")</f>
        <v/>
      </c>
      <c r="Y186">
        <f>HYPERLINK("https://klasma.github.io/Logging_1290/kartor_geotiff/S 3447-2023 georefererad karta.tif", "S 3447-2023")</f>
        <v/>
      </c>
      <c r="AA186">
        <f>HYPERLINK("https://klasma.github.io/Logging_1290/klagomål/S 3447-2023 FSC-klagomål.docx", "S 3447-2023")</f>
        <v/>
      </c>
      <c r="AB186">
        <f>HYPERLINK("https://klasma.github.io/Logging_1290/klagomålsmail/S 3447-2023 FSC-klagomål mail.docx", "S 3447-2023")</f>
        <v/>
      </c>
      <c r="AC186">
        <f>HYPERLINK("https://klasma.github.io/Logging_1290/tillsyn/S 3447-2023 tillsynsbegäran.docx", "S 3447-2023")</f>
        <v/>
      </c>
      <c r="AD186">
        <f>HYPERLINK("https://klasma.github.io/Logging_1290/tillsynsmail/S 3447-2023 tillsynsbegäran mail.docx", "S 3447-2023")</f>
        <v/>
      </c>
    </row>
    <row r="187" ht="15" customHeight="1">
      <c r="A187" t="inlineStr">
        <is>
          <t>S 2469-2024</t>
        </is>
      </c>
      <c r="B187" t="inlineStr">
        <is>
          <t>samrådsanmälan</t>
        </is>
      </c>
      <c r="C187" t="inlineStr">
        <is>
          <t>Annan skogsbruksåtgärd</t>
        </is>
      </c>
      <c r="D187" s="1" t="n">
        <v>45470</v>
      </c>
      <c r="E187" s="1" t="n">
        <v>46312</v>
      </c>
      <c r="F187" t="inlineStr">
        <is>
          <t>SKÅNE LÄN</t>
        </is>
      </c>
      <c r="G187" t="inlineStr">
        <is>
          <t>KRISTIANSTAD</t>
        </is>
      </c>
      <c r="I187" t="n">
        <v>6.8</v>
      </c>
      <c r="J187" t="n">
        <v>0</v>
      </c>
      <c r="K187" t="n">
        <v>2</v>
      </c>
      <c r="L187" t="n">
        <v>1</v>
      </c>
      <c r="M187" t="n">
        <v>0</v>
      </c>
      <c r="N187" t="n">
        <v>0</v>
      </c>
      <c r="O187" t="n">
        <v>0</v>
      </c>
      <c r="P187" t="n">
        <v>0</v>
      </c>
      <c r="Q187" t="n">
        <v>1</v>
      </c>
      <c r="R187" t="n">
        <v>0</v>
      </c>
      <c r="S187" t="n">
        <v>4</v>
      </c>
      <c r="T187" t="n">
        <v>6</v>
      </c>
      <c r="U187" t="n">
        <v>4</v>
      </c>
      <c r="V187" s="2" t="inlineStr">
        <is>
          <t>Dvärgbägarlav
Havstulpanlav
Rostfläck
Glansfläck</t>
        </is>
      </c>
      <c r="W187">
        <f>HYPERLINK("https://klasma.github.io/Logging_1290/artfynd/S 2469-2024 artfynd.xlsx", "S 2469-2024")</f>
        <v/>
      </c>
      <c r="X187">
        <f>HYPERLINK("https://klasma.github.io/Logging_1290/kartor/S 2469-2024 karta.png", "S 2469-2024")</f>
        <v/>
      </c>
      <c r="Y187">
        <f>HYPERLINK("https://klasma.github.io/Logging_1290/kartor_geotiff/S 2469-2024 georefererad karta.tif", "S 2469-2024")</f>
        <v/>
      </c>
      <c r="AA187">
        <f>HYPERLINK("https://klasma.github.io/Logging_1290/klagomål/S 2469-2024 FSC-klagomål.docx", "S 2469-2024")</f>
        <v/>
      </c>
      <c r="AB187">
        <f>HYPERLINK("https://klasma.github.io/Logging_1290/klagomålsmail/S 2469-2024 FSC-klagomål mail.docx", "S 2469-2024")</f>
        <v/>
      </c>
      <c r="AC187">
        <f>HYPERLINK("https://klasma.github.io/Logging_1290/tillsyn/S 2469-2024 tillsynsbegäran.docx", "S 2469-2024")</f>
        <v/>
      </c>
      <c r="AD187">
        <f>HYPERLINK("https://klasma.github.io/Logging_1290/tillsynsmail/S 2469-2024 tillsynsbegäran mail.docx", "S 2469-2024")</f>
        <v/>
      </c>
    </row>
    <row r="188" ht="15" customHeight="1">
      <c r="A188" t="inlineStr">
        <is>
          <t>S 449-2022</t>
        </is>
      </c>
      <c r="B188" t="inlineStr">
        <is>
          <t>samrådsanmälan</t>
        </is>
      </c>
      <c r="C188" t="inlineStr">
        <is>
          <t>Åtgärd i nyckelbiotop</t>
        </is>
      </c>
      <c r="D188" s="1" t="n">
        <v>44586</v>
      </c>
      <c r="E188" s="1" t="n">
        <v>46312</v>
      </c>
      <c r="F188" t="inlineStr">
        <is>
          <t>SKÅNE LÄN</t>
        </is>
      </c>
      <c r="G188" t="inlineStr">
        <is>
          <t>ÖSTRA GÖINGE</t>
        </is>
      </c>
      <c r="I188" t="n">
        <v>1.8</v>
      </c>
      <c r="J188" t="n">
        <v>0</v>
      </c>
      <c r="K188" t="n">
        <v>3</v>
      </c>
      <c r="L188" t="n">
        <v>1</v>
      </c>
      <c r="M188" t="n">
        <v>0</v>
      </c>
      <c r="N188" t="n">
        <v>0</v>
      </c>
      <c r="O188" t="n">
        <v>0</v>
      </c>
      <c r="P188" t="n">
        <v>0</v>
      </c>
      <c r="Q188" t="n">
        <v>1</v>
      </c>
      <c r="R188" t="n">
        <v>0</v>
      </c>
      <c r="S188" t="n">
        <v>4</v>
      </c>
      <c r="T188" t="n">
        <v>4</v>
      </c>
      <c r="U188" t="n">
        <v>1</v>
      </c>
      <c r="V188" s="2" t="inlineStr">
        <is>
          <t>Liten lundlav
Bokfjädermossa
Gulnål
Stubbspretmossa</t>
        </is>
      </c>
      <c r="W188">
        <f>HYPERLINK("https://klasma.github.io/Logging_1256/artfynd/S 449-2022 artfynd.xlsx", "S 449-2022")</f>
        <v/>
      </c>
      <c r="X188">
        <f>HYPERLINK("https://klasma.github.io/Logging_1256/kartor/S 449-2022 karta.png", "S 449-2022")</f>
        <v/>
      </c>
      <c r="Y188">
        <f>HYPERLINK("https://klasma.github.io/Logging_1256/kartor_geotiff/S 449-2022 georefererad karta.tif", "S 449-2022")</f>
        <v/>
      </c>
      <c r="AA188">
        <f>HYPERLINK("https://klasma.github.io/Logging_1256/klagomål/S 449-2022 FSC-klagomål.docx", "S 449-2022")</f>
        <v/>
      </c>
      <c r="AB188">
        <f>HYPERLINK("https://klasma.github.io/Logging_1256/klagomålsmail/S 449-2022 FSC-klagomål mail.docx", "S 449-2022")</f>
        <v/>
      </c>
      <c r="AC188">
        <f>HYPERLINK("https://klasma.github.io/Logging_1256/tillsyn/S 449-2022 tillsynsbegäran.docx", "S 449-2022")</f>
        <v/>
      </c>
      <c r="AD188">
        <f>HYPERLINK("https://klasma.github.io/Logging_1256/tillsynsmail/S 449-2022 tillsynsbegäran mail.docx", "S 449-2022")</f>
        <v/>
      </c>
    </row>
    <row r="189" ht="15" customHeight="1">
      <c r="A189" t="inlineStr">
        <is>
          <t>S 178-2025</t>
        </is>
      </c>
      <c r="B189" t="inlineStr">
        <is>
          <t>samrådsanmälan</t>
        </is>
      </c>
      <c r="C189" t="inlineStr">
        <is>
          <t>Askåterföring</t>
        </is>
      </c>
      <c r="D189" s="1" t="n">
        <v>45677</v>
      </c>
      <c r="E189" s="1" t="n">
        <v>46312</v>
      </c>
      <c r="F189" t="inlineStr">
        <is>
          <t>SKÅNE LÄN</t>
        </is>
      </c>
      <c r="G189" t="inlineStr">
        <is>
          <t>BROMÖLLA</t>
        </is>
      </c>
      <c r="I189" t="n">
        <v>29.5</v>
      </c>
      <c r="J189" t="n">
        <v>2</v>
      </c>
      <c r="K189" t="n">
        <v>1</v>
      </c>
      <c r="L189" t="n">
        <v>0</v>
      </c>
      <c r="M189" t="n">
        <v>0</v>
      </c>
      <c r="N189" t="n">
        <v>2</v>
      </c>
      <c r="O189" t="n">
        <v>0</v>
      </c>
      <c r="P189" t="n">
        <v>0</v>
      </c>
      <c r="Q189" t="n">
        <v>2</v>
      </c>
      <c r="R189" t="n">
        <v>2</v>
      </c>
      <c r="S189" t="n">
        <v>4</v>
      </c>
      <c r="T189" t="n">
        <v>5</v>
      </c>
      <c r="U189" t="n">
        <v>4</v>
      </c>
      <c r="V189" s="2" t="inlineStr">
        <is>
          <t>Ask
Dvärgjohannesört
Hässleklocka
Revlummer</t>
        </is>
      </c>
      <c r="W189">
        <f>HYPERLINK("https://klasma.github.io/Logging_1272/artfynd/S 178-2025 artfynd.xlsx", "S 178-2025")</f>
        <v/>
      </c>
      <c r="X189">
        <f>HYPERLINK("https://klasma.github.io/Logging_1272/kartor/S 178-2025 karta.png", "S 178-2025")</f>
        <v/>
      </c>
      <c r="Y189">
        <f>HYPERLINK("https://klasma.github.io/Logging_1272/kartor_geotiff/S 178-2025 georefererad karta.tif", "S 178-2025")</f>
        <v/>
      </c>
      <c r="AA189">
        <f>HYPERLINK("https://klasma.github.io/Logging_1272/klagomål/S 178-2025 FSC-klagomål.docx", "S 178-2025")</f>
        <v/>
      </c>
      <c r="AB189">
        <f>HYPERLINK("https://klasma.github.io/Logging_1272/klagomålsmail/S 178-2025 FSC-klagomål mail.docx", "S 178-2025")</f>
        <v/>
      </c>
      <c r="AC189">
        <f>HYPERLINK("https://klasma.github.io/Logging_1272/tillsyn/S 178-2025 tillsynsbegäran.docx", "S 178-2025")</f>
        <v/>
      </c>
      <c r="AD189">
        <f>HYPERLINK("https://klasma.github.io/Logging_1272/tillsynsmail/S 178-2025 tillsynsbegäran mail.docx", "S 178-2025")</f>
        <v/>
      </c>
    </row>
    <row r="190" ht="15" customHeight="1">
      <c r="A190" t="inlineStr">
        <is>
          <t>S 462-2023</t>
        </is>
      </c>
      <c r="B190" t="inlineStr">
        <is>
          <t>samrådsanmälan</t>
        </is>
      </c>
      <c r="C190" t="inlineStr">
        <is>
          <t>Askåterföring</t>
        </is>
      </c>
      <c r="D190" s="1" t="n">
        <v>44964</v>
      </c>
      <c r="E190" s="1" t="n">
        <v>46312</v>
      </c>
      <c r="F190" t="inlineStr">
        <is>
          <t>SKÅNE LÄN</t>
        </is>
      </c>
      <c r="G190" t="inlineStr">
        <is>
          <t>ÖSTRA GÖINGE</t>
        </is>
      </c>
      <c r="I190" t="n">
        <v>45.9</v>
      </c>
      <c r="J190" t="n">
        <v>2</v>
      </c>
      <c r="K190" t="n">
        <v>1</v>
      </c>
      <c r="L190" t="n">
        <v>1</v>
      </c>
      <c r="M190" t="n">
        <v>0</v>
      </c>
      <c r="N190" t="n">
        <v>0</v>
      </c>
      <c r="O190" t="n">
        <v>0</v>
      </c>
      <c r="P190" t="n">
        <v>0</v>
      </c>
      <c r="Q190" t="n">
        <v>1</v>
      </c>
      <c r="R190" t="n">
        <v>0</v>
      </c>
      <c r="S190" t="n">
        <v>4</v>
      </c>
      <c r="T190" t="n">
        <v>4</v>
      </c>
      <c r="U190" t="n">
        <v>1</v>
      </c>
      <c r="V190" s="2" t="inlineStr">
        <is>
          <t>Kandelabersvamp
Brandticka
Vanlig groda
Vanlig padda</t>
        </is>
      </c>
      <c r="W190">
        <f>HYPERLINK("https://klasma.github.io/Logging_1256/artfynd/S 462-2023 artfynd.xlsx", "S 462-2023")</f>
        <v/>
      </c>
      <c r="X190">
        <f>HYPERLINK("https://klasma.github.io/Logging_1256/kartor/S 462-2023 karta.png", "S 462-2023")</f>
        <v/>
      </c>
      <c r="Y190">
        <f>HYPERLINK("https://klasma.github.io/Logging_1256/kartor_geotiff/S 462-2023 georefererad karta.tif", "S 462-2023")</f>
        <v/>
      </c>
      <c r="AA190">
        <f>HYPERLINK("https://klasma.github.io/Logging_1256/klagomål/S 462-2023 FSC-klagomål.docx", "S 462-2023")</f>
        <v/>
      </c>
      <c r="AB190">
        <f>HYPERLINK("https://klasma.github.io/Logging_1256/klagomålsmail/S 462-2023 FSC-klagomål mail.docx", "S 462-2023")</f>
        <v/>
      </c>
      <c r="AC190">
        <f>HYPERLINK("https://klasma.github.io/Logging_1256/tillsyn/S 462-2023 tillsynsbegäran.docx", "S 462-2023")</f>
        <v/>
      </c>
      <c r="AD190">
        <f>HYPERLINK("https://klasma.github.io/Logging_1256/tillsynsmail/S 462-2023 tillsynsbegäran mail.docx", "S 462-2023")</f>
        <v/>
      </c>
    </row>
    <row r="191" ht="15" customHeight="1">
      <c r="A191" t="inlineStr">
        <is>
          <t>S 5090-2024</t>
        </is>
      </c>
      <c r="B191" t="inlineStr">
        <is>
          <t>samrådsanmälan</t>
        </is>
      </c>
      <c r="C191" t="inlineStr">
        <is>
          <t>Askåterföring</t>
        </is>
      </c>
      <c r="D191" s="1" t="n">
        <v>45642</v>
      </c>
      <c r="E191" s="1" t="n">
        <v>46312</v>
      </c>
      <c r="F191" t="inlineStr">
        <is>
          <t>SKÅNE LÄN</t>
        </is>
      </c>
      <c r="G191" t="inlineStr">
        <is>
          <t>HÄSSLEHOLM</t>
        </is>
      </c>
      <c r="I191" t="n">
        <v>27.7</v>
      </c>
      <c r="J191" t="n">
        <v>3</v>
      </c>
      <c r="K191" t="n">
        <v>1</v>
      </c>
      <c r="L191" t="n">
        <v>0</v>
      </c>
      <c r="M191" t="n">
        <v>0</v>
      </c>
      <c r="N191" t="n">
        <v>0</v>
      </c>
      <c r="O191" t="n">
        <v>0</v>
      </c>
      <c r="P191" t="n">
        <v>0</v>
      </c>
      <c r="Q191" t="n">
        <v>0</v>
      </c>
      <c r="R191" t="n">
        <v>0</v>
      </c>
      <c r="S191" t="n">
        <v>4</v>
      </c>
      <c r="T191" t="n">
        <v>6</v>
      </c>
      <c r="U191" t="n">
        <v>0</v>
      </c>
      <c r="V191" s="2" t="inlineStr">
        <is>
          <t>Blåmossa
Vanlig groda
Vanlig padda
Revlummer</t>
        </is>
      </c>
      <c r="W191">
        <f>HYPERLINK("https://klasma.github.io/Logging_1293/artfynd/S 5090-2024 artfynd.xlsx", "S 5090-2024")</f>
        <v/>
      </c>
      <c r="X191">
        <f>HYPERLINK("https://klasma.github.io/Logging_1293/kartor/S 5090-2024 karta.png", "S 5090-2024")</f>
        <v/>
      </c>
      <c r="Y191">
        <f>HYPERLINK("https://klasma.github.io/Logging_1293/kartor_geotiff/S 5090-2024 georefererad karta.tif", "S 5090-2024")</f>
        <v/>
      </c>
      <c r="AA191">
        <f>HYPERLINK("https://klasma.github.io/Logging_1293/klagomål/S 5090-2024 FSC-klagomål.docx", "S 5090-2024")</f>
        <v/>
      </c>
      <c r="AB191">
        <f>HYPERLINK("https://klasma.github.io/Logging_1293/klagomålsmail/S 5090-2024 FSC-klagomål mail.docx", "S 5090-2024")</f>
        <v/>
      </c>
      <c r="AC191">
        <f>HYPERLINK("https://klasma.github.io/Logging_1293/tillsyn/S 5090-2024 tillsynsbegäran.docx", "S 5090-2024")</f>
        <v/>
      </c>
      <c r="AD191">
        <f>HYPERLINK("https://klasma.github.io/Logging_1293/tillsynsmail/S 5090-2024 tillsynsbegäran mail.docx", "S 5090-2024")</f>
        <v/>
      </c>
    </row>
    <row r="192" ht="15" customHeight="1">
      <c r="A192" t="inlineStr">
        <is>
          <t>S 474-2025</t>
        </is>
      </c>
      <c r="B192" t="inlineStr">
        <is>
          <t>samrådsanmälan</t>
        </is>
      </c>
      <c r="C192" t="inlineStr">
        <is>
          <t>Askåterföring</t>
        </is>
      </c>
      <c r="D192" s="1" t="n">
        <v>45702</v>
      </c>
      <c r="E192" s="1" t="n">
        <v>46312</v>
      </c>
      <c r="F192" t="inlineStr">
        <is>
          <t>SKÅNE LÄN</t>
        </is>
      </c>
      <c r="G192" t="inlineStr">
        <is>
          <t>KRISTIANSTAD</t>
        </is>
      </c>
      <c r="I192" t="n">
        <v>72.3</v>
      </c>
      <c r="J192" t="n">
        <v>1</v>
      </c>
      <c r="K192" t="n">
        <v>1</v>
      </c>
      <c r="L192" t="n">
        <v>1</v>
      </c>
      <c r="M192" t="n">
        <v>1</v>
      </c>
      <c r="N192" t="n">
        <v>0</v>
      </c>
      <c r="O192" t="n">
        <v>0</v>
      </c>
      <c r="P192" t="n">
        <v>0</v>
      </c>
      <c r="Q192" t="n">
        <v>2</v>
      </c>
      <c r="R192" t="n">
        <v>1</v>
      </c>
      <c r="S192" t="n">
        <v>4</v>
      </c>
      <c r="T192" t="n">
        <v>4</v>
      </c>
      <c r="U192" t="n">
        <v>3</v>
      </c>
      <c r="V192" s="2" t="inlineStr">
        <is>
          <t>Småvänderot
Kavelhirs
Västlig hakmossa
Gullviva</t>
        </is>
      </c>
      <c r="W192">
        <f>HYPERLINK("https://klasma.github.io/Logging_1290/artfynd/S 474-2025 artfynd.xlsx", "S 474-2025")</f>
        <v/>
      </c>
      <c r="X192">
        <f>HYPERLINK("https://klasma.github.io/Logging_1290/kartor/S 474-2025 karta.png", "S 474-2025")</f>
        <v/>
      </c>
      <c r="Y192">
        <f>HYPERLINK("https://klasma.github.io/Logging_1290/kartor_geotiff/S 474-2025 georefererad karta.tif", "S 474-2025")</f>
        <v/>
      </c>
      <c r="AA192">
        <f>HYPERLINK("https://klasma.github.io/Logging_1290/klagomål/S 474-2025 FSC-klagomål.docx", "S 474-2025")</f>
        <v/>
      </c>
      <c r="AB192">
        <f>HYPERLINK("https://klasma.github.io/Logging_1290/klagomålsmail/S 474-2025 FSC-klagomål mail.docx", "S 474-2025")</f>
        <v/>
      </c>
      <c r="AC192">
        <f>HYPERLINK("https://klasma.github.io/Logging_1290/tillsyn/S 474-2025 tillsynsbegäran.docx", "S 474-2025")</f>
        <v/>
      </c>
      <c r="AD192">
        <f>HYPERLINK("https://klasma.github.io/Logging_1290/tillsynsmail/S 474-2025 tillsynsbegäran mail.docx", "S 474-2025")</f>
        <v/>
      </c>
    </row>
    <row r="193" ht="15" customHeight="1">
      <c r="A193" t="inlineStr">
        <is>
          <t>S 869-2025</t>
        </is>
      </c>
      <c r="B193" t="inlineStr">
        <is>
          <t>samrådsanmälan</t>
        </is>
      </c>
      <c r="C193" t="inlineStr">
        <is>
          <t>Askåterföring</t>
        </is>
      </c>
      <c r="D193" s="1" t="n">
        <v>45734</v>
      </c>
      <c r="E193" s="1" t="n">
        <v>46312</v>
      </c>
      <c r="F193" t="inlineStr">
        <is>
          <t>SKÅNE LÄN</t>
        </is>
      </c>
      <c r="G193" t="inlineStr">
        <is>
          <t>KRISTIANSTAD</t>
        </is>
      </c>
      <c r="I193" t="n">
        <v>145.4</v>
      </c>
      <c r="J193" t="n">
        <v>2</v>
      </c>
      <c r="K193" t="n">
        <v>0</v>
      </c>
      <c r="L193" t="n">
        <v>2</v>
      </c>
      <c r="M193" t="n">
        <v>0</v>
      </c>
      <c r="N193" t="n">
        <v>0</v>
      </c>
      <c r="O193" t="n">
        <v>0</v>
      </c>
      <c r="P193" t="n">
        <v>0</v>
      </c>
      <c r="Q193" t="n">
        <v>2</v>
      </c>
      <c r="R193" t="n">
        <v>0</v>
      </c>
      <c r="S193" t="n">
        <v>4</v>
      </c>
      <c r="T193" t="n">
        <v>4</v>
      </c>
      <c r="U193" t="n">
        <v>0</v>
      </c>
      <c r="V193" s="2" t="inlineStr">
        <is>
          <t>Jungfrulin
Öring
Blåsippa
Havsörn</t>
        </is>
      </c>
      <c r="W193">
        <f>HYPERLINK("https://klasma.github.io/Logging_1290/artfynd/S 869-2025 artfynd.xlsx", "S 869-2025")</f>
        <v/>
      </c>
      <c r="X193">
        <f>HYPERLINK("https://klasma.github.io/Logging_1290/kartor/S 869-2025 karta.png", "S 869-2025")</f>
        <v/>
      </c>
      <c r="Y193">
        <f>HYPERLINK("https://klasma.github.io/Logging_1290/kartor_geotiff/S 869-2025 georefererad karta.tif", "S 869-2025")</f>
        <v/>
      </c>
      <c r="AA193">
        <f>HYPERLINK("https://klasma.github.io/Logging_1290/klagomål/S 869-2025 FSC-klagomål.docx", "S 869-2025")</f>
        <v/>
      </c>
      <c r="AB193">
        <f>HYPERLINK("https://klasma.github.io/Logging_1290/klagomålsmail/S 869-2025 FSC-klagomål mail.docx", "S 869-2025")</f>
        <v/>
      </c>
      <c r="AC193">
        <f>HYPERLINK("https://klasma.github.io/Logging_1290/tillsyn/S 869-2025 tillsynsbegäran.docx", "S 869-2025")</f>
        <v/>
      </c>
      <c r="AD193">
        <f>HYPERLINK("https://klasma.github.io/Logging_1290/tillsynsmail/S 869-2025 tillsynsbegäran mail.docx", "S 869-2025")</f>
        <v/>
      </c>
      <c r="AE193">
        <f>HYPERLINK("https://klasma.github.io/Logging_1290/fåglar/S 869-2025 prioriterade fågelarter.docx", "S 869-2025")</f>
        <v/>
      </c>
    </row>
    <row r="194" ht="15" customHeight="1">
      <c r="A194" t="inlineStr">
        <is>
          <t>S 1578-2025</t>
        </is>
      </c>
      <c r="B194" t="inlineStr">
        <is>
          <t>samrådsanmälan</t>
        </is>
      </c>
      <c r="C194" t="inlineStr">
        <is>
          <t>Annan skogsbruksåtgärd</t>
        </is>
      </c>
      <c r="D194" s="1" t="n">
        <v>45796</v>
      </c>
      <c r="E194" s="1" t="n">
        <v>46312</v>
      </c>
      <c r="F194" t="inlineStr">
        <is>
          <t>SKÅNE LÄN</t>
        </is>
      </c>
      <c r="G194" t="inlineStr">
        <is>
          <t>OSBY</t>
        </is>
      </c>
      <c r="H194" t="inlineStr">
        <is>
          <t>Sveaskog</t>
        </is>
      </c>
      <c r="I194" t="n">
        <v>13.1</v>
      </c>
      <c r="J194" t="n">
        <v>0</v>
      </c>
      <c r="K194" t="n">
        <v>1</v>
      </c>
      <c r="L194" t="n">
        <v>3</v>
      </c>
      <c r="M194" t="n">
        <v>0</v>
      </c>
      <c r="N194" t="n">
        <v>0</v>
      </c>
      <c r="O194" t="n">
        <v>0</v>
      </c>
      <c r="P194" t="n">
        <v>0</v>
      </c>
      <c r="Q194" t="n">
        <v>3</v>
      </c>
      <c r="R194" t="n">
        <v>0</v>
      </c>
      <c r="S194" t="n">
        <v>4</v>
      </c>
      <c r="T194" t="n">
        <v>5</v>
      </c>
      <c r="U194" t="n">
        <v>5</v>
      </c>
      <c r="V194" s="2" t="inlineStr">
        <is>
          <t>Mjukdån
Sommarfibbla
Åkerkulla
Strutbräken</t>
        </is>
      </c>
      <c r="W194">
        <f>HYPERLINK("https://klasma.github.io/Logging_1273/artfynd/S 1578-2025 artfynd.xlsx", "S 1578-2025")</f>
        <v/>
      </c>
      <c r="X194">
        <f>HYPERLINK("https://klasma.github.io/Logging_1273/kartor/S 1578-2025 karta.png", "S 1578-2025")</f>
        <v/>
      </c>
      <c r="Y194">
        <f>HYPERLINK("https://klasma.github.io/Logging_1273/kartor_geotiff/S 1578-2025 georefererad karta.tif", "S 1578-2025")</f>
        <v/>
      </c>
      <c r="AA194">
        <f>HYPERLINK("https://klasma.github.io/Logging_1273/klagomål/S 1578-2025 FSC-klagomål.docx", "S 1578-2025")</f>
        <v/>
      </c>
      <c r="AB194">
        <f>HYPERLINK("https://klasma.github.io/Logging_1273/klagomålsmail/S 1578-2025 FSC-klagomål mail.docx", "S 1578-2025")</f>
        <v/>
      </c>
      <c r="AC194">
        <f>HYPERLINK("https://klasma.github.io/Logging_1273/tillsyn/S 1578-2025 tillsynsbegäran.docx", "S 1578-2025")</f>
        <v/>
      </c>
      <c r="AD194">
        <f>HYPERLINK("https://klasma.github.io/Logging_1273/tillsynsmail/S 1578-2025 tillsynsbegäran mail.docx", "S 1578-2025")</f>
        <v/>
      </c>
    </row>
    <row r="195" ht="15" customHeight="1">
      <c r="A195" t="inlineStr">
        <is>
          <t>S 1236-2025</t>
        </is>
      </c>
      <c r="B195" t="inlineStr">
        <is>
          <t>samrådsanmälan</t>
        </is>
      </c>
      <c r="C195" t="inlineStr">
        <is>
          <t>Askåterföring</t>
        </is>
      </c>
      <c r="D195" s="1" t="n">
        <v>45762</v>
      </c>
      <c r="E195" s="1" t="n">
        <v>46312</v>
      </c>
      <c r="F195" t="inlineStr">
        <is>
          <t>SKÅNE LÄN</t>
        </is>
      </c>
      <c r="G195" t="inlineStr">
        <is>
          <t>SJÖBO</t>
        </is>
      </c>
      <c r="H195" t="inlineStr">
        <is>
          <t>Övriga Aktiebolag</t>
        </is>
      </c>
      <c r="I195" t="n">
        <v>117</v>
      </c>
      <c r="J195" t="n">
        <v>3</v>
      </c>
      <c r="K195" t="n">
        <v>0</v>
      </c>
      <c r="L195" t="n">
        <v>2</v>
      </c>
      <c r="M195" t="n">
        <v>0</v>
      </c>
      <c r="N195" t="n">
        <v>0</v>
      </c>
      <c r="O195" t="n">
        <v>0</v>
      </c>
      <c r="P195" t="n">
        <v>0</v>
      </c>
      <c r="Q195" t="n">
        <v>2</v>
      </c>
      <c r="R195" t="n">
        <v>0</v>
      </c>
      <c r="S195" t="n">
        <v>4</v>
      </c>
      <c r="T195" t="n">
        <v>4</v>
      </c>
      <c r="U195" t="n">
        <v>2</v>
      </c>
      <c r="V195" s="2" t="inlineStr">
        <is>
          <t>Mindre hackspett
Ängsmetallvinge
Större vattensalamander
Grönvit nattviol</t>
        </is>
      </c>
      <c r="W195">
        <f>HYPERLINK("https://klasma.github.io/Logging_1265/artfynd/S 1236-2025 artfynd.xlsx", "S 1236-2025")</f>
        <v/>
      </c>
      <c r="X195">
        <f>HYPERLINK("https://klasma.github.io/Logging_1265/kartor/S 1236-2025 karta.png", "S 1236-2025")</f>
        <v/>
      </c>
      <c r="Y195">
        <f>HYPERLINK("https://klasma.github.io/Logging_1265/kartor_geotiff/S 1236-2025 georefererad karta.tif", "S 1236-2025")</f>
        <v/>
      </c>
      <c r="AA195">
        <f>HYPERLINK("https://klasma.github.io/Logging_1265/klagomål/S 1236-2025 FSC-klagomål.docx", "S 1236-2025")</f>
        <v/>
      </c>
      <c r="AB195">
        <f>HYPERLINK("https://klasma.github.io/Logging_1265/klagomålsmail/S 1236-2025 FSC-klagomål mail.docx", "S 1236-2025")</f>
        <v/>
      </c>
      <c r="AC195">
        <f>HYPERLINK("https://klasma.github.io/Logging_1265/tillsyn/S 1236-2025 tillsynsbegäran.docx", "S 1236-2025")</f>
        <v/>
      </c>
      <c r="AD195">
        <f>HYPERLINK("https://klasma.github.io/Logging_1265/tillsynsmail/S 1236-2025 tillsynsbegäran mail.docx", "S 1236-2025")</f>
        <v/>
      </c>
      <c r="AE195">
        <f>HYPERLINK("https://klasma.github.io/Logging_1265/fåglar/S 1236-2025 prioriterade fågelarter.docx", "S 1236-2025")</f>
        <v/>
      </c>
    </row>
    <row r="196" ht="15" customHeight="1">
      <c r="A196" t="inlineStr">
        <is>
          <t>S 2888-2025</t>
        </is>
      </c>
      <c r="B196" t="inlineStr">
        <is>
          <t>samrådsanmälan</t>
        </is>
      </c>
      <c r="C196" t="inlineStr">
        <is>
          <t>Askåterföring</t>
        </is>
      </c>
      <c r="D196" s="1" t="n">
        <v>45946</v>
      </c>
      <c r="E196" s="1" t="n">
        <v>46312</v>
      </c>
      <c r="F196" t="inlineStr">
        <is>
          <t>SKÅNE LÄN</t>
        </is>
      </c>
      <c r="G196" t="inlineStr">
        <is>
          <t>KRISTIANSTAD</t>
        </is>
      </c>
      <c r="I196" t="n">
        <v>38.2</v>
      </c>
      <c r="J196" t="n">
        <v>0</v>
      </c>
      <c r="K196" t="n">
        <v>2</v>
      </c>
      <c r="L196" t="n">
        <v>2</v>
      </c>
      <c r="M196" t="n">
        <v>0</v>
      </c>
      <c r="N196" t="n">
        <v>0</v>
      </c>
      <c r="O196" t="n">
        <v>0</v>
      </c>
      <c r="P196" t="n">
        <v>0</v>
      </c>
      <c r="Q196" t="n">
        <v>2</v>
      </c>
      <c r="R196" t="n">
        <v>0</v>
      </c>
      <c r="S196" t="n">
        <v>4</v>
      </c>
      <c r="T196" t="n">
        <v>8</v>
      </c>
      <c r="U196" t="n">
        <v>0</v>
      </c>
      <c r="V196" s="2" t="inlineStr">
        <is>
          <t>Bokvårtlav
Sydlig sotticka
Klippfrullania
Platt fjädermossa</t>
        </is>
      </c>
      <c r="W196">
        <f>HYPERLINK("https://klasma.github.io/Logging_1290/artfynd/S 2888-2025 artfynd.xlsx", "S 2888-2025")</f>
        <v/>
      </c>
      <c r="X196">
        <f>HYPERLINK("https://klasma.github.io/Logging_1290/kartor/S 2888-2025 karta.png", "S 2888-2025")</f>
        <v/>
      </c>
      <c r="Y196">
        <f>HYPERLINK("https://klasma.github.io/Logging_1290/kartor_geotiff/S 2888-2025 georefererad karta.tif", "S 2888-2025")</f>
        <v/>
      </c>
      <c r="AA196">
        <f>HYPERLINK("https://klasma.github.io/Logging_1290/klagomål/S 2888-2025 FSC-klagomål.docx", "S 2888-2025")</f>
        <v/>
      </c>
      <c r="AB196">
        <f>HYPERLINK("https://klasma.github.io/Logging_1290/klagomålsmail/S 2888-2025 FSC-klagomål mail.docx", "S 2888-2025")</f>
        <v/>
      </c>
      <c r="AC196">
        <f>HYPERLINK("https://klasma.github.io/Logging_1290/tillsyn/S 2888-2025 tillsynsbegäran.docx", "S 2888-2025")</f>
        <v/>
      </c>
      <c r="AD196">
        <f>HYPERLINK("https://klasma.github.io/Logging_1290/tillsynsmail/S 2888-2025 tillsynsbegäran mail.docx", "S 2888-2025")</f>
        <v/>
      </c>
    </row>
    <row r="197" ht="15" customHeight="1">
      <c r="A197" t="inlineStr">
        <is>
          <t>S 2890-2025</t>
        </is>
      </c>
      <c r="B197" t="inlineStr">
        <is>
          <t>samrådsanmälan</t>
        </is>
      </c>
      <c r="C197" t="inlineStr">
        <is>
          <t>Askåterföring</t>
        </is>
      </c>
      <c r="D197" s="1" t="n">
        <v>45946</v>
      </c>
      <c r="E197" s="1" t="n">
        <v>46312</v>
      </c>
      <c r="F197" t="inlineStr">
        <is>
          <t>SKÅNE LÄN</t>
        </is>
      </c>
      <c r="G197" t="inlineStr">
        <is>
          <t>KRISTIANSTAD</t>
        </is>
      </c>
      <c r="I197" t="n">
        <v>53.7</v>
      </c>
      <c r="J197" t="n">
        <v>0</v>
      </c>
      <c r="K197" t="n">
        <v>1</v>
      </c>
      <c r="L197" t="n">
        <v>2</v>
      </c>
      <c r="M197" t="n">
        <v>1</v>
      </c>
      <c r="N197" t="n">
        <v>0</v>
      </c>
      <c r="O197" t="n">
        <v>0</v>
      </c>
      <c r="P197" t="n">
        <v>0</v>
      </c>
      <c r="Q197" t="n">
        <v>3</v>
      </c>
      <c r="R197" t="n">
        <v>1</v>
      </c>
      <c r="S197" t="n">
        <v>4</v>
      </c>
      <c r="T197" t="n">
        <v>4</v>
      </c>
      <c r="U197" t="n">
        <v>1</v>
      </c>
      <c r="V197" s="2" t="inlineStr">
        <is>
          <t>Småvänderot
Bokvårtlav
Lunglav
Havstulpanlav</t>
        </is>
      </c>
      <c r="W197">
        <f>HYPERLINK("https://klasma.github.io/Logging_1290/artfynd/S 2890-2025 artfynd.xlsx", "S 2890-2025")</f>
        <v/>
      </c>
      <c r="X197">
        <f>HYPERLINK("https://klasma.github.io/Logging_1290/kartor/S 2890-2025 karta.png", "S 2890-2025")</f>
        <v/>
      </c>
      <c r="Y197">
        <f>HYPERLINK("https://klasma.github.io/Logging_1290/kartor_geotiff/S 2890-2025 georefererad karta.tif", "S 2890-2025")</f>
        <v/>
      </c>
      <c r="AA197">
        <f>HYPERLINK("https://klasma.github.io/Logging_1290/klagomål/S 2890-2025 FSC-klagomål.docx", "S 2890-2025")</f>
        <v/>
      </c>
      <c r="AB197">
        <f>HYPERLINK("https://klasma.github.io/Logging_1290/klagomålsmail/S 2890-2025 FSC-klagomål mail.docx", "S 2890-2025")</f>
        <v/>
      </c>
      <c r="AC197">
        <f>HYPERLINK("https://klasma.github.io/Logging_1290/tillsyn/S 2890-2025 tillsynsbegäran.docx", "S 2890-2025")</f>
        <v/>
      </c>
      <c r="AD197">
        <f>HYPERLINK("https://klasma.github.io/Logging_1290/tillsynsmail/S 2890-2025 tillsynsbegäran mail.docx", "S 2890-2025")</f>
        <v/>
      </c>
    </row>
    <row r="198" ht="15" customHeight="1">
      <c r="A198" t="inlineStr">
        <is>
          <t>S 29-2026</t>
        </is>
      </c>
      <c r="B198" t="inlineStr">
        <is>
          <t>samrådsanmälan</t>
        </is>
      </c>
      <c r="C198" t="inlineStr">
        <is>
          <t>Askåterföring</t>
        </is>
      </c>
      <c r="D198" s="1" t="n">
        <v>46030</v>
      </c>
      <c r="E198" s="1" t="n">
        <v>46312</v>
      </c>
      <c r="F198" t="inlineStr">
        <is>
          <t>SKÅNE LÄN</t>
        </is>
      </c>
      <c r="G198" t="inlineStr">
        <is>
          <t>OSBY</t>
        </is>
      </c>
      <c r="I198" t="n">
        <v>20.8</v>
      </c>
      <c r="J198" t="n">
        <v>4</v>
      </c>
      <c r="K198" t="n">
        <v>0</v>
      </c>
      <c r="L198" t="n">
        <v>1</v>
      </c>
      <c r="M198" t="n">
        <v>0</v>
      </c>
      <c r="N198" t="n">
        <v>0</v>
      </c>
      <c r="O198" t="n">
        <v>0</v>
      </c>
      <c r="P198" t="n">
        <v>0</v>
      </c>
      <c r="Q198" t="n">
        <v>1</v>
      </c>
      <c r="R198" t="n">
        <v>0</v>
      </c>
      <c r="S198" t="n">
        <v>4</v>
      </c>
      <c r="T198" t="n">
        <v>4</v>
      </c>
      <c r="U198" t="n">
        <v>0</v>
      </c>
      <c r="V198" s="2" t="inlineStr">
        <is>
          <t>Järnsparv
Gröngöling
Kungsfågel
Svartvit flugsnappare</t>
        </is>
      </c>
      <c r="W198">
        <f>HYPERLINK("https://klasma.github.io/Logging_1273/artfynd/S 29-2026 artfynd.xlsx", "S 29-2026")</f>
        <v/>
      </c>
      <c r="X198">
        <f>HYPERLINK("https://klasma.github.io/Logging_1273/kartor/S 29-2026 karta.png", "S 29-2026")</f>
        <v/>
      </c>
      <c r="Y198">
        <f>HYPERLINK("https://klasma.github.io/Logging_1273/kartor_geotiff/S 29-2026 georefererad karta.tif", "S 29-2026")</f>
        <v/>
      </c>
      <c r="AA198">
        <f>HYPERLINK("https://klasma.github.io/Logging_1273/klagomål/S 29-2026 FSC-klagomål.docx", "S 29-2026")</f>
        <v/>
      </c>
      <c r="AB198">
        <f>HYPERLINK("https://klasma.github.io/Logging_1273/klagomålsmail/S 29-2026 FSC-klagomål mail.docx", "S 29-2026")</f>
        <v/>
      </c>
      <c r="AC198">
        <f>HYPERLINK("https://klasma.github.io/Logging_1273/tillsyn/S 29-2026 tillsynsbegäran.docx", "S 29-2026")</f>
        <v/>
      </c>
      <c r="AD198">
        <f>HYPERLINK("https://klasma.github.io/Logging_1273/tillsynsmail/S 29-2026 tillsynsbegäran mail.docx", "S 29-2026")</f>
        <v/>
      </c>
      <c r="AE198">
        <f>HYPERLINK("https://klasma.github.io/Logging_1273/fåglar/S 29-2026 prioriterade fågelarter.docx", "S 29-2026")</f>
        <v/>
      </c>
    </row>
    <row r="199" ht="15" customHeight="1">
      <c r="A199" t="inlineStr">
        <is>
          <t>S 1129-2026</t>
        </is>
      </c>
      <c r="B199" t="inlineStr">
        <is>
          <t>samrådsanmälan</t>
        </is>
      </c>
      <c r="C199" t="inlineStr">
        <is>
          <t>Askåterföring</t>
        </is>
      </c>
      <c r="D199" s="1" t="n">
        <v>46134</v>
      </c>
      <c r="E199" s="1" t="n">
        <v>46312</v>
      </c>
      <c r="F199" t="inlineStr">
        <is>
          <t>SKÅNE LÄN</t>
        </is>
      </c>
      <c r="G199" t="inlineStr">
        <is>
          <t>OSBY</t>
        </is>
      </c>
      <c r="I199" t="n">
        <v>33.1</v>
      </c>
      <c r="J199" t="n">
        <v>3</v>
      </c>
      <c r="K199" t="n">
        <v>0</v>
      </c>
      <c r="L199" t="n">
        <v>1</v>
      </c>
      <c r="M199" t="n">
        <v>0</v>
      </c>
      <c r="N199" t="n">
        <v>0</v>
      </c>
      <c r="O199" t="n">
        <v>0</v>
      </c>
      <c r="P199" t="n">
        <v>0</v>
      </c>
      <c r="Q199" t="n">
        <v>1</v>
      </c>
      <c r="R199" t="n">
        <v>0</v>
      </c>
      <c r="S199" t="n">
        <v>4</v>
      </c>
      <c r="T199" t="n">
        <v>6</v>
      </c>
      <c r="U199" t="n">
        <v>0</v>
      </c>
      <c r="V199" s="2" t="inlineStr">
        <is>
          <t>Brunag
Huggorm
Vanlig snok
Revlummer</t>
        </is>
      </c>
      <c r="W199">
        <f>HYPERLINK("https://klasma.github.io/Logging_1273/artfynd/S 1129-2026 artfynd.xlsx", "S 1129-2026")</f>
        <v/>
      </c>
      <c r="X199">
        <f>HYPERLINK("https://klasma.github.io/Logging_1273/kartor/S 1129-2026 karta.png", "S 1129-2026")</f>
        <v/>
      </c>
      <c r="Y199">
        <f>HYPERLINK("https://klasma.github.io/Logging_1273/kartor_geotiff/S 1129-2026 georefererad karta.tif", "S 1129-2026")</f>
        <v/>
      </c>
      <c r="AA199">
        <f>HYPERLINK("https://klasma.github.io/Logging_1273/klagomål/S 1129-2026 FSC-klagomål.docx", "S 1129-2026")</f>
        <v/>
      </c>
      <c r="AB199">
        <f>HYPERLINK("https://klasma.github.io/Logging_1273/klagomålsmail/S 1129-2026 FSC-klagomål mail.docx", "S 1129-2026")</f>
        <v/>
      </c>
      <c r="AC199">
        <f>HYPERLINK("https://klasma.github.io/Logging_1273/tillsyn/S 1129-2026 tillsynsbegäran.docx", "S 1129-2026")</f>
        <v/>
      </c>
      <c r="AD199">
        <f>HYPERLINK("https://klasma.github.io/Logging_1273/tillsynsmail/S 1129-2026 tillsynsbegäran mail.docx", "S 1129-2026")</f>
        <v/>
      </c>
    </row>
    <row r="200" ht="15" customHeight="1">
      <c r="A200" t="inlineStr">
        <is>
          <t>S 1127-2026</t>
        </is>
      </c>
      <c r="B200" t="inlineStr">
        <is>
          <t>samrådsanmälan</t>
        </is>
      </c>
      <c r="C200" t="inlineStr">
        <is>
          <t>Askåterföring</t>
        </is>
      </c>
      <c r="D200" s="1" t="n">
        <v>46134</v>
      </c>
      <c r="E200" s="1" t="n">
        <v>46312</v>
      </c>
      <c r="F200" t="inlineStr">
        <is>
          <t>SKÅNE LÄN</t>
        </is>
      </c>
      <c r="G200" t="inlineStr">
        <is>
          <t>OSBY</t>
        </is>
      </c>
      <c r="I200" t="n">
        <v>28.4</v>
      </c>
      <c r="J200" t="n">
        <v>3</v>
      </c>
      <c r="K200" t="n">
        <v>0</v>
      </c>
      <c r="L200" t="n">
        <v>2</v>
      </c>
      <c r="M200" t="n">
        <v>0</v>
      </c>
      <c r="N200" t="n">
        <v>0</v>
      </c>
      <c r="O200" t="n">
        <v>0</v>
      </c>
      <c r="P200" t="n">
        <v>0</v>
      </c>
      <c r="Q200" t="n">
        <v>2</v>
      </c>
      <c r="R200" t="n">
        <v>0</v>
      </c>
      <c r="S200" t="n">
        <v>4</v>
      </c>
      <c r="T200" t="n">
        <v>4</v>
      </c>
      <c r="U200" t="n">
        <v>0</v>
      </c>
      <c r="V200" s="2" t="inlineStr">
        <is>
          <t>Grönsångare
Jungfrulin
Skogsödla
Revlummer</t>
        </is>
      </c>
      <c r="W200">
        <f>HYPERLINK("https://klasma.github.io/Logging_1273/artfynd/S 1127-2026 artfynd.xlsx", "S 1127-2026")</f>
        <v/>
      </c>
      <c r="X200">
        <f>HYPERLINK("https://klasma.github.io/Logging_1273/kartor/S 1127-2026 karta.png", "S 1127-2026")</f>
        <v/>
      </c>
      <c r="Y200">
        <f>HYPERLINK("https://klasma.github.io/Logging_1273/kartor_geotiff/S 1127-2026 georefererad karta.tif", "S 1127-2026")</f>
        <v/>
      </c>
      <c r="AA200">
        <f>HYPERLINK("https://klasma.github.io/Logging_1273/klagomål/S 1127-2026 FSC-klagomål.docx", "S 1127-2026")</f>
        <v/>
      </c>
      <c r="AB200">
        <f>HYPERLINK("https://klasma.github.io/Logging_1273/klagomålsmail/S 1127-2026 FSC-klagomål mail.docx", "S 1127-2026")</f>
        <v/>
      </c>
      <c r="AC200">
        <f>HYPERLINK("https://klasma.github.io/Logging_1273/tillsyn/S 1127-2026 tillsynsbegäran.docx", "S 1127-2026")</f>
        <v/>
      </c>
      <c r="AD200">
        <f>HYPERLINK("https://klasma.github.io/Logging_1273/tillsynsmail/S 1127-2026 tillsynsbegäran mail.docx", "S 1127-2026")</f>
        <v/>
      </c>
      <c r="AE200">
        <f>HYPERLINK("https://klasma.github.io/Logging_1273/fåglar/S 1127-2026 prioriterade fågelarter.docx", "S 1127-2026")</f>
        <v/>
      </c>
    </row>
    <row r="201" ht="15" customHeight="1">
      <c r="A201" t="inlineStr">
        <is>
          <t>S 1314-2026</t>
        </is>
      </c>
      <c r="B201" t="inlineStr">
        <is>
          <t>samrådsanmälan</t>
        </is>
      </c>
      <c r="C201" t="inlineStr">
        <is>
          <t>Askåterföring</t>
        </is>
      </c>
      <c r="D201" s="1" t="n">
        <v>46147</v>
      </c>
      <c r="E201" s="1" t="n">
        <v>46312</v>
      </c>
      <c r="F201" t="inlineStr">
        <is>
          <t>SKÅNE LÄN</t>
        </is>
      </c>
      <c r="G201" t="inlineStr">
        <is>
          <t>KRISTIANSTAD</t>
        </is>
      </c>
      <c r="I201" t="n">
        <v>24.6</v>
      </c>
      <c r="J201" t="n">
        <v>1</v>
      </c>
      <c r="K201" t="n">
        <v>0</v>
      </c>
      <c r="L201" t="n">
        <v>2</v>
      </c>
      <c r="M201" t="n">
        <v>2</v>
      </c>
      <c r="N201" t="n">
        <v>0</v>
      </c>
      <c r="O201" t="n">
        <v>0</v>
      </c>
      <c r="P201" t="n">
        <v>0</v>
      </c>
      <c r="Q201" t="n">
        <v>4</v>
      </c>
      <c r="R201" t="n">
        <v>2</v>
      </c>
      <c r="S201" t="n">
        <v>4</v>
      </c>
      <c r="T201" t="n">
        <v>4</v>
      </c>
      <c r="U201" t="n">
        <v>0</v>
      </c>
      <c r="V201" s="2" t="inlineStr">
        <is>
          <t>Bukspolsnäcka
Tandsnäcka
Gulsparv
Lamellsnäcka</t>
        </is>
      </c>
      <c r="W201">
        <f>HYPERLINK("https://klasma.github.io/Logging_1290/artfynd/S 1314-2026 artfynd.xlsx", "S 1314-2026")</f>
        <v/>
      </c>
      <c r="X201">
        <f>HYPERLINK("https://klasma.github.io/Logging_1290/kartor/S 1314-2026 karta.png", "S 1314-2026")</f>
        <v/>
      </c>
      <c r="Y201">
        <f>HYPERLINK("https://klasma.github.io/Logging_1290/kartor_geotiff/S 1314-2026 georefererad karta.tif", "S 1314-2026")</f>
        <v/>
      </c>
      <c r="AA201">
        <f>HYPERLINK("https://klasma.github.io/Logging_1290/klagomål/S 1314-2026 FSC-klagomål.docx", "S 1314-2026")</f>
        <v/>
      </c>
      <c r="AB201">
        <f>HYPERLINK("https://klasma.github.io/Logging_1290/klagomålsmail/S 1314-2026 FSC-klagomål mail.docx", "S 1314-2026")</f>
        <v/>
      </c>
      <c r="AC201">
        <f>HYPERLINK("https://klasma.github.io/Logging_1290/tillsyn/S 1314-2026 tillsynsbegäran.docx", "S 1314-2026")</f>
        <v/>
      </c>
      <c r="AD201">
        <f>HYPERLINK("https://klasma.github.io/Logging_1290/tillsynsmail/S 1314-2026 tillsynsbegäran mail.docx", "S 1314-2026")</f>
        <v/>
      </c>
      <c r="AE201">
        <f>HYPERLINK("https://klasma.github.io/Logging_1290/fåglar/S 1314-2026 prioriterade fågelarter.docx", "S 1314-2026")</f>
        <v/>
      </c>
    </row>
    <row r="202" ht="15" customHeight="1">
      <c r="A202" t="inlineStr">
        <is>
          <t>A 33364-2023</t>
        </is>
      </c>
      <c r="B202" t="inlineStr">
        <is>
          <t>avverkningsanmälan</t>
        </is>
      </c>
      <c r="C202" t="inlineStr">
        <is>
          <t>Föryngringsavverkning</t>
        </is>
      </c>
      <c r="D202" s="1" t="n">
        <v>45128</v>
      </c>
      <c r="E202" s="1" t="n">
        <v>46312</v>
      </c>
      <c r="F202" t="inlineStr">
        <is>
          <t>SKÅNE LÄN</t>
        </is>
      </c>
      <c r="G202" t="inlineStr">
        <is>
          <t>KRISTIANSTAD</t>
        </is>
      </c>
      <c r="I202" t="n">
        <v>4.9</v>
      </c>
      <c r="J202" t="n">
        <v>2</v>
      </c>
      <c r="K202" t="n">
        <v>1</v>
      </c>
      <c r="L202" t="n">
        <v>0</v>
      </c>
      <c r="M202" t="n">
        <v>0</v>
      </c>
      <c r="N202" t="n">
        <v>0</v>
      </c>
      <c r="O202" t="n">
        <v>0</v>
      </c>
      <c r="P202" t="n">
        <v>0</v>
      </c>
      <c r="Q202" t="n">
        <v>0</v>
      </c>
      <c r="R202" t="n">
        <v>0</v>
      </c>
      <c r="S202" t="n">
        <v>3</v>
      </c>
      <c r="T202" t="n">
        <v>3</v>
      </c>
      <c r="U202" t="n">
        <v>0</v>
      </c>
      <c r="V202" s="2" t="inlineStr">
        <is>
          <t>Västlig hakmossa
Röd glada
Större vattensalamander</t>
        </is>
      </c>
      <c r="W202">
        <f>HYPERLINK("https://klasma.github.io/Logging_1290/artfynd/A 33364-2023 artfynd.xlsx", "A 33364-2023")</f>
        <v/>
      </c>
      <c r="X202">
        <f>HYPERLINK("https://klasma.github.io/Logging_1290/kartor/A 33364-2023 karta.png", "A 33364-2023")</f>
        <v/>
      </c>
      <c r="Y202">
        <f>HYPERLINK("https://klasma.github.io/Logging_1290/kartor_geotiff/A 33364-2023 georefererad karta.tif", "A 33364-2023")</f>
        <v/>
      </c>
      <c r="AA202">
        <f>HYPERLINK("https://klasma.github.io/Logging_1290/klagomål/A 33364-2023 FSC-klagomål.docx", "A 33364-2023")</f>
        <v/>
      </c>
      <c r="AB202">
        <f>HYPERLINK("https://klasma.github.io/Logging_1290/klagomålsmail/A 33364-2023 FSC-klagomål mail.docx", "A 33364-2023")</f>
        <v/>
      </c>
      <c r="AC202">
        <f>HYPERLINK("https://klasma.github.io/Logging_1290/tillsyn/A 33364-2023 tillsynsbegäran.docx", "A 33364-2023")</f>
        <v/>
      </c>
      <c r="AD202">
        <f>HYPERLINK("https://klasma.github.io/Logging_1290/tillsynsmail/A 33364-2023 tillsynsbegäran mail.docx", "A 33364-2023")</f>
        <v/>
      </c>
      <c r="AE202">
        <f>HYPERLINK("https://klasma.github.io/Logging_1290/fåglar/A 33364-2023 prioriterade fågelarter.docx", "A 33364-2023")</f>
        <v/>
      </c>
    </row>
    <row r="203" ht="15" customHeight="1">
      <c r="A203" t="inlineStr">
        <is>
          <t>A 44585-2023</t>
        </is>
      </c>
      <c r="B203" t="inlineStr">
        <is>
          <t>avverkningsanmälan</t>
        </is>
      </c>
      <c r="C203" t="inlineStr">
        <is>
          <t>Föryngringsavverkning</t>
        </is>
      </c>
      <c r="D203" s="1" t="n">
        <v>45189</v>
      </c>
      <c r="E203" s="1" t="n">
        <v>46312</v>
      </c>
      <c r="F203" t="inlineStr">
        <is>
          <t>SKÅNE LÄN</t>
        </is>
      </c>
      <c r="G203" t="inlineStr">
        <is>
          <t>KRISTIANSTAD</t>
        </is>
      </c>
      <c r="I203" t="n">
        <v>1.4</v>
      </c>
      <c r="J203" t="n">
        <v>1</v>
      </c>
      <c r="K203" t="n">
        <v>1</v>
      </c>
      <c r="L203" t="n">
        <v>0</v>
      </c>
      <c r="M203" t="n">
        <v>1</v>
      </c>
      <c r="N203" t="n">
        <v>0</v>
      </c>
      <c r="O203" t="n">
        <v>0</v>
      </c>
      <c r="P203" t="n">
        <v>0</v>
      </c>
      <c r="Q203" t="n">
        <v>1</v>
      </c>
      <c r="R203" t="n">
        <v>1</v>
      </c>
      <c r="S203" t="n">
        <v>3</v>
      </c>
      <c r="T203" t="n">
        <v>3</v>
      </c>
      <c r="U203" t="n">
        <v>3</v>
      </c>
      <c r="V203" s="2" t="inlineStr">
        <is>
          <t>Sydlig gyllenspindling
Piskbaronmossa
Kopparödla</t>
        </is>
      </c>
      <c r="W203">
        <f>HYPERLINK("https://klasma.github.io/Logging_1290/artfynd/A 44585-2023 artfynd.xlsx", "A 44585-2023")</f>
        <v/>
      </c>
      <c r="X203">
        <f>HYPERLINK("https://klasma.github.io/Logging_1290/kartor/A 44585-2023 karta.png", "A 44585-2023")</f>
        <v/>
      </c>
      <c r="Y203">
        <f>HYPERLINK("https://klasma.github.io/Logging_1290/kartor_geotiff/A 44585-2023 georefererad karta.tif", "A 44585-2023")</f>
        <v/>
      </c>
      <c r="AA203">
        <f>HYPERLINK("https://klasma.github.io/Logging_1290/klagomål/A 44585-2023 FSC-klagomål.docx", "A 44585-2023")</f>
        <v/>
      </c>
      <c r="AB203">
        <f>HYPERLINK("https://klasma.github.io/Logging_1290/klagomålsmail/A 44585-2023 FSC-klagomål mail.docx", "A 44585-2023")</f>
        <v/>
      </c>
      <c r="AC203">
        <f>HYPERLINK("https://klasma.github.io/Logging_1290/tillsyn/A 44585-2023 tillsynsbegäran.docx", "A 44585-2023")</f>
        <v/>
      </c>
      <c r="AD203">
        <f>HYPERLINK("https://klasma.github.io/Logging_1290/tillsynsmail/A 44585-2023 tillsynsbegäran mail.docx", "A 44585-2023")</f>
        <v/>
      </c>
    </row>
    <row r="204" ht="15" customHeight="1">
      <c r="A204" t="inlineStr">
        <is>
          <t>A 46256-2024</t>
        </is>
      </c>
      <c r="B204" t="inlineStr">
        <is>
          <t>avverkningsanmälan</t>
        </is>
      </c>
      <c r="C204" t="inlineStr">
        <is>
          <t>Föryngringsavverkning</t>
        </is>
      </c>
      <c r="D204" s="1" t="n">
        <v>45581</v>
      </c>
      <c r="E204" s="1" t="n">
        <v>46312</v>
      </c>
      <c r="F204" t="inlineStr">
        <is>
          <t>SKÅNE LÄN</t>
        </is>
      </c>
      <c r="G204" t="inlineStr">
        <is>
          <t>KLIPPAN</t>
        </is>
      </c>
      <c r="H204" t="inlineStr">
        <is>
          <t>Sveaskog</t>
        </is>
      </c>
      <c r="I204" t="n">
        <v>3.1</v>
      </c>
      <c r="J204" t="n">
        <v>1</v>
      </c>
      <c r="K204" t="n">
        <v>2</v>
      </c>
      <c r="L204" t="n">
        <v>0</v>
      </c>
      <c r="M204" t="n">
        <v>0</v>
      </c>
      <c r="N204" t="n">
        <v>0</v>
      </c>
      <c r="O204" t="n">
        <v>0</v>
      </c>
      <c r="P204" t="n">
        <v>0</v>
      </c>
      <c r="Q204" t="n">
        <v>0</v>
      </c>
      <c r="R204" t="n">
        <v>0</v>
      </c>
      <c r="S204" t="n">
        <v>3</v>
      </c>
      <c r="T204" t="n">
        <v>4</v>
      </c>
      <c r="U204" t="n">
        <v>4</v>
      </c>
      <c r="V204" s="2" t="inlineStr">
        <is>
          <t>Rostfläck
Västlig hakmossa
Spillkråka</t>
        </is>
      </c>
      <c r="W204">
        <f>HYPERLINK("https://klasma.github.io/Logging_1276/artfynd/A 46256-2024 artfynd.xlsx", "A 46256-2024")</f>
        <v/>
      </c>
      <c r="X204">
        <f>HYPERLINK("https://klasma.github.io/Logging_1276/kartor/A 46256-2024 karta.png", "A 46256-2024")</f>
        <v/>
      </c>
      <c r="Y204">
        <f>HYPERLINK("https://klasma.github.io/Logging_1276/kartor_geotiff/A 46256-2024 georefererad karta.tif", "A 46256-2024")</f>
        <v/>
      </c>
      <c r="AA204">
        <f>HYPERLINK("https://klasma.github.io/Logging_1276/klagomål/A 46256-2024 FSC-klagomål.docx", "A 46256-2024")</f>
        <v/>
      </c>
      <c r="AB204">
        <f>HYPERLINK("https://klasma.github.io/Logging_1276/klagomålsmail/A 46256-2024 FSC-klagomål mail.docx", "A 46256-2024")</f>
        <v/>
      </c>
      <c r="AC204">
        <f>HYPERLINK("https://klasma.github.io/Logging_1276/tillsyn/A 46256-2024 tillsynsbegäran.docx", "A 46256-2024")</f>
        <v/>
      </c>
      <c r="AD204">
        <f>HYPERLINK("https://klasma.github.io/Logging_1276/tillsynsmail/A 46256-2024 tillsynsbegäran mail.docx", "A 46256-2024")</f>
        <v/>
      </c>
      <c r="AE204">
        <f>HYPERLINK("https://klasma.github.io/Logging_1276/fåglar/A 46256-2024 prioriterade fågelarter.docx", "A 46256-2024")</f>
        <v/>
      </c>
    </row>
    <row r="205" ht="15" customHeight="1">
      <c r="A205" t="inlineStr">
        <is>
          <t>A 20193-2024</t>
        </is>
      </c>
      <c r="B205" t="inlineStr">
        <is>
          <t>avverkningsanmälan</t>
        </is>
      </c>
      <c r="C205" t="inlineStr">
        <is>
          <t>Föryngringsavverkning</t>
        </is>
      </c>
      <c r="D205" s="1" t="n">
        <v>45434</v>
      </c>
      <c r="E205" s="1" t="n">
        <v>46312</v>
      </c>
      <c r="F205" t="inlineStr">
        <is>
          <t>SKÅNE LÄN</t>
        </is>
      </c>
      <c r="G205" t="inlineStr">
        <is>
          <t>HÖRBY</t>
        </is>
      </c>
      <c r="I205" t="n">
        <v>11.2</v>
      </c>
      <c r="J205" t="n">
        <v>0</v>
      </c>
      <c r="K205" t="n">
        <v>2</v>
      </c>
      <c r="L205" t="n">
        <v>1</v>
      </c>
      <c r="M205" t="n">
        <v>0</v>
      </c>
      <c r="N205" t="n">
        <v>0</v>
      </c>
      <c r="O205" t="n">
        <v>0</v>
      </c>
      <c r="P205" t="n">
        <v>0</v>
      </c>
      <c r="Q205" t="n">
        <v>1</v>
      </c>
      <c r="R205" t="n">
        <v>0</v>
      </c>
      <c r="S205" t="n">
        <v>3</v>
      </c>
      <c r="T205" t="n">
        <v>3</v>
      </c>
      <c r="U205" t="n">
        <v>1</v>
      </c>
      <c r="V205" s="2" t="inlineStr">
        <is>
          <t>Vårärt
Strutbräken
Vätteros</t>
        </is>
      </c>
      <c r="W205">
        <f>HYPERLINK("https://klasma.github.io/Logging_1266/artfynd/A 20193-2024 artfynd.xlsx", "A 20193-2024")</f>
        <v/>
      </c>
      <c r="X205">
        <f>HYPERLINK("https://klasma.github.io/Logging_1266/kartor/A 20193-2024 karta.png", "A 20193-2024")</f>
        <v/>
      </c>
      <c r="Y205">
        <f>HYPERLINK("https://klasma.github.io/Logging_1266/kartor_geotiff/A 20193-2024 georefererad karta.tif", "A 20193-2024")</f>
        <v/>
      </c>
      <c r="AA205">
        <f>HYPERLINK("https://klasma.github.io/Logging_1266/klagomål/A 20193-2024 FSC-klagomål.docx", "A 20193-2024")</f>
        <v/>
      </c>
      <c r="AB205">
        <f>HYPERLINK("https://klasma.github.io/Logging_1266/klagomålsmail/A 20193-2024 FSC-klagomål mail.docx", "A 20193-2024")</f>
        <v/>
      </c>
      <c r="AC205">
        <f>HYPERLINK("https://klasma.github.io/Logging_1266/tillsyn/A 20193-2024 tillsynsbegäran.docx", "A 20193-2024")</f>
        <v/>
      </c>
      <c r="AD205">
        <f>HYPERLINK("https://klasma.github.io/Logging_1266/tillsynsmail/A 20193-2024 tillsynsbegäran mail.docx", "A 20193-2024")</f>
        <v/>
      </c>
    </row>
    <row r="206" ht="15" customHeight="1">
      <c r="A206" t="inlineStr">
        <is>
          <t>A 9290-2025</t>
        </is>
      </c>
      <c r="B206" t="inlineStr">
        <is>
          <t>avverkningsanmälan</t>
        </is>
      </c>
      <c r="C206" t="inlineStr">
        <is>
          <t>Föryngringsavverkning</t>
        </is>
      </c>
      <c r="D206" s="1" t="n">
        <v>45714</v>
      </c>
      <c r="E206" s="1" t="n">
        <v>46312</v>
      </c>
      <c r="F206" t="inlineStr">
        <is>
          <t>SKÅNE LÄN</t>
        </is>
      </c>
      <c r="G206" t="inlineStr">
        <is>
          <t>KRISTIANSTAD</t>
        </is>
      </c>
      <c r="I206" t="n">
        <v>4.6</v>
      </c>
      <c r="J206" t="n">
        <v>1</v>
      </c>
      <c r="K206" t="n">
        <v>2</v>
      </c>
      <c r="L206" t="n">
        <v>0</v>
      </c>
      <c r="M206" t="n">
        <v>0</v>
      </c>
      <c r="N206" t="n">
        <v>0</v>
      </c>
      <c r="O206" t="n">
        <v>0</v>
      </c>
      <c r="P206" t="n">
        <v>0</v>
      </c>
      <c r="Q206" t="n">
        <v>0</v>
      </c>
      <c r="R206" t="n">
        <v>0</v>
      </c>
      <c r="S206" t="n">
        <v>3</v>
      </c>
      <c r="T206" t="n">
        <v>3</v>
      </c>
      <c r="U206" t="n">
        <v>1</v>
      </c>
      <c r="V206" s="2" t="inlineStr">
        <is>
          <t>Grå skärelav
Myskmadra
Kopparödla</t>
        </is>
      </c>
      <c r="W206">
        <f>HYPERLINK("https://klasma.github.io/Logging_1290/artfynd/A 9290-2025 artfynd.xlsx", "A 9290-2025")</f>
        <v/>
      </c>
      <c r="X206">
        <f>HYPERLINK("https://klasma.github.io/Logging_1290/kartor/A 9290-2025 karta.png", "A 9290-2025")</f>
        <v/>
      </c>
      <c r="Y206">
        <f>HYPERLINK("https://klasma.github.io/Logging_1290/kartor_geotiff/A 9290-2025 georefererad karta.tif", "A 9290-2025")</f>
        <v/>
      </c>
      <c r="AA206">
        <f>HYPERLINK("https://klasma.github.io/Logging_1290/klagomål/A 9290-2025 FSC-klagomål.docx", "A 9290-2025")</f>
        <v/>
      </c>
      <c r="AB206">
        <f>HYPERLINK("https://klasma.github.io/Logging_1290/klagomålsmail/A 9290-2025 FSC-klagomål mail.docx", "A 9290-2025")</f>
        <v/>
      </c>
      <c r="AC206">
        <f>HYPERLINK("https://klasma.github.io/Logging_1290/tillsyn/A 9290-2025 tillsynsbegäran.docx", "A 9290-2025")</f>
        <v/>
      </c>
      <c r="AD206">
        <f>HYPERLINK("https://klasma.github.io/Logging_1290/tillsynsmail/A 9290-2025 tillsynsbegäran mail.docx", "A 9290-2025")</f>
        <v/>
      </c>
    </row>
    <row r="207" ht="15" customHeight="1">
      <c r="A207" t="inlineStr">
        <is>
          <t>A 19874-2024</t>
        </is>
      </c>
      <c r="B207" t="inlineStr">
        <is>
          <t>avverkningsanmälan</t>
        </is>
      </c>
      <c r="C207" t="inlineStr">
        <is>
          <t>Föryngringsavverkning</t>
        </is>
      </c>
      <c r="D207" s="1" t="n">
        <v>45433</v>
      </c>
      <c r="E207" s="1" t="n">
        <v>46312</v>
      </c>
      <c r="F207" t="inlineStr">
        <is>
          <t>SKÅNE LÄN</t>
        </is>
      </c>
      <c r="G207" t="inlineStr">
        <is>
          <t>SIMRISHAMN</t>
        </is>
      </c>
      <c r="I207" t="n">
        <v>1.6</v>
      </c>
      <c r="J207" t="n">
        <v>3</v>
      </c>
      <c r="K207" t="n">
        <v>0</v>
      </c>
      <c r="L207" t="n">
        <v>1</v>
      </c>
      <c r="M207" t="n">
        <v>0</v>
      </c>
      <c r="N207" t="n">
        <v>0</v>
      </c>
      <c r="O207" t="n">
        <v>0</v>
      </c>
      <c r="P207" t="n">
        <v>0</v>
      </c>
      <c r="Q207" t="n">
        <v>1</v>
      </c>
      <c r="R207" t="n">
        <v>0</v>
      </c>
      <c r="S207" t="n">
        <v>3</v>
      </c>
      <c r="T207" t="n">
        <v>3</v>
      </c>
      <c r="U207" t="n">
        <v>3</v>
      </c>
      <c r="V207" s="2" t="inlineStr">
        <is>
          <t>Talltita
Grönsiska
Kungsfågel</t>
        </is>
      </c>
      <c r="W207">
        <f>HYPERLINK("https://klasma.github.io/Logging_1291/artfynd/A 19874-2024 artfynd.xlsx", "A 19874-2024")</f>
        <v/>
      </c>
      <c r="X207">
        <f>HYPERLINK("https://klasma.github.io/Logging_1291/kartor/A 19874-2024 karta.png", "A 19874-2024")</f>
        <v/>
      </c>
      <c r="Y207">
        <f>HYPERLINK("https://klasma.github.io/Logging_1291/kartor_geotiff/A 19874-2024 georefererad karta.tif", "A 19874-2024")</f>
        <v/>
      </c>
      <c r="AA207">
        <f>HYPERLINK("https://klasma.github.io/Logging_1291/klagomål/A 19874-2024 FSC-klagomål.docx", "A 19874-2024")</f>
        <v/>
      </c>
      <c r="AB207">
        <f>HYPERLINK("https://klasma.github.io/Logging_1291/klagomålsmail/A 19874-2024 FSC-klagomål mail.docx", "A 19874-2024")</f>
        <v/>
      </c>
      <c r="AC207">
        <f>HYPERLINK("https://klasma.github.io/Logging_1291/tillsyn/A 19874-2024 tillsynsbegäran.docx", "A 19874-2024")</f>
        <v/>
      </c>
      <c r="AD207">
        <f>HYPERLINK("https://klasma.github.io/Logging_1291/tillsynsmail/A 19874-2024 tillsynsbegäran mail.docx", "A 19874-2024")</f>
        <v/>
      </c>
      <c r="AE207">
        <f>HYPERLINK("https://klasma.github.io/Logging_1291/fåglar/A 19874-2024 prioriterade fågelarter.docx", "A 19874-2024")</f>
        <v/>
      </c>
    </row>
    <row r="208" ht="15" customHeight="1">
      <c r="A208" t="inlineStr">
        <is>
          <t>A 40296-2025</t>
        </is>
      </c>
      <c r="B208" t="inlineStr">
        <is>
          <t>avverkningsanmälan</t>
        </is>
      </c>
      <c r="C208" t="inlineStr">
        <is>
          <t>Föryngringsavverkning</t>
        </is>
      </c>
      <c r="D208" s="1" t="n">
        <v>45895</v>
      </c>
      <c r="E208" s="1" t="n">
        <v>46312</v>
      </c>
      <c r="F208" t="inlineStr">
        <is>
          <t>SKÅNE LÄN</t>
        </is>
      </c>
      <c r="G208" t="inlineStr">
        <is>
          <t>KRISTIANSTAD</t>
        </is>
      </c>
      <c r="I208" t="n">
        <v>0.8</v>
      </c>
      <c r="J208" t="n">
        <v>2</v>
      </c>
      <c r="K208" t="n">
        <v>0</v>
      </c>
      <c r="L208" t="n">
        <v>0</v>
      </c>
      <c r="M208" t="n">
        <v>1</v>
      </c>
      <c r="N208" t="n">
        <v>0</v>
      </c>
      <c r="O208" t="n">
        <v>0</v>
      </c>
      <c r="P208" t="n">
        <v>0</v>
      </c>
      <c r="Q208" t="n">
        <v>1</v>
      </c>
      <c r="R208" t="n">
        <v>1</v>
      </c>
      <c r="S208" t="n">
        <v>3</v>
      </c>
      <c r="T208" t="n">
        <v>3</v>
      </c>
      <c r="U208" t="n">
        <v>1</v>
      </c>
      <c r="V208" s="2" t="inlineStr">
        <is>
          <t>Småvänderot
Trana
Kärrknipprot</t>
        </is>
      </c>
      <c r="W208">
        <f>HYPERLINK("https://klasma.github.io/Logging_1290/artfynd/A 40296-2025 artfynd.xlsx", "A 40296-2025")</f>
        <v/>
      </c>
      <c r="X208">
        <f>HYPERLINK("https://klasma.github.io/Logging_1290/kartor/A 40296-2025 karta.png", "A 40296-2025")</f>
        <v/>
      </c>
      <c r="Y208">
        <f>HYPERLINK("https://klasma.github.io/Logging_1290/kartor_geotiff/A 40296-2025 georefererad karta.tif", "A 40296-2025")</f>
        <v/>
      </c>
      <c r="AA208">
        <f>HYPERLINK("https://klasma.github.io/Logging_1290/klagomål/A 40296-2025 FSC-klagomål.docx", "A 40296-2025")</f>
        <v/>
      </c>
      <c r="AB208">
        <f>HYPERLINK("https://klasma.github.io/Logging_1290/klagomålsmail/A 40296-2025 FSC-klagomål mail.docx", "A 40296-2025")</f>
        <v/>
      </c>
      <c r="AC208">
        <f>HYPERLINK("https://klasma.github.io/Logging_1290/tillsyn/A 40296-2025 tillsynsbegäran.docx", "A 40296-2025")</f>
        <v/>
      </c>
      <c r="AD208">
        <f>HYPERLINK("https://klasma.github.io/Logging_1290/tillsynsmail/A 40296-2025 tillsynsbegäran mail.docx", "A 40296-2025")</f>
        <v/>
      </c>
      <c r="AE208">
        <f>HYPERLINK("https://klasma.github.io/Logging_1290/fåglar/A 40296-2025 prioriterade fågelarter.docx", "A 40296-2025")</f>
        <v/>
      </c>
    </row>
    <row r="209" ht="15" customHeight="1">
      <c r="A209" t="inlineStr">
        <is>
          <t>A 63634-2023</t>
        </is>
      </c>
      <c r="B209" t="inlineStr">
        <is>
          <t>avverkningsanmälan</t>
        </is>
      </c>
      <c r="C209" t="inlineStr">
        <is>
          <t>Föryngringsavverkning</t>
        </is>
      </c>
      <c r="D209" s="1" t="n">
        <v>45275</v>
      </c>
      <c r="E209" s="1" t="n">
        <v>46312</v>
      </c>
      <c r="F209" t="inlineStr">
        <is>
          <t>SKÅNE LÄN</t>
        </is>
      </c>
      <c r="G209" t="inlineStr">
        <is>
          <t>ÖSTRA GÖINGE</t>
        </is>
      </c>
      <c r="I209" t="n">
        <v>5.4</v>
      </c>
      <c r="J209" t="n">
        <v>3</v>
      </c>
      <c r="K209" t="n">
        <v>0</v>
      </c>
      <c r="L209" t="n">
        <v>0</v>
      </c>
      <c r="M209" t="n">
        <v>0</v>
      </c>
      <c r="N209" t="n">
        <v>0</v>
      </c>
      <c r="O209" t="n">
        <v>0</v>
      </c>
      <c r="P209" t="n">
        <v>0</v>
      </c>
      <c r="Q209" t="n">
        <v>0</v>
      </c>
      <c r="R209" t="n">
        <v>0</v>
      </c>
      <c r="S209" t="n">
        <v>3</v>
      </c>
      <c r="T209" t="n">
        <v>3</v>
      </c>
      <c r="U209" t="n">
        <v>3</v>
      </c>
      <c r="V209" s="2" t="inlineStr">
        <is>
          <t>Skogsduva
Svartvit flugsnappare
Ärtsångare</t>
        </is>
      </c>
      <c r="W209">
        <f>HYPERLINK("https://klasma.github.io/Logging_1256/artfynd/A 63634-2023 artfynd.xlsx", "A 63634-2023")</f>
        <v/>
      </c>
      <c r="X209">
        <f>HYPERLINK("https://klasma.github.io/Logging_1256/kartor/A 63634-2023 karta.png", "A 63634-2023")</f>
        <v/>
      </c>
      <c r="Y209">
        <f>HYPERLINK("https://klasma.github.io/Logging_1256/kartor_geotiff/A 63634-2023 georefererad karta.tif", "A 63634-2023")</f>
        <v/>
      </c>
      <c r="AA209">
        <f>HYPERLINK("https://klasma.github.io/Logging_1256/klagomål/A 63634-2023 FSC-klagomål.docx", "A 63634-2023")</f>
        <v/>
      </c>
      <c r="AB209">
        <f>HYPERLINK("https://klasma.github.io/Logging_1256/klagomålsmail/A 63634-2023 FSC-klagomål mail.docx", "A 63634-2023")</f>
        <v/>
      </c>
      <c r="AC209">
        <f>HYPERLINK("https://klasma.github.io/Logging_1256/tillsyn/A 63634-2023 tillsynsbegäran.docx", "A 63634-2023")</f>
        <v/>
      </c>
      <c r="AD209">
        <f>HYPERLINK("https://klasma.github.io/Logging_1256/tillsynsmail/A 63634-2023 tillsynsbegäran mail.docx", "A 63634-2023")</f>
        <v/>
      </c>
    </row>
    <row r="210" ht="15" customHeight="1">
      <c r="A210" t="inlineStr">
        <is>
          <t>A 50089-2023</t>
        </is>
      </c>
      <c r="B210" t="inlineStr">
        <is>
          <t>avverkningsanmälan</t>
        </is>
      </c>
      <c r="C210" t="inlineStr">
        <is>
          <t>Avverkning för annat ändamål</t>
        </is>
      </c>
      <c r="D210" s="1" t="n">
        <v>45208</v>
      </c>
      <c r="E210" s="1" t="n">
        <v>46312</v>
      </c>
      <c r="F210" t="inlineStr">
        <is>
          <t>SKÅNE LÄN</t>
        </is>
      </c>
      <c r="G210" t="inlineStr">
        <is>
          <t>KLIPPAN</t>
        </is>
      </c>
      <c r="I210" t="n">
        <v>13.6</v>
      </c>
      <c r="J210" t="n">
        <v>3</v>
      </c>
      <c r="K210" t="n">
        <v>0</v>
      </c>
      <c r="L210" t="n">
        <v>1</v>
      </c>
      <c r="M210" t="n">
        <v>0</v>
      </c>
      <c r="N210" t="n">
        <v>0</v>
      </c>
      <c r="O210" t="n">
        <v>0</v>
      </c>
      <c r="P210" t="n">
        <v>0</v>
      </c>
      <c r="Q210" t="n">
        <v>1</v>
      </c>
      <c r="R210" t="n">
        <v>0</v>
      </c>
      <c r="S210" t="n">
        <v>3</v>
      </c>
      <c r="T210" t="n">
        <v>3</v>
      </c>
      <c r="U210" t="n">
        <v>0</v>
      </c>
      <c r="V210" s="2" t="inlineStr">
        <is>
          <t>Entita
Grönsiska
Kungsfågel</t>
        </is>
      </c>
      <c r="W210">
        <f>HYPERLINK("https://klasma.github.io/Logging_1276/artfynd/A 50089-2023 artfynd.xlsx", "A 50089-2023")</f>
        <v/>
      </c>
      <c r="X210">
        <f>HYPERLINK("https://klasma.github.io/Logging_1276/kartor/A 50089-2023 karta.png", "A 50089-2023")</f>
        <v/>
      </c>
      <c r="Y210">
        <f>HYPERLINK("https://klasma.github.io/Logging_1276/kartor_geotiff/A 50089-2023 georefererad karta.tif", "A 50089-2023")</f>
        <v/>
      </c>
      <c r="AA210">
        <f>HYPERLINK("https://klasma.github.io/Logging_1276/klagomål/A 50089-2023 FSC-klagomål.docx", "A 50089-2023")</f>
        <v/>
      </c>
      <c r="AB210">
        <f>HYPERLINK("https://klasma.github.io/Logging_1276/klagomålsmail/A 50089-2023 FSC-klagomål mail.docx", "A 50089-2023")</f>
        <v/>
      </c>
      <c r="AC210">
        <f>HYPERLINK("https://klasma.github.io/Logging_1276/tillsyn/A 50089-2023 tillsynsbegäran.docx", "A 50089-2023")</f>
        <v/>
      </c>
      <c r="AD210">
        <f>HYPERLINK("https://klasma.github.io/Logging_1276/tillsynsmail/A 50089-2023 tillsynsbegäran mail.docx", "A 50089-2023")</f>
        <v/>
      </c>
      <c r="AE210">
        <f>HYPERLINK("https://klasma.github.io/Logging_1276/fåglar/A 50089-2023 prioriterade fågelarter.docx", "A 50089-2023")</f>
        <v/>
      </c>
    </row>
    <row r="211" ht="15" customHeight="1">
      <c r="A211" t="inlineStr">
        <is>
          <t>A 30645-2022</t>
        </is>
      </c>
      <c r="B211" t="inlineStr">
        <is>
          <t>avverkningsanmälan</t>
        </is>
      </c>
      <c r="C211" t="inlineStr">
        <is>
          <t>Föryngringsavverkning</t>
        </is>
      </c>
      <c r="D211" s="1" t="n">
        <v>44763</v>
      </c>
      <c r="E211" s="1" t="n">
        <v>46312</v>
      </c>
      <c r="F211" t="inlineStr">
        <is>
          <t>SKÅNE LÄN</t>
        </is>
      </c>
      <c r="G211" t="inlineStr">
        <is>
          <t>HÖÖR</t>
        </is>
      </c>
      <c r="I211" t="n">
        <v>1.3</v>
      </c>
      <c r="J211" t="n">
        <v>1</v>
      </c>
      <c r="K211" t="n">
        <v>1</v>
      </c>
      <c r="L211" t="n">
        <v>0</v>
      </c>
      <c r="M211" t="n">
        <v>0</v>
      </c>
      <c r="N211" t="n">
        <v>1</v>
      </c>
      <c r="O211" t="n">
        <v>0</v>
      </c>
      <c r="P211" t="n">
        <v>0</v>
      </c>
      <c r="Q211" t="n">
        <v>1</v>
      </c>
      <c r="R211" t="n">
        <v>1</v>
      </c>
      <c r="S211" t="n">
        <v>3</v>
      </c>
      <c r="T211" t="n">
        <v>3</v>
      </c>
      <c r="U211" t="n">
        <v>3</v>
      </c>
      <c r="V211" s="2" t="inlineStr">
        <is>
          <t>Ask
Murgröna
Nattviol</t>
        </is>
      </c>
      <c r="W211">
        <f>HYPERLINK("https://klasma.github.io/Logging_1267/artfynd/A 30645-2022 artfynd.xlsx", "A 30645-2022")</f>
        <v/>
      </c>
      <c r="X211">
        <f>HYPERLINK("https://klasma.github.io/Logging_1267/kartor/A 30645-2022 karta.png", "A 30645-2022")</f>
        <v/>
      </c>
      <c r="Y211">
        <f>HYPERLINK("https://klasma.github.io/Logging_1267/kartor_geotiff/A 30645-2022 georefererad karta.tif", "A 30645-2022")</f>
        <v/>
      </c>
      <c r="AA211">
        <f>HYPERLINK("https://klasma.github.io/Logging_1267/klagomål/A 30645-2022 FSC-klagomål.docx", "A 30645-2022")</f>
        <v/>
      </c>
      <c r="AB211">
        <f>HYPERLINK("https://klasma.github.io/Logging_1267/klagomålsmail/A 30645-2022 FSC-klagomål mail.docx", "A 30645-2022")</f>
        <v/>
      </c>
      <c r="AC211">
        <f>HYPERLINK("https://klasma.github.io/Logging_1267/tillsyn/A 30645-2022 tillsynsbegäran.docx", "A 30645-2022")</f>
        <v/>
      </c>
      <c r="AD211">
        <f>HYPERLINK("https://klasma.github.io/Logging_1267/tillsynsmail/A 30645-2022 tillsynsbegäran mail.docx", "A 30645-2022")</f>
        <v/>
      </c>
    </row>
    <row r="212" ht="15" customHeight="1">
      <c r="A212" t="inlineStr">
        <is>
          <t>A 2943-2023</t>
        </is>
      </c>
      <c r="B212" t="inlineStr">
        <is>
          <t>avverkningsanmälan</t>
        </is>
      </c>
      <c r="C212" t="inlineStr">
        <is>
          <t>Föryngringsavverkning</t>
        </is>
      </c>
      <c r="D212" s="1" t="n">
        <v>44945</v>
      </c>
      <c r="E212" s="1" t="n">
        <v>46312</v>
      </c>
      <c r="F212" t="inlineStr">
        <is>
          <t>SKÅNE LÄN</t>
        </is>
      </c>
      <c r="G212" t="inlineStr">
        <is>
          <t>BÅSTAD</t>
        </is>
      </c>
      <c r="I212" t="n">
        <v>11.3</v>
      </c>
      <c r="J212" t="n">
        <v>1</v>
      </c>
      <c r="K212" t="n">
        <v>0</v>
      </c>
      <c r="L212" t="n">
        <v>1</v>
      </c>
      <c r="M212" t="n">
        <v>0</v>
      </c>
      <c r="N212" t="n">
        <v>1</v>
      </c>
      <c r="O212" t="n">
        <v>0</v>
      </c>
      <c r="P212" t="n">
        <v>0</v>
      </c>
      <c r="Q212" t="n">
        <v>2</v>
      </c>
      <c r="R212" t="n">
        <v>1</v>
      </c>
      <c r="S212" t="n">
        <v>3</v>
      </c>
      <c r="T212" t="n">
        <v>3</v>
      </c>
      <c r="U212" t="n">
        <v>3</v>
      </c>
      <c r="V212" s="2" t="inlineStr">
        <is>
          <t>Skogsalm
Sårläka
Grönvit nattviol</t>
        </is>
      </c>
      <c r="W212">
        <f>HYPERLINK("https://klasma.github.io/Logging_1278/artfynd/A 2943-2023 artfynd.xlsx", "A 2943-2023")</f>
        <v/>
      </c>
      <c r="X212">
        <f>HYPERLINK("https://klasma.github.io/Logging_1278/kartor/A 2943-2023 karta.png", "A 2943-2023")</f>
        <v/>
      </c>
      <c r="Y212">
        <f>HYPERLINK("https://klasma.github.io/Logging_1278/kartor_geotiff/A 2943-2023 georefererad karta.tif", "A 2943-2023")</f>
        <v/>
      </c>
      <c r="AA212">
        <f>HYPERLINK("https://klasma.github.io/Logging_1278/klagomål/A 2943-2023 FSC-klagomål.docx", "A 2943-2023")</f>
        <v/>
      </c>
      <c r="AB212">
        <f>HYPERLINK("https://klasma.github.io/Logging_1278/klagomålsmail/A 2943-2023 FSC-klagomål mail.docx", "A 2943-2023")</f>
        <v/>
      </c>
      <c r="AC212">
        <f>HYPERLINK("https://klasma.github.io/Logging_1278/tillsyn/A 2943-2023 tillsynsbegäran.docx", "A 2943-2023")</f>
        <v/>
      </c>
      <c r="AD212">
        <f>HYPERLINK("https://klasma.github.io/Logging_1278/tillsynsmail/A 2943-2023 tillsynsbegäran mail.docx", "A 2943-2023")</f>
        <v/>
      </c>
    </row>
    <row r="213" ht="15" customHeight="1">
      <c r="A213" t="inlineStr">
        <is>
          <t>A 905-2024</t>
        </is>
      </c>
      <c r="B213" t="inlineStr">
        <is>
          <t>avverkningsanmälan</t>
        </is>
      </c>
      <c r="C213" t="inlineStr">
        <is>
          <t>Föryngringsavverkning</t>
        </is>
      </c>
      <c r="D213" s="1" t="n">
        <v>45301</v>
      </c>
      <c r="E213" s="1" t="n">
        <v>46312</v>
      </c>
      <c r="F213" t="inlineStr">
        <is>
          <t>SKÅNE LÄN</t>
        </is>
      </c>
      <c r="G213" t="inlineStr">
        <is>
          <t>ÄNGELHOLM</t>
        </is>
      </c>
      <c r="I213" t="n">
        <v>4.9</v>
      </c>
      <c r="J213" t="n">
        <v>0</v>
      </c>
      <c r="K213" t="n">
        <v>1</v>
      </c>
      <c r="L213" t="n">
        <v>1</v>
      </c>
      <c r="M213" t="n">
        <v>1</v>
      </c>
      <c r="N213" t="n">
        <v>0</v>
      </c>
      <c r="O213" t="n">
        <v>0</v>
      </c>
      <c r="P213" t="n">
        <v>0</v>
      </c>
      <c r="Q213" t="n">
        <v>2</v>
      </c>
      <c r="R213" t="n">
        <v>1</v>
      </c>
      <c r="S213" t="n">
        <v>3</v>
      </c>
      <c r="T213" t="n">
        <v>3</v>
      </c>
      <c r="U213" t="n">
        <v>2</v>
      </c>
      <c r="V213" s="2" t="inlineStr">
        <is>
          <t>Igelkott
Desmeknopp
Myskmadra</t>
        </is>
      </c>
      <c r="W213">
        <f>HYPERLINK("https://klasma.github.io/Logging_1292/artfynd/A 905-2024 artfynd.xlsx", "A 905-2024")</f>
        <v/>
      </c>
      <c r="X213">
        <f>HYPERLINK("https://klasma.github.io/Logging_1292/kartor/A 905-2024 karta.png", "A 905-2024")</f>
        <v/>
      </c>
      <c r="Y213">
        <f>HYPERLINK("https://klasma.github.io/Logging_1292/kartor_geotiff/A 905-2024 georefererad karta.tif", "A 905-2024")</f>
        <v/>
      </c>
      <c r="AA213">
        <f>HYPERLINK("https://klasma.github.io/Logging_1292/klagomål/A 905-2024 FSC-klagomål.docx", "A 905-2024")</f>
        <v/>
      </c>
      <c r="AB213">
        <f>HYPERLINK("https://klasma.github.io/Logging_1292/klagomålsmail/A 905-2024 FSC-klagomål mail.docx", "A 905-2024")</f>
        <v/>
      </c>
      <c r="AC213">
        <f>HYPERLINK("https://klasma.github.io/Logging_1292/tillsyn/A 905-2024 tillsynsbegäran.docx", "A 905-2024")</f>
        <v/>
      </c>
      <c r="AD213">
        <f>HYPERLINK("https://klasma.github.io/Logging_1292/tillsynsmail/A 905-2024 tillsynsbegäran mail.docx", "A 905-2024")</f>
        <v/>
      </c>
    </row>
    <row r="214" ht="15" customHeight="1">
      <c r="A214" t="inlineStr">
        <is>
          <t>A 19569-2026</t>
        </is>
      </c>
      <c r="B214" t="inlineStr">
        <is>
          <t>avverkningsanmälan</t>
        </is>
      </c>
      <c r="C214" t="inlineStr">
        <is>
          <t>Föryngringsavverkning</t>
        </is>
      </c>
      <c r="D214" s="1" t="n">
        <v>46132</v>
      </c>
      <c r="E214" s="1" t="n">
        <v>46312</v>
      </c>
      <c r="F214" t="inlineStr">
        <is>
          <t>SKÅNE LÄN</t>
        </is>
      </c>
      <c r="G214" t="inlineStr">
        <is>
          <t>KRISTIANSTAD</t>
        </is>
      </c>
      <c r="H214" t="inlineStr">
        <is>
          <t>Kommuner</t>
        </is>
      </c>
      <c r="I214" t="n">
        <v>5</v>
      </c>
      <c r="J214" t="n">
        <v>2</v>
      </c>
      <c r="K214" t="n">
        <v>1</v>
      </c>
      <c r="L214" t="n">
        <v>0</v>
      </c>
      <c r="M214" t="n">
        <v>1</v>
      </c>
      <c r="N214" t="n">
        <v>1</v>
      </c>
      <c r="O214" t="n">
        <v>0</v>
      </c>
      <c r="P214" t="n">
        <v>0</v>
      </c>
      <c r="Q214" t="n">
        <v>2</v>
      </c>
      <c r="R214" t="n">
        <v>2</v>
      </c>
      <c r="S214" t="n">
        <v>3</v>
      </c>
      <c r="T214" t="n">
        <v>3</v>
      </c>
      <c r="U214" t="n">
        <v>0</v>
      </c>
      <c r="V214" s="2" t="inlineStr">
        <is>
          <t>Ejder
Luktvädd
Skogsknipprot</t>
        </is>
      </c>
      <c r="W214">
        <f>HYPERLINK("https://klasma.github.io/Logging_1290/artfynd/A 19569-2026 artfynd.xlsx", "A 19569-2026")</f>
        <v/>
      </c>
      <c r="X214">
        <f>HYPERLINK("https://klasma.github.io/Logging_1290/kartor/A 19569-2026 karta.png", "A 19569-2026")</f>
        <v/>
      </c>
      <c r="Y214">
        <f>HYPERLINK("https://klasma.github.io/Logging_1290/kartor_geotiff/A 19569-2026 georefererad karta.tif", "A 19569-2026")</f>
        <v/>
      </c>
      <c r="AA214">
        <f>HYPERLINK("https://klasma.github.io/Logging_1290/klagomål/A 19569-2026 FSC-klagomål.docx", "A 19569-2026")</f>
        <v/>
      </c>
      <c r="AB214">
        <f>HYPERLINK("https://klasma.github.io/Logging_1290/klagomålsmail/A 19569-2026 FSC-klagomål mail.docx", "A 19569-2026")</f>
        <v/>
      </c>
      <c r="AC214">
        <f>HYPERLINK("https://klasma.github.io/Logging_1290/tillsyn/A 19569-2026 tillsynsbegäran.docx", "A 19569-2026")</f>
        <v/>
      </c>
      <c r="AD214">
        <f>HYPERLINK("https://klasma.github.io/Logging_1290/tillsynsmail/A 19569-2026 tillsynsbegäran mail.docx", "A 19569-2026")</f>
        <v/>
      </c>
    </row>
    <row r="215" ht="15" customHeight="1">
      <c r="A215" t="inlineStr">
        <is>
          <t>A 28874-2023</t>
        </is>
      </c>
      <c r="B215" t="inlineStr">
        <is>
          <t>avverkningsanmälan</t>
        </is>
      </c>
      <c r="C215" t="inlineStr">
        <is>
          <t>Föryngringsavverkning</t>
        </is>
      </c>
      <c r="D215" s="1" t="n">
        <v>45104</v>
      </c>
      <c r="E215" s="1" t="n">
        <v>46312</v>
      </c>
      <c r="F215" t="inlineStr">
        <is>
          <t>SKÅNE LÄN</t>
        </is>
      </c>
      <c r="G215" t="inlineStr">
        <is>
          <t>ÄNGELHOLM</t>
        </is>
      </c>
      <c r="I215" t="n">
        <v>9</v>
      </c>
      <c r="J215" t="n">
        <v>1</v>
      </c>
      <c r="K215" t="n">
        <v>2</v>
      </c>
      <c r="L215" t="n">
        <v>0</v>
      </c>
      <c r="M215" t="n">
        <v>0</v>
      </c>
      <c r="N215" t="n">
        <v>0</v>
      </c>
      <c r="O215" t="n">
        <v>0</v>
      </c>
      <c r="P215" t="n">
        <v>0</v>
      </c>
      <c r="Q215" t="n">
        <v>0</v>
      </c>
      <c r="R215" t="n">
        <v>0</v>
      </c>
      <c r="S215" t="n">
        <v>3</v>
      </c>
      <c r="T215" t="n">
        <v>5</v>
      </c>
      <c r="U215" t="n">
        <v>0</v>
      </c>
      <c r="V215" s="2" t="inlineStr">
        <is>
          <t>Blåmossa
Stubbspretmossa
Revlummer</t>
        </is>
      </c>
      <c r="W215">
        <f>HYPERLINK("https://klasma.github.io/Logging_1292/artfynd/A 28874-2023 artfynd.xlsx", "A 28874-2023")</f>
        <v/>
      </c>
      <c r="X215">
        <f>HYPERLINK("https://klasma.github.io/Logging_1292/kartor/A 28874-2023 karta.png", "A 28874-2023")</f>
        <v/>
      </c>
      <c r="Y215">
        <f>HYPERLINK("https://klasma.github.io/Logging_1292/kartor_geotiff/A 28874-2023 georefererad karta.tif", "A 28874-2023")</f>
        <v/>
      </c>
      <c r="AA215">
        <f>HYPERLINK("https://klasma.github.io/Logging_1292/klagomål/A 28874-2023 FSC-klagomål.docx", "A 28874-2023")</f>
        <v/>
      </c>
      <c r="AB215">
        <f>HYPERLINK("https://klasma.github.io/Logging_1292/klagomålsmail/A 28874-2023 FSC-klagomål mail.docx", "A 28874-2023")</f>
        <v/>
      </c>
      <c r="AC215">
        <f>HYPERLINK("https://klasma.github.io/Logging_1292/tillsyn/A 28874-2023 tillsynsbegäran.docx", "A 28874-2023")</f>
        <v/>
      </c>
      <c r="AD215">
        <f>HYPERLINK("https://klasma.github.io/Logging_1292/tillsynsmail/A 28874-2023 tillsynsbegäran mail.docx", "A 28874-2023")</f>
        <v/>
      </c>
    </row>
    <row r="216" ht="15" customHeight="1">
      <c r="A216" t="inlineStr">
        <is>
          <t>A 7554-2023</t>
        </is>
      </c>
      <c r="B216" t="inlineStr">
        <is>
          <t>avverkningsanmälan</t>
        </is>
      </c>
      <c r="C216" t="inlineStr">
        <is>
          <t>Föryngringsavverkning</t>
        </is>
      </c>
      <c r="D216" s="1" t="n">
        <v>44967</v>
      </c>
      <c r="E216" s="1" t="n">
        <v>46312</v>
      </c>
      <c r="F216" t="inlineStr">
        <is>
          <t>SKÅNE LÄN</t>
        </is>
      </c>
      <c r="G216" t="inlineStr">
        <is>
          <t>BROMÖLLA</t>
        </is>
      </c>
      <c r="I216" t="n">
        <v>2.8</v>
      </c>
      <c r="J216" t="n">
        <v>0</v>
      </c>
      <c r="K216" t="n">
        <v>3</v>
      </c>
      <c r="L216" t="n">
        <v>0</v>
      </c>
      <c r="M216" t="n">
        <v>0</v>
      </c>
      <c r="N216" t="n">
        <v>0</v>
      </c>
      <c r="O216" t="n">
        <v>0</v>
      </c>
      <c r="P216" t="n">
        <v>0</v>
      </c>
      <c r="Q216" t="n">
        <v>0</v>
      </c>
      <c r="R216" t="n">
        <v>0</v>
      </c>
      <c r="S216" t="n">
        <v>3</v>
      </c>
      <c r="T216" t="n">
        <v>3</v>
      </c>
      <c r="U216" t="n">
        <v>0</v>
      </c>
      <c r="V216" s="2" t="inlineStr">
        <is>
          <t>Stor häxört
Svart trolldruva
Underviol</t>
        </is>
      </c>
      <c r="W216">
        <f>HYPERLINK("https://klasma.github.io/Logging_1272/artfynd/A 7554-2023 artfynd.xlsx", "A 7554-2023")</f>
        <v/>
      </c>
      <c r="X216">
        <f>HYPERLINK("https://klasma.github.io/Logging_1272/kartor/A 7554-2023 karta.png", "A 7554-2023")</f>
        <v/>
      </c>
      <c r="Y216">
        <f>HYPERLINK("https://klasma.github.io/Logging_1272/kartor_geotiff/A 7554-2023 georefererad karta.tif", "A 7554-2023")</f>
        <v/>
      </c>
      <c r="AA216">
        <f>HYPERLINK("https://klasma.github.io/Logging_1272/klagomål/A 7554-2023 FSC-klagomål.docx", "A 7554-2023")</f>
        <v/>
      </c>
      <c r="AB216">
        <f>HYPERLINK("https://klasma.github.io/Logging_1272/klagomålsmail/A 7554-2023 FSC-klagomål mail.docx", "A 7554-2023")</f>
        <v/>
      </c>
      <c r="AC216">
        <f>HYPERLINK("https://klasma.github.io/Logging_1272/tillsyn/A 7554-2023 tillsynsbegäran.docx", "A 7554-2023")</f>
        <v/>
      </c>
      <c r="AD216">
        <f>HYPERLINK("https://klasma.github.io/Logging_1272/tillsynsmail/A 7554-2023 tillsynsbegäran mail.docx", "A 7554-2023")</f>
        <v/>
      </c>
    </row>
    <row r="217" ht="15" customHeight="1">
      <c r="A217" t="inlineStr">
        <is>
          <t>A 47331-2025</t>
        </is>
      </c>
      <c r="B217" t="inlineStr">
        <is>
          <t>avverkningsanmälan</t>
        </is>
      </c>
      <c r="C217" t="inlineStr">
        <is>
          <t>Föryngringsavverkning</t>
        </is>
      </c>
      <c r="D217" s="1" t="n">
        <v>45930</v>
      </c>
      <c r="E217" s="1" t="n">
        <v>46312</v>
      </c>
      <c r="F217" t="inlineStr">
        <is>
          <t>SKÅNE LÄN</t>
        </is>
      </c>
      <c r="G217" t="inlineStr">
        <is>
          <t>KRISTIANSTAD</t>
        </is>
      </c>
      <c r="H217" t="inlineStr">
        <is>
          <t>Kyrkan</t>
        </is>
      </c>
      <c r="I217" t="n">
        <v>2.5</v>
      </c>
      <c r="J217" t="n">
        <v>3</v>
      </c>
      <c r="K217" t="n">
        <v>0</v>
      </c>
      <c r="L217" t="n">
        <v>2</v>
      </c>
      <c r="M217" t="n">
        <v>0</v>
      </c>
      <c r="N217" t="n">
        <v>0</v>
      </c>
      <c r="O217" t="n">
        <v>0</v>
      </c>
      <c r="P217" t="n">
        <v>0</v>
      </c>
      <c r="Q217" t="n">
        <v>2</v>
      </c>
      <c r="R217" t="n">
        <v>0</v>
      </c>
      <c r="S217" t="n">
        <v>3</v>
      </c>
      <c r="T217" t="n">
        <v>3</v>
      </c>
      <c r="U217" t="n">
        <v>0</v>
      </c>
      <c r="V217" s="2" t="inlineStr">
        <is>
          <t>Entita
Mindre hackspett
Gröngöling</t>
        </is>
      </c>
      <c r="W217">
        <f>HYPERLINK("https://klasma.github.io/Logging_1290/artfynd/A 47331-2025 artfynd.xlsx", "A 47331-2025")</f>
        <v/>
      </c>
      <c r="X217">
        <f>HYPERLINK("https://klasma.github.io/Logging_1290/kartor/A 47331-2025 karta.png", "A 47331-2025")</f>
        <v/>
      </c>
      <c r="Y217">
        <f>HYPERLINK("https://klasma.github.io/Logging_1290/kartor_geotiff/A 47331-2025 georefererad karta.tif", "A 47331-2025")</f>
        <v/>
      </c>
      <c r="AA217">
        <f>HYPERLINK("https://klasma.github.io/Logging_1290/klagomål/A 47331-2025 FSC-klagomål.docx", "A 47331-2025")</f>
        <v/>
      </c>
      <c r="AB217">
        <f>HYPERLINK("https://klasma.github.io/Logging_1290/klagomålsmail/A 47331-2025 FSC-klagomål mail.docx", "A 47331-2025")</f>
        <v/>
      </c>
      <c r="AC217">
        <f>HYPERLINK("https://klasma.github.io/Logging_1290/tillsyn/A 47331-2025 tillsynsbegäran.docx", "A 47331-2025")</f>
        <v/>
      </c>
      <c r="AD217">
        <f>HYPERLINK("https://klasma.github.io/Logging_1290/tillsynsmail/A 47331-2025 tillsynsbegäran mail.docx", "A 47331-2025")</f>
        <v/>
      </c>
      <c r="AE217">
        <f>HYPERLINK("https://klasma.github.io/Logging_1290/fåglar/A 47331-2025 prioriterade fågelarter.docx", "A 47331-2025")</f>
        <v/>
      </c>
    </row>
    <row r="218" ht="15" customHeight="1">
      <c r="A218" t="inlineStr">
        <is>
          <t>A 22038-2026</t>
        </is>
      </c>
      <c r="B218" t="inlineStr">
        <is>
          <t>avverkningsanmälan</t>
        </is>
      </c>
      <c r="C218" t="inlineStr">
        <is>
          <t>Föryngringsavverkning</t>
        </is>
      </c>
      <c r="D218" s="1" t="n">
        <v>46153</v>
      </c>
      <c r="E218" s="1" t="n">
        <v>46312</v>
      </c>
      <c r="F218" t="inlineStr">
        <is>
          <t>SKÅNE LÄN</t>
        </is>
      </c>
      <c r="G218" t="inlineStr">
        <is>
          <t>OSBY</t>
        </is>
      </c>
      <c r="H218" t="inlineStr">
        <is>
          <t>Sveaskog</t>
        </is>
      </c>
      <c r="I218" t="n">
        <v>3.9</v>
      </c>
      <c r="J218" t="n">
        <v>3</v>
      </c>
      <c r="K218" t="n">
        <v>0</v>
      </c>
      <c r="L218" t="n">
        <v>2</v>
      </c>
      <c r="M218" t="n">
        <v>0</v>
      </c>
      <c r="N218" t="n">
        <v>0</v>
      </c>
      <c r="O218" t="n">
        <v>0</v>
      </c>
      <c r="P218" t="n">
        <v>0</v>
      </c>
      <c r="Q218" t="n">
        <v>2</v>
      </c>
      <c r="R218" t="n">
        <v>0</v>
      </c>
      <c r="S218" t="n">
        <v>3</v>
      </c>
      <c r="T218" t="n">
        <v>4</v>
      </c>
      <c r="U218" t="n">
        <v>4</v>
      </c>
      <c r="V218" s="2" t="inlineStr">
        <is>
          <t>Entita
Talltita
Spillkråka</t>
        </is>
      </c>
      <c r="W218">
        <f>HYPERLINK("https://klasma.github.io/Logging_1273/artfynd/A 22038-2026 artfynd.xlsx", "A 22038-2026")</f>
        <v/>
      </c>
      <c r="X218">
        <f>HYPERLINK("https://klasma.github.io/Logging_1273/kartor/A 22038-2026 karta.png", "A 22038-2026")</f>
        <v/>
      </c>
      <c r="Y218">
        <f>HYPERLINK("https://klasma.github.io/Logging_1273/kartor_geotiff/A 22038-2026 georefererad karta.tif", "A 22038-2026")</f>
        <v/>
      </c>
      <c r="AA218">
        <f>HYPERLINK("https://klasma.github.io/Logging_1273/klagomål/A 22038-2026 FSC-klagomål.docx", "A 22038-2026")</f>
        <v/>
      </c>
      <c r="AB218">
        <f>HYPERLINK("https://klasma.github.io/Logging_1273/klagomålsmail/A 22038-2026 FSC-klagomål mail.docx", "A 22038-2026")</f>
        <v/>
      </c>
      <c r="AC218">
        <f>HYPERLINK("https://klasma.github.io/Logging_1273/tillsyn/A 22038-2026 tillsynsbegäran.docx", "A 22038-2026")</f>
        <v/>
      </c>
      <c r="AD218">
        <f>HYPERLINK("https://klasma.github.io/Logging_1273/tillsynsmail/A 22038-2026 tillsynsbegäran mail.docx", "A 22038-2026")</f>
        <v/>
      </c>
      <c r="AE218">
        <f>HYPERLINK("https://klasma.github.io/Logging_1273/fåglar/A 22038-2026 prioriterade fågelarter.docx", "A 22038-2026")</f>
        <v/>
      </c>
    </row>
    <row r="219" ht="15" customHeight="1">
      <c r="A219" t="inlineStr">
        <is>
          <t>A 8253-2025</t>
        </is>
      </c>
      <c r="B219" t="inlineStr">
        <is>
          <t>avverkningsanmälan</t>
        </is>
      </c>
      <c r="C219" t="inlineStr">
        <is>
          <t>Föryngringsavverkning</t>
        </is>
      </c>
      <c r="D219" s="1" t="n">
        <v>45708</v>
      </c>
      <c r="E219" s="1" t="n">
        <v>46312</v>
      </c>
      <c r="F219" t="inlineStr">
        <is>
          <t>SKÅNE LÄN</t>
        </is>
      </c>
      <c r="G219" t="inlineStr">
        <is>
          <t>HÄSSLEHOLM</t>
        </is>
      </c>
      <c r="I219" t="n">
        <v>2</v>
      </c>
      <c r="J219" t="n">
        <v>3</v>
      </c>
      <c r="K219" t="n">
        <v>0</v>
      </c>
      <c r="L219" t="n">
        <v>1</v>
      </c>
      <c r="M219" t="n">
        <v>1</v>
      </c>
      <c r="N219" t="n">
        <v>0</v>
      </c>
      <c r="O219" t="n">
        <v>0</v>
      </c>
      <c r="P219" t="n">
        <v>0</v>
      </c>
      <c r="Q219" t="n">
        <v>2</v>
      </c>
      <c r="R219" t="n">
        <v>1</v>
      </c>
      <c r="S219" t="n">
        <v>3</v>
      </c>
      <c r="T219" t="n">
        <v>3</v>
      </c>
      <c r="U219" t="n">
        <v>3</v>
      </c>
      <c r="V219" s="2" t="inlineStr">
        <is>
          <t>Grönfink
Entita
Kungsfågel</t>
        </is>
      </c>
      <c r="W219">
        <f>HYPERLINK("https://klasma.github.io/Logging_1293/artfynd/A 8253-2025 artfynd.xlsx", "A 8253-2025")</f>
        <v/>
      </c>
      <c r="X219">
        <f>HYPERLINK("https://klasma.github.io/Logging_1293/kartor/A 8253-2025 karta.png", "A 8253-2025")</f>
        <v/>
      </c>
      <c r="Y219">
        <f>HYPERLINK("https://klasma.github.io/Logging_1293/kartor_geotiff/A 8253-2025 georefererad karta.tif", "A 8253-2025")</f>
        <v/>
      </c>
      <c r="AA219">
        <f>HYPERLINK("https://klasma.github.io/Logging_1293/klagomål/A 8253-2025 FSC-klagomål.docx", "A 8253-2025")</f>
        <v/>
      </c>
      <c r="AB219">
        <f>HYPERLINK("https://klasma.github.io/Logging_1293/klagomålsmail/A 8253-2025 FSC-klagomål mail.docx", "A 8253-2025")</f>
        <v/>
      </c>
      <c r="AC219">
        <f>HYPERLINK("https://klasma.github.io/Logging_1293/tillsyn/A 8253-2025 tillsynsbegäran.docx", "A 8253-2025")</f>
        <v/>
      </c>
      <c r="AD219">
        <f>HYPERLINK("https://klasma.github.io/Logging_1293/tillsynsmail/A 8253-2025 tillsynsbegäran mail.docx", "A 8253-2025")</f>
        <v/>
      </c>
      <c r="AE219">
        <f>HYPERLINK("https://klasma.github.io/Logging_1293/fåglar/A 8253-2025 prioriterade fågelarter.docx", "A 8253-2025")</f>
        <v/>
      </c>
    </row>
    <row r="220" ht="15" customHeight="1">
      <c r="A220" t="inlineStr">
        <is>
          <t>A 50816-2025</t>
        </is>
      </c>
      <c r="B220" t="inlineStr">
        <is>
          <t>avverkningsanmälan</t>
        </is>
      </c>
      <c r="C220" t="inlineStr">
        <is>
          <t>Föryngringsavverkning</t>
        </is>
      </c>
      <c r="D220" s="1" t="n">
        <v>45946</v>
      </c>
      <c r="E220" s="1" t="n">
        <v>46312</v>
      </c>
      <c r="F220" t="inlineStr">
        <is>
          <t>SKÅNE LÄN</t>
        </is>
      </c>
      <c r="G220" t="inlineStr">
        <is>
          <t>SJÖBO</t>
        </is>
      </c>
      <c r="I220" t="n">
        <v>1.2</v>
      </c>
      <c r="J220" t="n">
        <v>1</v>
      </c>
      <c r="K220" t="n">
        <v>0</v>
      </c>
      <c r="L220" t="n">
        <v>1</v>
      </c>
      <c r="M220" t="n">
        <v>1</v>
      </c>
      <c r="N220" t="n">
        <v>0</v>
      </c>
      <c r="O220" t="n">
        <v>0</v>
      </c>
      <c r="P220" t="n">
        <v>0</v>
      </c>
      <c r="Q220" t="n">
        <v>2</v>
      </c>
      <c r="R220" t="n">
        <v>1</v>
      </c>
      <c r="S220" t="n">
        <v>3</v>
      </c>
      <c r="T220" t="n">
        <v>3</v>
      </c>
      <c r="U220" t="n">
        <v>1</v>
      </c>
      <c r="V220" s="2" t="inlineStr">
        <is>
          <t>Silverblåvinge
Ängsmetallvinge
Lövgroda</t>
        </is>
      </c>
      <c r="W220">
        <f>HYPERLINK("https://klasma.github.io/Logging_1265/artfynd/A 50816-2025 artfynd.xlsx", "A 50816-2025")</f>
        <v/>
      </c>
      <c r="X220">
        <f>HYPERLINK("https://klasma.github.io/Logging_1265/kartor/A 50816-2025 karta.png", "A 50816-2025")</f>
        <v/>
      </c>
      <c r="Y220">
        <f>HYPERLINK("https://klasma.github.io/Logging_1265/kartor_geotiff/A 50816-2025 georefererad karta.tif", "A 50816-2025")</f>
        <v/>
      </c>
      <c r="AA220">
        <f>HYPERLINK("https://klasma.github.io/Logging_1265/klagomål/A 50816-2025 FSC-klagomål.docx", "A 50816-2025")</f>
        <v/>
      </c>
      <c r="AB220">
        <f>HYPERLINK("https://klasma.github.io/Logging_1265/klagomålsmail/A 50816-2025 FSC-klagomål mail.docx", "A 50816-2025")</f>
        <v/>
      </c>
      <c r="AC220">
        <f>HYPERLINK("https://klasma.github.io/Logging_1265/tillsyn/A 50816-2025 tillsynsbegäran.docx", "A 50816-2025")</f>
        <v/>
      </c>
      <c r="AD220">
        <f>HYPERLINK("https://klasma.github.io/Logging_1265/tillsynsmail/A 50816-2025 tillsynsbegäran mail.docx", "A 50816-2025")</f>
        <v/>
      </c>
    </row>
    <row r="221" ht="15" customHeight="1">
      <c r="A221" t="inlineStr">
        <is>
          <t>A 35245-2025</t>
        </is>
      </c>
      <c r="B221" t="inlineStr">
        <is>
          <t>avverkningsanmälan</t>
        </is>
      </c>
      <c r="C221" t="inlineStr">
        <is>
          <t>Föryngringsavverkning</t>
        </is>
      </c>
      <c r="D221" s="1" t="n">
        <v>45853</v>
      </c>
      <c r="E221" s="1" t="n">
        <v>46312</v>
      </c>
      <c r="F221" t="inlineStr">
        <is>
          <t>SKÅNE LÄN</t>
        </is>
      </c>
      <c r="G221" t="inlineStr">
        <is>
          <t>ÖRKELLJUNGA</t>
        </is>
      </c>
      <c r="I221" t="n">
        <v>8.699999999999999</v>
      </c>
      <c r="J221" t="n">
        <v>3</v>
      </c>
      <c r="K221" t="n">
        <v>0</v>
      </c>
      <c r="L221" t="n">
        <v>2</v>
      </c>
      <c r="M221" t="n">
        <v>0</v>
      </c>
      <c r="N221" t="n">
        <v>0</v>
      </c>
      <c r="O221" t="n">
        <v>0</v>
      </c>
      <c r="P221" t="n">
        <v>0</v>
      </c>
      <c r="Q221" t="n">
        <v>2</v>
      </c>
      <c r="R221" t="n">
        <v>0</v>
      </c>
      <c r="S221" t="n">
        <v>3</v>
      </c>
      <c r="T221" t="n">
        <v>3</v>
      </c>
      <c r="U221" t="n">
        <v>3</v>
      </c>
      <c r="V221" s="2" t="inlineStr">
        <is>
          <t>Entita
Talltita
Kungsfågel</t>
        </is>
      </c>
      <c r="W221">
        <f>HYPERLINK("https://klasma.github.io/Logging_1257/artfynd/A 35245-2025 artfynd.xlsx", "A 35245-2025")</f>
        <v/>
      </c>
      <c r="X221">
        <f>HYPERLINK("https://klasma.github.io/Logging_1257/kartor/A 35245-2025 karta.png", "A 35245-2025")</f>
        <v/>
      </c>
      <c r="Y221">
        <f>HYPERLINK("https://klasma.github.io/Logging_1257/kartor_geotiff/A 35245-2025 georefererad karta.tif", "A 35245-2025")</f>
        <v/>
      </c>
      <c r="AA221">
        <f>HYPERLINK("https://klasma.github.io/Logging_1257/klagomål/A 35245-2025 FSC-klagomål.docx", "A 35245-2025")</f>
        <v/>
      </c>
      <c r="AB221">
        <f>HYPERLINK("https://klasma.github.io/Logging_1257/klagomålsmail/A 35245-2025 FSC-klagomål mail.docx", "A 35245-2025")</f>
        <v/>
      </c>
      <c r="AC221">
        <f>HYPERLINK("https://klasma.github.io/Logging_1257/tillsyn/A 35245-2025 tillsynsbegäran.docx", "A 35245-2025")</f>
        <v/>
      </c>
      <c r="AD221">
        <f>HYPERLINK("https://klasma.github.io/Logging_1257/tillsynsmail/A 35245-2025 tillsynsbegäran mail.docx", "A 35245-2025")</f>
        <v/>
      </c>
      <c r="AE221">
        <f>HYPERLINK("https://klasma.github.io/Logging_1257/fåglar/A 35245-2025 prioriterade fågelarter.docx", "A 35245-2025")</f>
        <v/>
      </c>
    </row>
    <row r="222" ht="15" customHeight="1">
      <c r="A222" t="inlineStr">
        <is>
          <t>A 2839-2026</t>
        </is>
      </c>
      <c r="B222" t="inlineStr">
        <is>
          <t>avverkningsanmälan</t>
        </is>
      </c>
      <c r="C222" t="inlineStr">
        <is>
          <t>Föryngringsavverkning</t>
        </is>
      </c>
      <c r="D222" s="1" t="n">
        <v>46038</v>
      </c>
      <c r="E222" s="1" t="n">
        <v>46312</v>
      </c>
      <c r="F222" t="inlineStr">
        <is>
          <t>SKÅNE LÄN</t>
        </is>
      </c>
      <c r="G222" t="inlineStr">
        <is>
          <t>KLIPPAN</t>
        </is>
      </c>
      <c r="I222" t="n">
        <v>2.4</v>
      </c>
      <c r="J222" t="n">
        <v>3</v>
      </c>
      <c r="K222" t="n">
        <v>0</v>
      </c>
      <c r="L222" t="n">
        <v>2</v>
      </c>
      <c r="M222" t="n">
        <v>0</v>
      </c>
      <c r="N222" t="n">
        <v>0</v>
      </c>
      <c r="O222" t="n">
        <v>0</v>
      </c>
      <c r="P222" t="n">
        <v>0</v>
      </c>
      <c r="Q222" t="n">
        <v>2</v>
      </c>
      <c r="R222" t="n">
        <v>0</v>
      </c>
      <c r="S222" t="n">
        <v>3</v>
      </c>
      <c r="T222" t="n">
        <v>4</v>
      </c>
      <c r="U222" t="n">
        <v>4</v>
      </c>
      <c r="V222" s="2" t="inlineStr">
        <is>
          <t>Entita
Mindre hackspett
Stjärtmes</t>
        </is>
      </c>
      <c r="W222">
        <f>HYPERLINK("https://klasma.github.io/Logging_1276/artfynd/A 2839-2026 artfynd.xlsx", "A 2839-2026")</f>
        <v/>
      </c>
      <c r="X222">
        <f>HYPERLINK("https://klasma.github.io/Logging_1276/kartor/A 2839-2026 karta.png", "A 2839-2026")</f>
        <v/>
      </c>
      <c r="Y222">
        <f>HYPERLINK("https://klasma.github.io/Logging_1276/kartor_geotiff/A 2839-2026 georefererad karta.tif", "A 2839-2026")</f>
        <v/>
      </c>
      <c r="AA222">
        <f>HYPERLINK("https://klasma.github.io/Logging_1276/klagomål/A 2839-2026 FSC-klagomål.docx", "A 2839-2026")</f>
        <v/>
      </c>
      <c r="AB222">
        <f>HYPERLINK("https://klasma.github.io/Logging_1276/klagomålsmail/A 2839-2026 FSC-klagomål mail.docx", "A 2839-2026")</f>
        <v/>
      </c>
      <c r="AC222">
        <f>HYPERLINK("https://klasma.github.io/Logging_1276/tillsyn/A 2839-2026 tillsynsbegäran.docx", "A 2839-2026")</f>
        <v/>
      </c>
      <c r="AD222">
        <f>HYPERLINK("https://klasma.github.io/Logging_1276/tillsynsmail/A 2839-2026 tillsynsbegäran mail.docx", "A 2839-2026")</f>
        <v/>
      </c>
      <c r="AE222">
        <f>HYPERLINK("https://klasma.github.io/Logging_1276/fåglar/A 2839-2026 prioriterade fågelarter.docx", "A 2839-2026")</f>
        <v/>
      </c>
    </row>
    <row r="223" ht="15" customHeight="1">
      <c r="A223" t="inlineStr">
        <is>
          <t>A 27738-2025</t>
        </is>
      </c>
      <c r="B223" t="inlineStr">
        <is>
          <t>avverkningsanmälan</t>
        </is>
      </c>
      <c r="C223" t="inlineStr">
        <is>
          <t>Föryngringsavverkning</t>
        </is>
      </c>
      <c r="D223" s="1" t="n">
        <v>45815</v>
      </c>
      <c r="E223" s="1" t="n">
        <v>46312</v>
      </c>
      <c r="F223" t="inlineStr">
        <is>
          <t>SKÅNE LÄN</t>
        </is>
      </c>
      <c r="G223" t="inlineStr">
        <is>
          <t>HÖRBY</t>
        </is>
      </c>
      <c r="I223" t="n">
        <v>2.5</v>
      </c>
      <c r="J223" t="n">
        <v>0</v>
      </c>
      <c r="K223" t="n">
        <v>1</v>
      </c>
      <c r="L223" t="n">
        <v>2</v>
      </c>
      <c r="M223" t="n">
        <v>0</v>
      </c>
      <c r="N223" t="n">
        <v>0</v>
      </c>
      <c r="O223" t="n">
        <v>0</v>
      </c>
      <c r="P223" t="n">
        <v>0</v>
      </c>
      <c r="Q223" t="n">
        <v>2</v>
      </c>
      <c r="R223" t="n">
        <v>0</v>
      </c>
      <c r="S223" t="n">
        <v>3</v>
      </c>
      <c r="T223" t="n">
        <v>3</v>
      </c>
      <c r="U223" t="n">
        <v>0</v>
      </c>
      <c r="V223" s="2" t="inlineStr">
        <is>
          <t>Bokvårtlav
Sydlig sotticka
Västlig hakmossa</t>
        </is>
      </c>
      <c r="W223">
        <f>HYPERLINK("https://klasma.github.io/Logging_1266/artfynd/A 27738-2025 artfynd.xlsx", "A 27738-2025")</f>
        <v/>
      </c>
      <c r="X223">
        <f>HYPERLINK("https://klasma.github.io/Logging_1266/kartor/A 27738-2025 karta.png", "A 27738-2025")</f>
        <v/>
      </c>
      <c r="Y223">
        <f>HYPERLINK("https://klasma.github.io/Logging_1266/kartor_geotiff/A 27738-2025 georefererad karta.tif", "A 27738-2025")</f>
        <v/>
      </c>
      <c r="AA223">
        <f>HYPERLINK("https://klasma.github.io/Logging_1266/klagomål/A 27738-2025 FSC-klagomål.docx", "A 27738-2025")</f>
        <v/>
      </c>
      <c r="AB223">
        <f>HYPERLINK("https://klasma.github.io/Logging_1266/klagomålsmail/A 27738-2025 FSC-klagomål mail.docx", "A 27738-2025")</f>
        <v/>
      </c>
      <c r="AC223">
        <f>HYPERLINK("https://klasma.github.io/Logging_1266/tillsyn/A 27738-2025 tillsynsbegäran.docx", "A 27738-2025")</f>
        <v/>
      </c>
      <c r="AD223">
        <f>HYPERLINK("https://klasma.github.io/Logging_1266/tillsynsmail/A 27738-2025 tillsynsbegäran mail.docx", "A 27738-2025")</f>
        <v/>
      </c>
    </row>
    <row r="224" ht="15" customHeight="1">
      <c r="A224" t="inlineStr">
        <is>
          <t>A 45242-2025</t>
        </is>
      </c>
      <c r="B224" t="inlineStr">
        <is>
          <t>avverkningsanmälan</t>
        </is>
      </c>
      <c r="C224" t="inlineStr">
        <is>
          <t>Föryngringsavverkning</t>
        </is>
      </c>
      <c r="D224" s="1" t="n">
        <v>45919</v>
      </c>
      <c r="E224" s="1" t="n">
        <v>46312</v>
      </c>
      <c r="F224" t="inlineStr">
        <is>
          <t>SKÅNE LÄN</t>
        </is>
      </c>
      <c r="G224" t="inlineStr">
        <is>
          <t>KLIPPAN</t>
        </is>
      </c>
      <c r="I224" t="n">
        <v>2.2</v>
      </c>
      <c r="J224" t="n">
        <v>2</v>
      </c>
      <c r="K224" t="n">
        <v>1</v>
      </c>
      <c r="L224" t="n">
        <v>0</v>
      </c>
      <c r="M224" t="n">
        <v>0</v>
      </c>
      <c r="N224" t="n">
        <v>0</v>
      </c>
      <c r="O224" t="n">
        <v>0</v>
      </c>
      <c r="P224" t="n">
        <v>0</v>
      </c>
      <c r="Q224" t="n">
        <v>0</v>
      </c>
      <c r="R224" t="n">
        <v>0</v>
      </c>
      <c r="S224" t="n">
        <v>3</v>
      </c>
      <c r="T224" t="n">
        <v>3</v>
      </c>
      <c r="U224" t="n">
        <v>3</v>
      </c>
      <c r="V224" s="2" t="inlineStr">
        <is>
          <t>Blåmossa
Spillkråka
Kungsfågel</t>
        </is>
      </c>
      <c r="W224">
        <f>HYPERLINK("https://klasma.github.io/Logging_1276/artfynd/A 45242-2025 artfynd.xlsx", "A 45242-2025")</f>
        <v/>
      </c>
      <c r="X224">
        <f>HYPERLINK("https://klasma.github.io/Logging_1276/kartor/A 45242-2025 karta.png", "A 45242-2025")</f>
        <v/>
      </c>
      <c r="Y224">
        <f>HYPERLINK("https://klasma.github.io/Logging_1276/kartor_geotiff/A 45242-2025 georefererad karta.tif", "A 45242-2025")</f>
        <v/>
      </c>
      <c r="AA224">
        <f>HYPERLINK("https://klasma.github.io/Logging_1276/klagomål/A 45242-2025 FSC-klagomål.docx", "A 45242-2025")</f>
        <v/>
      </c>
      <c r="AB224">
        <f>HYPERLINK("https://klasma.github.io/Logging_1276/klagomålsmail/A 45242-2025 FSC-klagomål mail.docx", "A 45242-2025")</f>
        <v/>
      </c>
      <c r="AC224">
        <f>HYPERLINK("https://klasma.github.io/Logging_1276/tillsyn/A 45242-2025 tillsynsbegäran.docx", "A 45242-2025")</f>
        <v/>
      </c>
      <c r="AD224">
        <f>HYPERLINK("https://klasma.github.io/Logging_1276/tillsynsmail/A 45242-2025 tillsynsbegäran mail.docx", "A 45242-2025")</f>
        <v/>
      </c>
      <c r="AE224">
        <f>HYPERLINK("https://klasma.github.io/Logging_1276/fåglar/A 45242-2025 prioriterade fågelarter.docx", "A 45242-2025")</f>
        <v/>
      </c>
    </row>
    <row r="225" ht="15" customHeight="1">
      <c r="A225" t="inlineStr">
        <is>
          <t>A 24801-2025</t>
        </is>
      </c>
      <c r="B225" t="inlineStr">
        <is>
          <t>avverkningsanmälan</t>
        </is>
      </c>
      <c r="C225" t="inlineStr">
        <is>
          <t>Föryngringsavverkning</t>
        </is>
      </c>
      <c r="D225" s="1" t="n">
        <v>45799</v>
      </c>
      <c r="E225" s="1" t="n">
        <v>46312</v>
      </c>
      <c r="F225" t="inlineStr">
        <is>
          <t>SKÅNE LÄN</t>
        </is>
      </c>
      <c r="G225" t="inlineStr">
        <is>
          <t>HÖRBY</t>
        </is>
      </c>
      <c r="I225" t="n">
        <v>4.2</v>
      </c>
      <c r="J225" t="n">
        <v>0</v>
      </c>
      <c r="K225" t="n">
        <v>1</v>
      </c>
      <c r="L225" t="n">
        <v>0</v>
      </c>
      <c r="M225" t="n">
        <v>1</v>
      </c>
      <c r="N225" t="n">
        <v>1</v>
      </c>
      <c r="O225" t="n">
        <v>0</v>
      </c>
      <c r="P225" t="n">
        <v>0</v>
      </c>
      <c r="Q225" t="n">
        <v>2</v>
      </c>
      <c r="R225" t="n">
        <v>2</v>
      </c>
      <c r="S225" t="n">
        <v>3</v>
      </c>
      <c r="T225" t="n">
        <v>5</v>
      </c>
      <c r="U225" t="n">
        <v>1</v>
      </c>
      <c r="V225" s="2" t="inlineStr">
        <is>
          <t>Ask
Småvänderot
Platt fjädermossa</t>
        </is>
      </c>
      <c r="W225">
        <f>HYPERLINK("https://klasma.github.io/Logging_1266/artfynd/A 24801-2025 artfynd.xlsx", "A 24801-2025")</f>
        <v/>
      </c>
      <c r="X225">
        <f>HYPERLINK("https://klasma.github.io/Logging_1266/kartor/A 24801-2025 karta.png", "A 24801-2025")</f>
        <v/>
      </c>
      <c r="Y225">
        <f>HYPERLINK("https://klasma.github.io/Logging_1266/kartor_geotiff/A 24801-2025 georefererad karta.tif", "A 24801-2025")</f>
        <v/>
      </c>
      <c r="AA225">
        <f>HYPERLINK("https://klasma.github.io/Logging_1266/klagomål/A 24801-2025 FSC-klagomål.docx", "A 24801-2025")</f>
        <v/>
      </c>
      <c r="AB225">
        <f>HYPERLINK("https://klasma.github.io/Logging_1266/klagomålsmail/A 24801-2025 FSC-klagomål mail.docx", "A 24801-2025")</f>
        <v/>
      </c>
      <c r="AC225">
        <f>HYPERLINK("https://klasma.github.io/Logging_1266/tillsyn/A 24801-2025 tillsynsbegäran.docx", "A 24801-2025")</f>
        <v/>
      </c>
      <c r="AD225">
        <f>HYPERLINK("https://klasma.github.io/Logging_1266/tillsynsmail/A 24801-2025 tillsynsbegäran mail.docx", "A 24801-2025")</f>
        <v/>
      </c>
    </row>
    <row r="226" ht="15" customHeight="1">
      <c r="A226" t="inlineStr">
        <is>
          <t>A 11648-2024</t>
        </is>
      </c>
      <c r="B226" t="inlineStr">
        <is>
          <t>avverkningsanmälan</t>
        </is>
      </c>
      <c r="C226" t="inlineStr">
        <is>
          <t>Föryngringsavverkning</t>
        </is>
      </c>
      <c r="D226" s="1" t="n">
        <v>45373</v>
      </c>
      <c r="E226" s="1" t="n">
        <v>46312</v>
      </c>
      <c r="F226" t="inlineStr">
        <is>
          <t>SKÅNE LÄN</t>
        </is>
      </c>
      <c r="G226" t="inlineStr">
        <is>
          <t>KÄVLINGE</t>
        </is>
      </c>
      <c r="H226" t="inlineStr">
        <is>
          <t>Övriga Aktiebolag</t>
        </is>
      </c>
      <c r="I226" t="n">
        <v>10.5</v>
      </c>
      <c r="J226" t="n">
        <v>1</v>
      </c>
      <c r="K226" t="n">
        <v>2</v>
      </c>
      <c r="L226" t="n">
        <v>0</v>
      </c>
      <c r="M226" t="n">
        <v>0</v>
      </c>
      <c r="N226" t="n">
        <v>1</v>
      </c>
      <c r="O226" t="n">
        <v>0</v>
      </c>
      <c r="P226" t="n">
        <v>0</v>
      </c>
      <c r="Q226" t="n">
        <v>1</v>
      </c>
      <c r="R226" t="n">
        <v>1</v>
      </c>
      <c r="S226" t="n">
        <v>3</v>
      </c>
      <c r="T226" t="n">
        <v>3</v>
      </c>
      <c r="U226" t="n">
        <v>1</v>
      </c>
      <c r="V226" s="2" t="inlineStr">
        <is>
          <t>Ask
Bokoxe
Skogsknipprot</t>
        </is>
      </c>
      <c r="W226">
        <f>HYPERLINK("https://klasma.github.io/Logging_1261/artfynd/A 11648-2024 artfynd.xlsx", "A 11648-2024")</f>
        <v/>
      </c>
      <c r="X226">
        <f>HYPERLINK("https://klasma.github.io/Logging_1261/kartor/A 11648-2024 karta.png", "A 11648-2024")</f>
        <v/>
      </c>
      <c r="Y226">
        <f>HYPERLINK("https://klasma.github.io/Logging_1261/kartor_geotiff/A 11648-2024 georefererad karta.tif", "A 11648-2024")</f>
        <v/>
      </c>
      <c r="AA226">
        <f>HYPERLINK("https://klasma.github.io/Logging_1261/klagomål/A 11648-2024 FSC-klagomål.docx", "A 11648-2024")</f>
        <v/>
      </c>
      <c r="AB226">
        <f>HYPERLINK("https://klasma.github.io/Logging_1261/klagomålsmail/A 11648-2024 FSC-klagomål mail.docx", "A 11648-2024")</f>
        <v/>
      </c>
      <c r="AC226">
        <f>HYPERLINK("https://klasma.github.io/Logging_1261/tillsyn/A 11648-2024 tillsynsbegäran.docx", "A 11648-2024")</f>
        <v/>
      </c>
      <c r="AD226">
        <f>HYPERLINK("https://klasma.github.io/Logging_1261/tillsynsmail/A 11648-2024 tillsynsbegäran mail.docx", "A 11648-2024")</f>
        <v/>
      </c>
    </row>
    <row r="227" ht="15" customHeight="1">
      <c r="A227" t="inlineStr">
        <is>
          <t>A 31926-2024</t>
        </is>
      </c>
      <c r="B227" t="inlineStr">
        <is>
          <t>avverkningsanmälan</t>
        </is>
      </c>
      <c r="C227" t="inlineStr">
        <is>
          <t>Föryngringsavverkning</t>
        </is>
      </c>
      <c r="D227" s="1" t="n">
        <v>45510</v>
      </c>
      <c r="E227" s="1" t="n">
        <v>46312</v>
      </c>
      <c r="F227" t="inlineStr">
        <is>
          <t>SKÅNE LÄN</t>
        </is>
      </c>
      <c r="G227" t="inlineStr">
        <is>
          <t>ÖRKELLJUNGA</t>
        </is>
      </c>
      <c r="I227" t="n">
        <v>1.9</v>
      </c>
      <c r="J227" t="n">
        <v>0</v>
      </c>
      <c r="K227" t="n">
        <v>3</v>
      </c>
      <c r="L227" t="n">
        <v>0</v>
      </c>
      <c r="M227" t="n">
        <v>0</v>
      </c>
      <c r="N227" t="n">
        <v>0</v>
      </c>
      <c r="O227" t="n">
        <v>0</v>
      </c>
      <c r="P227" t="n">
        <v>0</v>
      </c>
      <c r="Q227" t="n">
        <v>0</v>
      </c>
      <c r="R227" t="n">
        <v>0</v>
      </c>
      <c r="S227" t="n">
        <v>3</v>
      </c>
      <c r="T227" t="n">
        <v>9</v>
      </c>
      <c r="U227" t="n">
        <v>0</v>
      </c>
      <c r="V227" s="2" t="inlineStr">
        <is>
          <t>Havstulpanlav
Klippfrullania
Västlig hakmossa</t>
        </is>
      </c>
      <c r="W227">
        <f>HYPERLINK("https://klasma.github.io/Logging_1257/artfynd/A 31926-2024 artfynd.xlsx", "A 31926-2024")</f>
        <v/>
      </c>
      <c r="X227">
        <f>HYPERLINK("https://klasma.github.io/Logging_1257/kartor/A 31926-2024 karta.png", "A 31926-2024")</f>
        <v/>
      </c>
      <c r="Y227">
        <f>HYPERLINK("https://klasma.github.io/Logging_1257/kartor_geotiff/A 31926-2024 georefererad karta.tif", "A 31926-2024")</f>
        <v/>
      </c>
      <c r="AA227">
        <f>HYPERLINK("https://klasma.github.io/Logging_1257/klagomål/A 31926-2024 FSC-klagomål.docx", "A 31926-2024")</f>
        <v/>
      </c>
      <c r="AB227">
        <f>HYPERLINK("https://klasma.github.io/Logging_1257/klagomålsmail/A 31926-2024 FSC-klagomål mail.docx", "A 31926-2024")</f>
        <v/>
      </c>
      <c r="AC227">
        <f>HYPERLINK("https://klasma.github.io/Logging_1257/tillsyn/A 31926-2024 tillsynsbegäran.docx", "A 31926-2024")</f>
        <v/>
      </c>
      <c r="AD227">
        <f>HYPERLINK("https://klasma.github.io/Logging_1257/tillsynsmail/A 31926-2024 tillsynsbegäran mail.docx", "A 31926-2024")</f>
        <v/>
      </c>
    </row>
    <row r="228" ht="15" customHeight="1">
      <c r="A228" t="inlineStr">
        <is>
          <t>A 35642-2023</t>
        </is>
      </c>
      <c r="B228" t="inlineStr">
        <is>
          <t>avverkningsanmälan</t>
        </is>
      </c>
      <c r="C228" t="inlineStr">
        <is>
          <t>Föryngringsavverkning</t>
        </is>
      </c>
      <c r="D228" s="1" t="n">
        <v>45147</v>
      </c>
      <c r="E228" s="1" t="n">
        <v>46312</v>
      </c>
      <c r="F228" t="inlineStr">
        <is>
          <t>SKÅNE LÄN</t>
        </is>
      </c>
      <c r="G228" t="inlineStr">
        <is>
          <t>HELSINGBORG</t>
        </is>
      </c>
      <c r="I228" t="n">
        <v>1.2</v>
      </c>
      <c r="J228" t="n">
        <v>1</v>
      </c>
      <c r="K228" t="n">
        <v>0</v>
      </c>
      <c r="L228" t="n">
        <v>0</v>
      </c>
      <c r="M228" t="n">
        <v>1</v>
      </c>
      <c r="N228" t="n">
        <v>1</v>
      </c>
      <c r="O228" t="n">
        <v>0</v>
      </c>
      <c r="P228" t="n">
        <v>0</v>
      </c>
      <c r="Q228" t="n">
        <v>2</v>
      </c>
      <c r="R228" t="n">
        <v>2</v>
      </c>
      <c r="S228" t="n">
        <v>3</v>
      </c>
      <c r="T228" t="n">
        <v>3</v>
      </c>
      <c r="U228" t="n">
        <v>3</v>
      </c>
      <c r="V228" s="2" t="inlineStr">
        <is>
          <t>Skorpplätt
Igelkott
Vanlig padda</t>
        </is>
      </c>
      <c r="W228">
        <f>HYPERLINK("https://klasma.github.io/Logging_1283/artfynd/A 35642-2023 artfynd.xlsx", "A 35642-2023")</f>
        <v/>
      </c>
      <c r="X228">
        <f>HYPERLINK("https://klasma.github.io/Logging_1283/kartor/A 35642-2023 karta.png", "A 35642-2023")</f>
        <v/>
      </c>
      <c r="Y228">
        <f>HYPERLINK("https://klasma.github.io/Logging_1283/kartor_geotiff/A 35642-2023 georefererad karta.tif", "A 35642-2023")</f>
        <v/>
      </c>
      <c r="AA228">
        <f>HYPERLINK("https://klasma.github.io/Logging_1283/klagomål/A 35642-2023 FSC-klagomål.docx", "A 35642-2023")</f>
        <v/>
      </c>
      <c r="AB228">
        <f>HYPERLINK("https://klasma.github.io/Logging_1283/klagomålsmail/A 35642-2023 FSC-klagomål mail.docx", "A 35642-2023")</f>
        <v/>
      </c>
      <c r="AC228">
        <f>HYPERLINK("https://klasma.github.io/Logging_1283/tillsyn/A 35642-2023 tillsynsbegäran.docx", "A 35642-2023")</f>
        <v/>
      </c>
      <c r="AD228">
        <f>HYPERLINK("https://klasma.github.io/Logging_1283/tillsynsmail/A 35642-2023 tillsynsbegäran mail.docx", "A 35642-2023")</f>
        <v/>
      </c>
    </row>
    <row r="229" ht="15" customHeight="1">
      <c r="A229" t="inlineStr">
        <is>
          <t>A 25960-2023</t>
        </is>
      </c>
      <c r="B229" t="inlineStr">
        <is>
          <t>avverkningsanmälan</t>
        </is>
      </c>
      <c r="C229" t="inlineStr">
        <is>
          <t>Föryngringsavverkning</t>
        </is>
      </c>
      <c r="D229" s="1" t="n">
        <v>45090</v>
      </c>
      <c r="E229" s="1" t="n">
        <v>46312</v>
      </c>
      <c r="F229" t="inlineStr">
        <is>
          <t>SKÅNE LÄN</t>
        </is>
      </c>
      <c r="G229" t="inlineStr">
        <is>
          <t>ÖRKELLJUNGA</t>
        </is>
      </c>
      <c r="I229" t="n">
        <v>1.9</v>
      </c>
      <c r="J229" t="n">
        <v>0</v>
      </c>
      <c r="K229" t="n">
        <v>2</v>
      </c>
      <c r="L229" t="n">
        <v>1</v>
      </c>
      <c r="M229" t="n">
        <v>0</v>
      </c>
      <c r="N229" t="n">
        <v>0</v>
      </c>
      <c r="O229" t="n">
        <v>0</v>
      </c>
      <c r="P229" t="n">
        <v>0</v>
      </c>
      <c r="Q229" t="n">
        <v>1</v>
      </c>
      <c r="R229" t="n">
        <v>0</v>
      </c>
      <c r="S229" t="n">
        <v>3</v>
      </c>
      <c r="T229" t="n">
        <v>3</v>
      </c>
      <c r="U229" t="n">
        <v>0</v>
      </c>
      <c r="V229" s="2" t="inlineStr">
        <is>
          <t>Bokkantlav
Guldlockmossa
Platt fjädermossa</t>
        </is>
      </c>
      <c r="W229">
        <f>HYPERLINK("https://klasma.github.io/Logging_1257/artfynd/A 25960-2023 artfynd.xlsx", "A 25960-2023")</f>
        <v/>
      </c>
      <c r="X229">
        <f>HYPERLINK("https://klasma.github.io/Logging_1257/kartor/A 25960-2023 karta.png", "A 25960-2023")</f>
        <v/>
      </c>
      <c r="Y229">
        <f>HYPERLINK("https://klasma.github.io/Logging_1257/kartor_geotiff/A 25960-2023 georefererad karta.tif", "A 25960-2023")</f>
        <v/>
      </c>
      <c r="AA229">
        <f>HYPERLINK("https://klasma.github.io/Logging_1257/klagomål/A 25960-2023 FSC-klagomål.docx", "A 25960-2023")</f>
        <v/>
      </c>
      <c r="AB229">
        <f>HYPERLINK("https://klasma.github.io/Logging_1257/klagomålsmail/A 25960-2023 FSC-klagomål mail.docx", "A 25960-2023")</f>
        <v/>
      </c>
      <c r="AC229">
        <f>HYPERLINK("https://klasma.github.io/Logging_1257/tillsyn/A 25960-2023 tillsynsbegäran.docx", "A 25960-2023")</f>
        <v/>
      </c>
      <c r="AD229">
        <f>HYPERLINK("https://klasma.github.io/Logging_1257/tillsynsmail/A 25960-2023 tillsynsbegäran mail.docx", "A 25960-2023")</f>
        <v/>
      </c>
    </row>
    <row r="230" ht="15" customHeight="1">
      <c r="A230" t="inlineStr">
        <is>
          <t>A 2018-2024</t>
        </is>
      </c>
      <c r="B230" t="inlineStr">
        <is>
          <t>avverkningsanmälan</t>
        </is>
      </c>
      <c r="C230" t="inlineStr">
        <is>
          <t>Föryngringsavverkning</t>
        </is>
      </c>
      <c r="D230" s="1" t="n">
        <v>45308</v>
      </c>
      <c r="E230" s="1" t="n">
        <v>46312</v>
      </c>
      <c r="F230" t="inlineStr">
        <is>
          <t>SKÅNE LÄN</t>
        </is>
      </c>
      <c r="G230" t="inlineStr">
        <is>
          <t>TOMELILLA</t>
        </is>
      </c>
      <c r="I230" t="n">
        <v>17.2</v>
      </c>
      <c r="J230" t="n">
        <v>1</v>
      </c>
      <c r="K230" t="n">
        <v>1</v>
      </c>
      <c r="L230" t="n">
        <v>0</v>
      </c>
      <c r="M230" t="n">
        <v>1</v>
      </c>
      <c r="N230" t="n">
        <v>0</v>
      </c>
      <c r="O230" t="n">
        <v>0</v>
      </c>
      <c r="P230" t="n">
        <v>0</v>
      </c>
      <c r="Q230" t="n">
        <v>1</v>
      </c>
      <c r="R230" t="n">
        <v>1</v>
      </c>
      <c r="S230" t="n">
        <v>3</v>
      </c>
      <c r="T230" t="n">
        <v>3</v>
      </c>
      <c r="U230" t="n">
        <v>3</v>
      </c>
      <c r="V230" s="2" t="inlineStr">
        <is>
          <t>Småvänderot
Västlig hakmossa
Röd glada</t>
        </is>
      </c>
      <c r="W230">
        <f>HYPERLINK("https://klasma.github.io/Logging_1270/artfynd/A 2018-2024 artfynd.xlsx", "A 2018-2024")</f>
        <v/>
      </c>
      <c r="X230">
        <f>HYPERLINK("https://klasma.github.io/Logging_1270/kartor/A 2018-2024 karta.png", "A 2018-2024")</f>
        <v/>
      </c>
      <c r="Y230">
        <f>HYPERLINK("https://klasma.github.io/Logging_1270/kartor_geotiff/A 2018-2024 georefererad karta.tif", "A 2018-2024")</f>
        <v/>
      </c>
      <c r="AA230">
        <f>HYPERLINK("https://klasma.github.io/Logging_1270/klagomål/A 2018-2024 FSC-klagomål.docx", "A 2018-2024")</f>
        <v/>
      </c>
      <c r="AB230">
        <f>HYPERLINK("https://klasma.github.io/Logging_1270/klagomålsmail/A 2018-2024 FSC-klagomål mail.docx", "A 2018-2024")</f>
        <v/>
      </c>
      <c r="AC230">
        <f>HYPERLINK("https://klasma.github.io/Logging_1270/tillsyn/A 2018-2024 tillsynsbegäran.docx", "A 2018-2024")</f>
        <v/>
      </c>
      <c r="AD230">
        <f>HYPERLINK("https://klasma.github.io/Logging_1270/tillsynsmail/A 2018-2024 tillsynsbegäran mail.docx", "A 2018-2024")</f>
        <v/>
      </c>
      <c r="AE230">
        <f>HYPERLINK("https://klasma.github.io/Logging_1270/fåglar/A 2018-2024 prioriterade fågelarter.docx", "A 2018-2024")</f>
        <v/>
      </c>
    </row>
    <row r="231" ht="15" customHeight="1">
      <c r="A231" t="inlineStr">
        <is>
          <t>A 4595-2025</t>
        </is>
      </c>
      <c r="B231" t="inlineStr">
        <is>
          <t>avverkningsanmälan</t>
        </is>
      </c>
      <c r="C231" t="inlineStr">
        <is>
          <t>Föryngringsavverkning</t>
        </is>
      </c>
      <c r="D231" s="1" t="n">
        <v>45687</v>
      </c>
      <c r="E231" s="1" t="n">
        <v>46312</v>
      </c>
      <c r="F231" t="inlineStr">
        <is>
          <t>SKÅNE LÄN</t>
        </is>
      </c>
      <c r="G231" t="inlineStr">
        <is>
          <t>HÄSSLEHOLM</t>
        </is>
      </c>
      <c r="I231" t="n">
        <v>2.6</v>
      </c>
      <c r="J231" t="n">
        <v>2</v>
      </c>
      <c r="K231" t="n">
        <v>1</v>
      </c>
      <c r="L231" t="n">
        <v>1</v>
      </c>
      <c r="M231" t="n">
        <v>0</v>
      </c>
      <c r="N231" t="n">
        <v>0</v>
      </c>
      <c r="O231" t="n">
        <v>0</v>
      </c>
      <c r="P231" t="n">
        <v>0</v>
      </c>
      <c r="Q231" t="n">
        <v>1</v>
      </c>
      <c r="R231" t="n">
        <v>0</v>
      </c>
      <c r="S231" t="n">
        <v>3</v>
      </c>
      <c r="T231" t="n">
        <v>5</v>
      </c>
      <c r="U231" t="n">
        <v>5</v>
      </c>
      <c r="V231" s="2" t="inlineStr">
        <is>
          <t>Entita
Blåmossa
Tjäder</t>
        </is>
      </c>
      <c r="W231">
        <f>HYPERLINK("https://klasma.github.io/Logging_1293/artfynd/A 4595-2025 artfynd.xlsx", "A 4595-2025")</f>
        <v/>
      </c>
      <c r="X231">
        <f>HYPERLINK("https://klasma.github.io/Logging_1293/kartor/A 4595-2025 karta.png", "A 4595-2025")</f>
        <v/>
      </c>
      <c r="Y231">
        <f>HYPERLINK("https://klasma.github.io/Logging_1293/kartor_geotiff/A 4595-2025 georefererad karta.tif", "A 4595-2025")</f>
        <v/>
      </c>
      <c r="AA231">
        <f>HYPERLINK("https://klasma.github.io/Logging_1293/klagomål/A 4595-2025 FSC-klagomål.docx", "A 4595-2025")</f>
        <v/>
      </c>
      <c r="AB231">
        <f>HYPERLINK("https://klasma.github.io/Logging_1293/klagomålsmail/A 4595-2025 FSC-klagomål mail.docx", "A 4595-2025")</f>
        <v/>
      </c>
      <c r="AC231">
        <f>HYPERLINK("https://klasma.github.io/Logging_1293/tillsyn/A 4595-2025 tillsynsbegäran.docx", "A 4595-2025")</f>
        <v/>
      </c>
      <c r="AD231">
        <f>HYPERLINK("https://klasma.github.io/Logging_1293/tillsynsmail/A 4595-2025 tillsynsbegäran mail.docx", "A 4595-2025")</f>
        <v/>
      </c>
      <c r="AE231">
        <f>HYPERLINK("https://klasma.github.io/Logging_1293/fåglar/A 4595-2025 prioriterade fågelarter.docx", "A 4595-2025")</f>
        <v/>
      </c>
    </row>
    <row r="232" ht="15" customHeight="1">
      <c r="A232" t="inlineStr">
        <is>
          <t>A 14152-2023</t>
        </is>
      </c>
      <c r="B232" t="inlineStr">
        <is>
          <t>avverkningsanmälan</t>
        </is>
      </c>
      <c r="C232" t="inlineStr">
        <is>
          <t>Föryngringsavverkning</t>
        </is>
      </c>
      <c r="D232" s="1" t="n">
        <v>45009</v>
      </c>
      <c r="E232" s="1" t="n">
        <v>46312</v>
      </c>
      <c r="F232" t="inlineStr">
        <is>
          <t>SKÅNE LÄN</t>
        </is>
      </c>
      <c r="G232" t="inlineStr">
        <is>
          <t>TOMELILLA</t>
        </is>
      </c>
      <c r="I232" t="n">
        <v>3.5</v>
      </c>
      <c r="J232" t="n">
        <v>3</v>
      </c>
      <c r="K232" t="n">
        <v>0</v>
      </c>
      <c r="L232" t="n">
        <v>0</v>
      </c>
      <c r="M232" t="n">
        <v>0</v>
      </c>
      <c r="N232" t="n">
        <v>0</v>
      </c>
      <c r="O232" t="n">
        <v>0</v>
      </c>
      <c r="P232" t="n">
        <v>0</v>
      </c>
      <c r="Q232" t="n">
        <v>0</v>
      </c>
      <c r="R232" t="n">
        <v>0</v>
      </c>
      <c r="S232" t="n">
        <v>3</v>
      </c>
      <c r="T232" t="n">
        <v>3</v>
      </c>
      <c r="U232" t="n">
        <v>3</v>
      </c>
      <c r="V232" s="2" t="inlineStr">
        <is>
          <t>Spillkråka
Kråka
Röd glada</t>
        </is>
      </c>
      <c r="W232">
        <f>HYPERLINK("https://klasma.github.io/Logging_1270/artfynd/A 14152-2023 artfynd.xlsx", "A 14152-2023")</f>
        <v/>
      </c>
      <c r="X232">
        <f>HYPERLINK("https://klasma.github.io/Logging_1270/kartor/A 14152-2023 karta.png", "A 14152-2023")</f>
        <v/>
      </c>
      <c r="Y232">
        <f>HYPERLINK("https://klasma.github.io/Logging_1270/kartor_geotiff/A 14152-2023 georefererad karta.tif", "A 14152-2023")</f>
        <v/>
      </c>
      <c r="AA232">
        <f>HYPERLINK("https://klasma.github.io/Logging_1270/klagomål/A 14152-2023 FSC-klagomål.docx", "A 14152-2023")</f>
        <v/>
      </c>
      <c r="AB232">
        <f>HYPERLINK("https://klasma.github.io/Logging_1270/klagomålsmail/A 14152-2023 FSC-klagomål mail.docx", "A 14152-2023")</f>
        <v/>
      </c>
      <c r="AC232">
        <f>HYPERLINK("https://klasma.github.io/Logging_1270/tillsyn/A 14152-2023 tillsynsbegäran.docx", "A 14152-2023")</f>
        <v/>
      </c>
      <c r="AD232">
        <f>HYPERLINK("https://klasma.github.io/Logging_1270/tillsynsmail/A 14152-2023 tillsynsbegäran mail.docx", "A 14152-2023")</f>
        <v/>
      </c>
      <c r="AE232">
        <f>HYPERLINK("https://klasma.github.io/Logging_1270/fåglar/A 14152-2023 prioriterade fågelarter.docx", "A 14152-2023")</f>
        <v/>
      </c>
    </row>
    <row r="233" ht="15" customHeight="1">
      <c r="A233" t="inlineStr">
        <is>
          <t>A 8065-2025</t>
        </is>
      </c>
      <c r="B233" t="inlineStr">
        <is>
          <t>avverkningsanmälan</t>
        </is>
      </c>
      <c r="C233" t="inlineStr">
        <is>
          <t>Föryngringsavverkning</t>
        </is>
      </c>
      <c r="D233" s="1" t="n">
        <v>45707</v>
      </c>
      <c r="E233" s="1" t="n">
        <v>46312</v>
      </c>
      <c r="F233" t="inlineStr">
        <is>
          <t>SKÅNE LÄN</t>
        </is>
      </c>
      <c r="G233" t="inlineStr">
        <is>
          <t>ÄNGELHOLM</t>
        </is>
      </c>
      <c r="I233" t="n">
        <v>3.3</v>
      </c>
      <c r="J233" t="n">
        <v>0</v>
      </c>
      <c r="K233" t="n">
        <v>0</v>
      </c>
      <c r="L233" t="n">
        <v>2</v>
      </c>
      <c r="M233" t="n">
        <v>1</v>
      </c>
      <c r="N233" t="n">
        <v>0</v>
      </c>
      <c r="O233" t="n">
        <v>0</v>
      </c>
      <c r="P233" t="n">
        <v>0</v>
      </c>
      <c r="Q233" t="n">
        <v>3</v>
      </c>
      <c r="R233" t="n">
        <v>1</v>
      </c>
      <c r="S233" t="n">
        <v>3</v>
      </c>
      <c r="T233" t="n">
        <v>3</v>
      </c>
      <c r="U233" t="n">
        <v>2</v>
      </c>
      <c r="V233" s="2" t="inlineStr">
        <is>
          <t>Småvänderot
Gullpudra
Svinrot</t>
        </is>
      </c>
      <c r="W233">
        <f>HYPERLINK("https://klasma.github.io/Logging_1292/artfynd/A 8065-2025 artfynd.xlsx", "A 8065-2025")</f>
        <v/>
      </c>
      <c r="X233">
        <f>HYPERLINK("https://klasma.github.io/Logging_1292/kartor/A 8065-2025 karta.png", "A 8065-2025")</f>
        <v/>
      </c>
      <c r="Y233">
        <f>HYPERLINK("https://klasma.github.io/Logging_1292/kartor_geotiff/A 8065-2025 georefererad karta.tif", "A 8065-2025")</f>
        <v/>
      </c>
      <c r="AA233">
        <f>HYPERLINK("https://klasma.github.io/Logging_1292/klagomål/A 8065-2025 FSC-klagomål.docx", "A 8065-2025")</f>
        <v/>
      </c>
      <c r="AB233">
        <f>HYPERLINK("https://klasma.github.io/Logging_1292/klagomålsmail/A 8065-2025 FSC-klagomål mail.docx", "A 8065-2025")</f>
        <v/>
      </c>
      <c r="AC233">
        <f>HYPERLINK("https://klasma.github.io/Logging_1292/tillsyn/A 8065-2025 tillsynsbegäran.docx", "A 8065-2025")</f>
        <v/>
      </c>
      <c r="AD233">
        <f>HYPERLINK("https://klasma.github.io/Logging_1292/tillsynsmail/A 8065-2025 tillsynsbegäran mail.docx", "A 8065-2025")</f>
        <v/>
      </c>
    </row>
    <row r="234" ht="15" customHeight="1">
      <c r="A234" t="inlineStr">
        <is>
          <t>A 11517-2024</t>
        </is>
      </c>
      <c r="B234" t="inlineStr">
        <is>
          <t>avverkningsanmälan</t>
        </is>
      </c>
      <c r="C234" t="inlineStr">
        <is>
          <t>Avverkning för annat ändamål</t>
        </is>
      </c>
      <c r="D234" s="1" t="n">
        <v>45372</v>
      </c>
      <c r="E234" s="1" t="n">
        <v>46312</v>
      </c>
      <c r="F234" t="inlineStr">
        <is>
          <t>SKÅNE LÄN</t>
        </is>
      </c>
      <c r="G234" t="inlineStr">
        <is>
          <t>BÅSTAD</t>
        </is>
      </c>
      <c r="I234" t="n">
        <v>0.7</v>
      </c>
      <c r="J234" t="n">
        <v>2</v>
      </c>
      <c r="K234" t="n">
        <v>1</v>
      </c>
      <c r="L234" t="n">
        <v>0</v>
      </c>
      <c r="M234" t="n">
        <v>0</v>
      </c>
      <c r="N234" t="n">
        <v>1</v>
      </c>
      <c r="O234" t="n">
        <v>0</v>
      </c>
      <c r="P234" t="n">
        <v>0</v>
      </c>
      <c r="Q234" t="n">
        <v>1</v>
      </c>
      <c r="R234" t="n">
        <v>1</v>
      </c>
      <c r="S234" t="n">
        <v>3</v>
      </c>
      <c r="T234" t="n">
        <v>3</v>
      </c>
      <c r="U234" t="n">
        <v>0</v>
      </c>
      <c r="V234" s="2" t="inlineStr">
        <is>
          <t>Skogsalm
Tvåblad
Grönvit nattviol</t>
        </is>
      </c>
      <c r="W234">
        <f>HYPERLINK("https://klasma.github.io/Logging_1278/artfynd/A 11517-2024 artfynd.xlsx", "A 11517-2024")</f>
        <v/>
      </c>
      <c r="X234">
        <f>HYPERLINK("https://klasma.github.io/Logging_1278/kartor/A 11517-2024 karta.png", "A 11517-2024")</f>
        <v/>
      </c>
      <c r="Y234">
        <f>HYPERLINK("https://klasma.github.io/Logging_1278/kartor_geotiff/A 11517-2024 georefererad karta.tif", "A 11517-2024")</f>
        <v/>
      </c>
      <c r="AA234">
        <f>HYPERLINK("https://klasma.github.io/Logging_1278/klagomål/A 11517-2024 FSC-klagomål.docx", "A 11517-2024")</f>
        <v/>
      </c>
      <c r="AB234">
        <f>HYPERLINK("https://klasma.github.io/Logging_1278/klagomålsmail/A 11517-2024 FSC-klagomål mail.docx", "A 11517-2024")</f>
        <v/>
      </c>
      <c r="AC234">
        <f>HYPERLINK("https://klasma.github.io/Logging_1278/tillsyn/A 11517-2024 tillsynsbegäran.docx", "A 11517-2024")</f>
        <v/>
      </c>
      <c r="AD234">
        <f>HYPERLINK("https://klasma.github.io/Logging_1278/tillsynsmail/A 11517-2024 tillsynsbegäran mail.docx", "A 11517-2024")</f>
        <v/>
      </c>
    </row>
    <row r="235" ht="15" customHeight="1">
      <c r="A235" t="inlineStr">
        <is>
          <t>A 57726-2024</t>
        </is>
      </c>
      <c r="B235" t="inlineStr">
        <is>
          <t>avverkningsanmälan</t>
        </is>
      </c>
      <c r="C235" t="inlineStr">
        <is>
          <t>Föryngringsavverkning</t>
        </is>
      </c>
      <c r="D235" s="1" t="n">
        <v>45630</v>
      </c>
      <c r="E235" s="1" t="n">
        <v>46312</v>
      </c>
      <c r="F235" t="inlineStr">
        <is>
          <t>SKÅNE LÄN</t>
        </is>
      </c>
      <c r="G235" t="inlineStr">
        <is>
          <t>LUND</t>
        </is>
      </c>
      <c r="I235" t="n">
        <v>11.4</v>
      </c>
      <c r="J235" t="n">
        <v>3</v>
      </c>
      <c r="K235" t="n">
        <v>0</v>
      </c>
      <c r="L235" t="n">
        <v>3</v>
      </c>
      <c r="M235" t="n">
        <v>0</v>
      </c>
      <c r="N235" t="n">
        <v>0</v>
      </c>
      <c r="O235" t="n">
        <v>0</v>
      </c>
      <c r="P235" t="n">
        <v>0</v>
      </c>
      <c r="Q235" t="n">
        <v>3</v>
      </c>
      <c r="R235" t="n">
        <v>0</v>
      </c>
      <c r="S235" t="n">
        <v>3</v>
      </c>
      <c r="T235" t="n">
        <v>6</v>
      </c>
      <c r="U235" t="n">
        <v>2</v>
      </c>
      <c r="V235" s="2" t="inlineStr">
        <is>
          <t>Duvhök
Grönsångare
Mindre hackspett</t>
        </is>
      </c>
      <c r="W235">
        <f>HYPERLINK("https://klasma.github.io/Logging_1281/artfynd/A 57726-2024 artfynd.xlsx", "A 57726-2024")</f>
        <v/>
      </c>
      <c r="X235">
        <f>HYPERLINK("https://klasma.github.io/Logging_1281/kartor/A 57726-2024 karta.png", "A 57726-2024")</f>
        <v/>
      </c>
      <c r="Y235">
        <f>HYPERLINK("https://klasma.github.io/Logging_1281/kartor_geotiff/A 57726-2024 georefererad karta.tif", "A 57726-2024")</f>
        <v/>
      </c>
      <c r="AA235">
        <f>HYPERLINK("https://klasma.github.io/Logging_1281/klagomål/A 57726-2024 FSC-klagomål.docx", "A 57726-2024")</f>
        <v/>
      </c>
      <c r="AB235">
        <f>HYPERLINK("https://klasma.github.io/Logging_1281/klagomålsmail/A 57726-2024 FSC-klagomål mail.docx", "A 57726-2024")</f>
        <v/>
      </c>
      <c r="AC235">
        <f>HYPERLINK("https://klasma.github.io/Logging_1281/tillsyn/A 57726-2024 tillsynsbegäran.docx", "A 57726-2024")</f>
        <v/>
      </c>
      <c r="AD235">
        <f>HYPERLINK("https://klasma.github.io/Logging_1281/tillsynsmail/A 57726-2024 tillsynsbegäran mail.docx", "A 57726-2024")</f>
        <v/>
      </c>
      <c r="AE235">
        <f>HYPERLINK("https://klasma.github.io/Logging_1281/fåglar/A 57726-2024 prioriterade fågelarter.docx", "A 57726-2024")</f>
        <v/>
      </c>
    </row>
    <row r="236" ht="15" customHeight="1">
      <c r="A236" t="inlineStr">
        <is>
          <t>A 6890-2026</t>
        </is>
      </c>
      <c r="B236" t="inlineStr">
        <is>
          <t>avverkningsanmälan</t>
        </is>
      </c>
      <c r="C236" t="inlineStr">
        <is>
          <t>Föryngringsavverkning</t>
        </is>
      </c>
      <c r="D236" s="1" t="n">
        <v>46057</v>
      </c>
      <c r="E236" s="1" t="n">
        <v>46312</v>
      </c>
      <c r="F236" t="inlineStr">
        <is>
          <t>SKÅNE LÄN</t>
        </is>
      </c>
      <c r="G236" t="inlineStr">
        <is>
          <t>KLIPPAN</t>
        </is>
      </c>
      <c r="I236" t="n">
        <v>8</v>
      </c>
      <c r="J236" t="n">
        <v>3</v>
      </c>
      <c r="K236" t="n">
        <v>0</v>
      </c>
      <c r="L236" t="n">
        <v>2</v>
      </c>
      <c r="M236" t="n">
        <v>0</v>
      </c>
      <c r="N236" t="n">
        <v>0</v>
      </c>
      <c r="O236" t="n">
        <v>0</v>
      </c>
      <c r="P236" t="n">
        <v>0</v>
      </c>
      <c r="Q236" t="n">
        <v>2</v>
      </c>
      <c r="R236" t="n">
        <v>0</v>
      </c>
      <c r="S236" t="n">
        <v>3</v>
      </c>
      <c r="T236" t="n">
        <v>3</v>
      </c>
      <c r="U236" t="n">
        <v>1</v>
      </c>
      <c r="V236" s="2" t="inlineStr">
        <is>
          <t>Enkelbeckasin
Entita
Gröngöling</t>
        </is>
      </c>
      <c r="W236">
        <f>HYPERLINK("https://klasma.github.io/Logging_1276/artfynd/A 6890-2026 artfynd.xlsx", "A 6890-2026")</f>
        <v/>
      </c>
      <c r="X236">
        <f>HYPERLINK("https://klasma.github.io/Logging_1276/kartor/A 6890-2026 karta.png", "A 6890-2026")</f>
        <v/>
      </c>
      <c r="Y236">
        <f>HYPERLINK("https://klasma.github.io/Logging_1276/kartor_geotiff/A 6890-2026 georefererad karta.tif", "A 6890-2026")</f>
        <v/>
      </c>
      <c r="AA236">
        <f>HYPERLINK("https://klasma.github.io/Logging_1276/klagomål/A 6890-2026 FSC-klagomål.docx", "A 6890-2026")</f>
        <v/>
      </c>
      <c r="AB236">
        <f>HYPERLINK("https://klasma.github.io/Logging_1276/klagomålsmail/A 6890-2026 FSC-klagomål mail.docx", "A 6890-2026")</f>
        <v/>
      </c>
      <c r="AC236">
        <f>HYPERLINK("https://klasma.github.io/Logging_1276/tillsyn/A 6890-2026 tillsynsbegäran.docx", "A 6890-2026")</f>
        <v/>
      </c>
      <c r="AD236">
        <f>HYPERLINK("https://klasma.github.io/Logging_1276/tillsynsmail/A 6890-2026 tillsynsbegäran mail.docx", "A 6890-2026")</f>
        <v/>
      </c>
      <c r="AE236">
        <f>HYPERLINK("https://klasma.github.io/Logging_1276/fåglar/A 6890-2026 prioriterade fågelarter.docx", "A 6890-2026")</f>
        <v/>
      </c>
    </row>
    <row r="237" ht="15" customHeight="1">
      <c r="A237" t="inlineStr">
        <is>
          <t>A 7616-2024</t>
        </is>
      </c>
      <c r="B237" t="inlineStr">
        <is>
          <t>avverkningsanmälan</t>
        </is>
      </c>
      <c r="C237" t="inlineStr">
        <is>
          <t>Föryngringsavverkning</t>
        </is>
      </c>
      <c r="D237" s="1" t="n">
        <v>45348</v>
      </c>
      <c r="E237" s="1" t="n">
        <v>46312</v>
      </c>
      <c r="F237" t="inlineStr">
        <is>
          <t>SKÅNE LÄN</t>
        </is>
      </c>
      <c r="G237" t="inlineStr">
        <is>
          <t>HÖÖR</t>
        </is>
      </c>
      <c r="I237" t="n">
        <v>4.2</v>
      </c>
      <c r="J237" t="n">
        <v>1</v>
      </c>
      <c r="K237" t="n">
        <v>0</v>
      </c>
      <c r="L237" t="n">
        <v>2</v>
      </c>
      <c r="M237" t="n">
        <v>0</v>
      </c>
      <c r="N237" t="n">
        <v>0</v>
      </c>
      <c r="O237" t="n">
        <v>0</v>
      </c>
      <c r="P237" t="n">
        <v>0</v>
      </c>
      <c r="Q237" t="n">
        <v>2</v>
      </c>
      <c r="R237" t="n">
        <v>0</v>
      </c>
      <c r="S237" t="n">
        <v>3</v>
      </c>
      <c r="T237" t="n">
        <v>3</v>
      </c>
      <c r="U237" t="n">
        <v>2</v>
      </c>
      <c r="V237" s="2" t="inlineStr">
        <is>
          <t>Kösa
Åkerkulla
Skogsödla</t>
        </is>
      </c>
      <c r="W237">
        <f>HYPERLINK("https://klasma.github.io/Logging_1267/artfynd/A 7616-2024 artfynd.xlsx", "A 7616-2024")</f>
        <v/>
      </c>
      <c r="X237">
        <f>HYPERLINK("https://klasma.github.io/Logging_1267/kartor/A 7616-2024 karta.png", "A 7616-2024")</f>
        <v/>
      </c>
      <c r="Y237">
        <f>HYPERLINK("https://klasma.github.io/Logging_1267/kartor_geotiff/A 7616-2024 georefererad karta.tif", "A 7616-2024")</f>
        <v/>
      </c>
      <c r="AA237">
        <f>HYPERLINK("https://klasma.github.io/Logging_1267/klagomål/A 7616-2024 FSC-klagomål.docx", "A 7616-2024")</f>
        <v/>
      </c>
      <c r="AB237">
        <f>HYPERLINK("https://klasma.github.io/Logging_1267/klagomålsmail/A 7616-2024 FSC-klagomål mail.docx", "A 7616-2024")</f>
        <v/>
      </c>
      <c r="AC237">
        <f>HYPERLINK("https://klasma.github.io/Logging_1267/tillsyn/A 7616-2024 tillsynsbegäran.docx", "A 7616-2024")</f>
        <v/>
      </c>
      <c r="AD237">
        <f>HYPERLINK("https://klasma.github.io/Logging_1267/tillsynsmail/A 7616-2024 tillsynsbegäran mail.docx", "A 7616-2024")</f>
        <v/>
      </c>
    </row>
    <row r="238" ht="15" customHeight="1">
      <c r="A238" t="inlineStr">
        <is>
          <t>A 27430-2024</t>
        </is>
      </c>
      <c r="B238" t="inlineStr">
        <is>
          <t>avverkningsanmälan</t>
        </is>
      </c>
      <c r="C238" t="inlineStr">
        <is>
          <t>Föryngringsavverkning</t>
        </is>
      </c>
      <c r="D238" s="1" t="n">
        <v>45474</v>
      </c>
      <c r="E238" s="1" t="n">
        <v>46312</v>
      </c>
      <c r="F238" t="inlineStr">
        <is>
          <t>SKÅNE LÄN</t>
        </is>
      </c>
      <c r="G238" t="inlineStr">
        <is>
          <t>SIMRISHAMN</t>
        </is>
      </c>
      <c r="I238" t="n">
        <v>3.9</v>
      </c>
      <c r="J238" t="n">
        <v>1</v>
      </c>
      <c r="K238" t="n">
        <v>2</v>
      </c>
      <c r="L238" t="n">
        <v>0</v>
      </c>
      <c r="M238" t="n">
        <v>0</v>
      </c>
      <c r="N238" t="n">
        <v>0</v>
      </c>
      <c r="O238" t="n">
        <v>0</v>
      </c>
      <c r="P238" t="n">
        <v>0</v>
      </c>
      <c r="Q238" t="n">
        <v>0</v>
      </c>
      <c r="R238" t="n">
        <v>0</v>
      </c>
      <c r="S238" t="n">
        <v>3</v>
      </c>
      <c r="T238" t="n">
        <v>3</v>
      </c>
      <c r="U238" t="n">
        <v>3</v>
      </c>
      <c r="V238" s="2" t="inlineStr">
        <is>
          <t>Bokoxe
Rostfläck
Spillkråka</t>
        </is>
      </c>
      <c r="W238">
        <f>HYPERLINK("https://klasma.github.io/Logging_1291/artfynd/A 27430-2024 artfynd.xlsx", "A 27430-2024")</f>
        <v/>
      </c>
      <c r="X238">
        <f>HYPERLINK("https://klasma.github.io/Logging_1291/kartor/A 27430-2024 karta.png", "A 27430-2024")</f>
        <v/>
      </c>
      <c r="Y238">
        <f>HYPERLINK("https://klasma.github.io/Logging_1291/kartor_geotiff/A 27430-2024 georefererad karta.tif", "A 27430-2024")</f>
        <v/>
      </c>
      <c r="AA238">
        <f>HYPERLINK("https://klasma.github.io/Logging_1291/klagomål/A 27430-2024 FSC-klagomål.docx", "A 27430-2024")</f>
        <v/>
      </c>
      <c r="AB238">
        <f>HYPERLINK("https://klasma.github.io/Logging_1291/klagomålsmail/A 27430-2024 FSC-klagomål mail.docx", "A 27430-2024")</f>
        <v/>
      </c>
      <c r="AC238">
        <f>HYPERLINK("https://klasma.github.io/Logging_1291/tillsyn/A 27430-2024 tillsynsbegäran.docx", "A 27430-2024")</f>
        <v/>
      </c>
      <c r="AD238">
        <f>HYPERLINK("https://klasma.github.io/Logging_1291/tillsynsmail/A 27430-2024 tillsynsbegäran mail.docx", "A 27430-2024")</f>
        <v/>
      </c>
      <c r="AE238">
        <f>HYPERLINK("https://klasma.github.io/Logging_1291/fåglar/A 27430-2024 prioriterade fågelarter.docx", "A 27430-2024")</f>
        <v/>
      </c>
    </row>
    <row r="239" ht="15" customHeight="1">
      <c r="A239" t="inlineStr">
        <is>
          <t>A 52053-2025</t>
        </is>
      </c>
      <c r="B239" t="inlineStr">
        <is>
          <t>avverkningsanmälan</t>
        </is>
      </c>
      <c r="C239" t="inlineStr">
        <is>
          <t>Föryngringsavverkning</t>
        </is>
      </c>
      <c r="D239" s="1" t="n">
        <v>45952</v>
      </c>
      <c r="E239" s="1" t="n">
        <v>46312</v>
      </c>
      <c r="F239" t="inlineStr">
        <is>
          <t>SKÅNE LÄN</t>
        </is>
      </c>
      <c r="G239" t="inlineStr">
        <is>
          <t>KRISTIANSTAD</t>
        </is>
      </c>
      <c r="I239" t="n">
        <v>5</v>
      </c>
      <c r="J239" t="n">
        <v>0</v>
      </c>
      <c r="K239" t="n">
        <v>2</v>
      </c>
      <c r="L239" t="n">
        <v>0</v>
      </c>
      <c r="M239" t="n">
        <v>0</v>
      </c>
      <c r="N239" t="n">
        <v>1</v>
      </c>
      <c r="O239" t="n">
        <v>0</v>
      </c>
      <c r="P239" t="n">
        <v>0</v>
      </c>
      <c r="Q239" t="n">
        <v>1</v>
      </c>
      <c r="R239" t="n">
        <v>1</v>
      </c>
      <c r="S239" t="n">
        <v>3</v>
      </c>
      <c r="T239" t="n">
        <v>5</v>
      </c>
      <c r="U239" t="n">
        <v>5</v>
      </c>
      <c r="V239" s="2" t="inlineStr">
        <is>
          <t>Ask
Guldlockmossa
Murgröna</t>
        </is>
      </c>
      <c r="W239">
        <f>HYPERLINK("https://klasma.github.io/Logging_1290/artfynd/A 52053-2025 artfynd.xlsx", "A 52053-2025")</f>
        <v/>
      </c>
      <c r="X239">
        <f>HYPERLINK("https://klasma.github.io/Logging_1290/kartor/A 52053-2025 karta.png", "A 52053-2025")</f>
        <v/>
      </c>
      <c r="Y239">
        <f>HYPERLINK("https://klasma.github.io/Logging_1290/kartor_geotiff/A 52053-2025 georefererad karta.tif", "A 52053-2025")</f>
        <v/>
      </c>
      <c r="AA239">
        <f>HYPERLINK("https://klasma.github.io/Logging_1290/klagomål/A 52053-2025 FSC-klagomål.docx", "A 52053-2025")</f>
        <v/>
      </c>
      <c r="AB239">
        <f>HYPERLINK("https://klasma.github.io/Logging_1290/klagomålsmail/A 52053-2025 FSC-klagomål mail.docx", "A 52053-2025")</f>
        <v/>
      </c>
      <c r="AC239">
        <f>HYPERLINK("https://klasma.github.io/Logging_1290/tillsyn/A 52053-2025 tillsynsbegäran.docx", "A 52053-2025")</f>
        <v/>
      </c>
      <c r="AD239">
        <f>HYPERLINK("https://klasma.github.io/Logging_1290/tillsynsmail/A 52053-2025 tillsynsbegäran mail.docx", "A 52053-2025")</f>
        <v/>
      </c>
    </row>
    <row r="240" ht="15" customHeight="1">
      <c r="A240" t="inlineStr">
        <is>
          <t>A 50684-2023</t>
        </is>
      </c>
      <c r="B240" t="inlineStr">
        <is>
          <t>avverkningsanmälan</t>
        </is>
      </c>
      <c r="C240" t="inlineStr">
        <is>
          <t>Föryngringsavverkning</t>
        </is>
      </c>
      <c r="D240" s="1" t="n">
        <v>45210</v>
      </c>
      <c r="E240" s="1" t="n">
        <v>46312</v>
      </c>
      <c r="F240" t="inlineStr">
        <is>
          <t>SKÅNE LÄN</t>
        </is>
      </c>
      <c r="G240" t="inlineStr">
        <is>
          <t>ÄNGELHOLM</t>
        </is>
      </c>
      <c r="I240" t="n">
        <v>1.6</v>
      </c>
      <c r="J240" t="n">
        <v>2</v>
      </c>
      <c r="K240" t="n">
        <v>0</v>
      </c>
      <c r="L240" t="n">
        <v>0</v>
      </c>
      <c r="M240" t="n">
        <v>0</v>
      </c>
      <c r="N240" t="n">
        <v>1</v>
      </c>
      <c r="O240" t="n">
        <v>0</v>
      </c>
      <c r="P240" t="n">
        <v>0</v>
      </c>
      <c r="Q240" t="n">
        <v>1</v>
      </c>
      <c r="R240" t="n">
        <v>1</v>
      </c>
      <c r="S240" t="n">
        <v>3</v>
      </c>
      <c r="T240" t="n">
        <v>3</v>
      </c>
      <c r="U240" t="n">
        <v>0</v>
      </c>
      <c r="V240" s="2" t="inlineStr">
        <is>
          <t>Skogsalm
Kopparödla
Vanlig padda</t>
        </is>
      </c>
      <c r="W240">
        <f>HYPERLINK("https://klasma.github.io/Logging_1292/artfynd/A 50684-2023 artfynd.xlsx", "A 50684-2023")</f>
        <v/>
      </c>
      <c r="X240">
        <f>HYPERLINK("https://klasma.github.io/Logging_1292/kartor/A 50684-2023 karta.png", "A 50684-2023")</f>
        <v/>
      </c>
      <c r="Y240">
        <f>HYPERLINK("https://klasma.github.io/Logging_1292/kartor_geotiff/A 50684-2023 georefererad karta.tif", "A 50684-2023")</f>
        <v/>
      </c>
      <c r="AA240">
        <f>HYPERLINK("https://klasma.github.io/Logging_1292/klagomål/A 50684-2023 FSC-klagomål.docx", "A 50684-2023")</f>
        <v/>
      </c>
      <c r="AB240">
        <f>HYPERLINK("https://klasma.github.io/Logging_1292/klagomålsmail/A 50684-2023 FSC-klagomål mail.docx", "A 50684-2023")</f>
        <v/>
      </c>
      <c r="AC240">
        <f>HYPERLINK("https://klasma.github.io/Logging_1292/tillsyn/A 50684-2023 tillsynsbegäran.docx", "A 50684-2023")</f>
        <v/>
      </c>
      <c r="AD240">
        <f>HYPERLINK("https://klasma.github.io/Logging_1292/tillsynsmail/A 50684-2023 tillsynsbegäran mail.docx", "A 50684-2023")</f>
        <v/>
      </c>
    </row>
    <row r="241" ht="15" customHeight="1">
      <c r="A241" t="inlineStr">
        <is>
          <t>A 24158-2022</t>
        </is>
      </c>
      <c r="B241" t="inlineStr">
        <is>
          <t>avverkningsanmälan</t>
        </is>
      </c>
      <c r="C241" t="inlineStr">
        <is>
          <t>Föryngringsavverkning</t>
        </is>
      </c>
      <c r="D241" s="1" t="n">
        <v>44725</v>
      </c>
      <c r="E241" s="1" t="n">
        <v>46312</v>
      </c>
      <c r="F241" t="inlineStr">
        <is>
          <t>SKÅNE LÄN</t>
        </is>
      </c>
      <c r="G241" t="inlineStr">
        <is>
          <t>HÖRBY</t>
        </is>
      </c>
      <c r="I241" t="n">
        <v>3.1</v>
      </c>
      <c r="J241" t="n">
        <v>0</v>
      </c>
      <c r="K241" t="n">
        <v>0</v>
      </c>
      <c r="L241" t="n">
        <v>2</v>
      </c>
      <c r="M241" t="n">
        <v>1</v>
      </c>
      <c r="N241" t="n">
        <v>0</v>
      </c>
      <c r="O241" t="n">
        <v>0</v>
      </c>
      <c r="P241" t="n">
        <v>0</v>
      </c>
      <c r="Q241" t="n">
        <v>3</v>
      </c>
      <c r="R241" t="n">
        <v>1</v>
      </c>
      <c r="S241" t="n">
        <v>3</v>
      </c>
      <c r="T241" t="n">
        <v>5</v>
      </c>
      <c r="U241" t="n">
        <v>3</v>
      </c>
      <c r="V241" s="2" t="inlineStr">
        <is>
          <t>Slåttergubbe
Borsttåg
Sotnätfjäril</t>
        </is>
      </c>
      <c r="W241">
        <f>HYPERLINK("https://klasma.github.io/Logging_1266/artfynd/A 24158-2022 artfynd.xlsx", "A 24158-2022")</f>
        <v/>
      </c>
      <c r="X241">
        <f>HYPERLINK("https://klasma.github.io/Logging_1266/kartor/A 24158-2022 karta.png", "A 24158-2022")</f>
        <v/>
      </c>
      <c r="Y241">
        <f>HYPERLINK("https://klasma.github.io/Logging_1266/kartor_geotiff/A 24158-2022 georefererad karta.tif", "A 24158-2022")</f>
        <v/>
      </c>
      <c r="AA241">
        <f>HYPERLINK("https://klasma.github.io/Logging_1266/klagomål/A 24158-2022 FSC-klagomål.docx", "A 24158-2022")</f>
        <v/>
      </c>
      <c r="AB241">
        <f>HYPERLINK("https://klasma.github.io/Logging_1266/klagomålsmail/A 24158-2022 FSC-klagomål mail.docx", "A 24158-2022")</f>
        <v/>
      </c>
      <c r="AC241">
        <f>HYPERLINK("https://klasma.github.io/Logging_1266/tillsyn/A 24158-2022 tillsynsbegäran.docx", "A 24158-2022")</f>
        <v/>
      </c>
      <c r="AD241">
        <f>HYPERLINK("https://klasma.github.io/Logging_1266/tillsynsmail/A 24158-2022 tillsynsbegäran mail.docx", "A 24158-2022")</f>
        <v/>
      </c>
    </row>
    <row r="242" ht="15" customHeight="1">
      <c r="A242" t="inlineStr">
        <is>
          <t>A 22740-2026</t>
        </is>
      </c>
      <c r="B242" t="inlineStr">
        <is>
          <t>avverkningsanmälan</t>
        </is>
      </c>
      <c r="C242" t="inlineStr">
        <is>
          <t>Föryngringsavverkning</t>
        </is>
      </c>
      <c r="D242" s="1" t="n">
        <v>46157</v>
      </c>
      <c r="E242" s="1" t="n">
        <v>46312</v>
      </c>
      <c r="F242" t="inlineStr">
        <is>
          <t>SKÅNE LÄN</t>
        </is>
      </c>
      <c r="G242" t="inlineStr">
        <is>
          <t>ÖSTRA GÖINGE</t>
        </is>
      </c>
      <c r="I242" t="n">
        <v>0.5</v>
      </c>
      <c r="J242" t="n">
        <v>0</v>
      </c>
      <c r="K242" t="n">
        <v>2</v>
      </c>
      <c r="L242" t="n">
        <v>0</v>
      </c>
      <c r="M242" t="n">
        <v>0</v>
      </c>
      <c r="N242" t="n">
        <v>0</v>
      </c>
      <c r="O242" t="n">
        <v>0</v>
      </c>
      <c r="P242" t="n">
        <v>0</v>
      </c>
      <c r="Q242" t="n">
        <v>0</v>
      </c>
      <c r="R242" t="n">
        <v>0</v>
      </c>
      <c r="S242" t="n">
        <v>3</v>
      </c>
      <c r="T242" t="n">
        <v>4</v>
      </c>
      <c r="U242" t="n">
        <v>4</v>
      </c>
      <c r="V242" s="2" t="inlineStr">
        <is>
          <t>Havstulpanlav
Rostfläck
Glansfläck</t>
        </is>
      </c>
      <c r="W242">
        <f>HYPERLINK("https://klasma.github.io/Logging_1256/artfynd/A 22740-2026 artfynd.xlsx", "A 22740-2026")</f>
        <v/>
      </c>
      <c r="X242">
        <f>HYPERLINK("https://klasma.github.io/Logging_1256/kartor/A 22740-2026 karta.png", "A 22740-2026")</f>
        <v/>
      </c>
      <c r="Y242">
        <f>HYPERLINK("https://klasma.github.io/Logging_1256/kartor_geotiff/A 22740-2026 georefererad karta.tif", "A 22740-2026")</f>
        <v/>
      </c>
      <c r="AA242">
        <f>HYPERLINK("https://klasma.github.io/Logging_1256/klagomål/A 22740-2026 FSC-klagomål.docx", "A 22740-2026")</f>
        <v/>
      </c>
      <c r="AB242">
        <f>HYPERLINK("https://klasma.github.io/Logging_1256/klagomålsmail/A 22740-2026 FSC-klagomål mail.docx", "A 22740-2026")</f>
        <v/>
      </c>
      <c r="AC242">
        <f>HYPERLINK("https://klasma.github.io/Logging_1256/tillsyn/A 22740-2026 tillsynsbegäran.docx", "A 22740-2026")</f>
        <v/>
      </c>
      <c r="AD242">
        <f>HYPERLINK("https://klasma.github.io/Logging_1256/tillsynsmail/A 22740-2026 tillsynsbegäran mail.docx", "A 22740-2026")</f>
        <v/>
      </c>
    </row>
    <row r="243" ht="15" customHeight="1">
      <c r="A243" t="inlineStr">
        <is>
          <t>A 3317-2026</t>
        </is>
      </c>
      <c r="B243" t="inlineStr">
        <is>
          <t>avverkningsanmälan</t>
        </is>
      </c>
      <c r="C243" t="inlineStr">
        <is>
          <t>Föryngringsavverkning</t>
        </is>
      </c>
      <c r="D243" s="1" t="n">
        <v>46041</v>
      </c>
      <c r="E243" s="1" t="n">
        <v>46312</v>
      </c>
      <c r="F243" t="inlineStr">
        <is>
          <t>SKÅNE LÄN</t>
        </is>
      </c>
      <c r="G243" t="inlineStr">
        <is>
          <t>ÄNGELHOLM</t>
        </is>
      </c>
      <c r="I243" t="n">
        <v>2.9</v>
      </c>
      <c r="J243" t="n">
        <v>3</v>
      </c>
      <c r="K243" t="n">
        <v>0</v>
      </c>
      <c r="L243" t="n">
        <v>2</v>
      </c>
      <c r="M243" t="n">
        <v>0</v>
      </c>
      <c r="N243" t="n">
        <v>0</v>
      </c>
      <c r="O243" t="n">
        <v>0</v>
      </c>
      <c r="P243" t="n">
        <v>0</v>
      </c>
      <c r="Q243" t="n">
        <v>2</v>
      </c>
      <c r="R243" t="n">
        <v>0</v>
      </c>
      <c r="S243" t="n">
        <v>3</v>
      </c>
      <c r="T243" t="n">
        <v>6</v>
      </c>
      <c r="U243" t="n">
        <v>6</v>
      </c>
      <c r="V243" s="2" t="inlineStr">
        <is>
          <t>Entita
Mindre hackspett
Gröngöling</t>
        </is>
      </c>
      <c r="W243">
        <f>HYPERLINK("https://klasma.github.io/Logging_1292/artfynd/A 3317-2026 artfynd.xlsx", "A 3317-2026")</f>
        <v/>
      </c>
      <c r="X243">
        <f>HYPERLINK("https://klasma.github.io/Logging_1292/kartor/A 3317-2026 karta.png", "A 3317-2026")</f>
        <v/>
      </c>
      <c r="Y243">
        <f>HYPERLINK("https://klasma.github.io/Logging_1292/kartor_geotiff/A 3317-2026 georefererad karta.tif", "A 3317-2026")</f>
        <v/>
      </c>
      <c r="AA243">
        <f>HYPERLINK("https://klasma.github.io/Logging_1292/klagomål/A 3317-2026 FSC-klagomål.docx", "A 3317-2026")</f>
        <v/>
      </c>
      <c r="AB243">
        <f>HYPERLINK("https://klasma.github.io/Logging_1292/klagomålsmail/A 3317-2026 FSC-klagomål mail.docx", "A 3317-2026")</f>
        <v/>
      </c>
      <c r="AC243">
        <f>HYPERLINK("https://klasma.github.io/Logging_1292/tillsyn/A 3317-2026 tillsynsbegäran.docx", "A 3317-2026")</f>
        <v/>
      </c>
      <c r="AD243">
        <f>HYPERLINK("https://klasma.github.io/Logging_1292/tillsynsmail/A 3317-2026 tillsynsbegäran mail.docx", "A 3317-2026")</f>
        <v/>
      </c>
      <c r="AE243">
        <f>HYPERLINK("https://klasma.github.io/Logging_1292/fåglar/A 3317-2026 prioriterade fågelarter.docx", "A 3317-2026")</f>
        <v/>
      </c>
    </row>
    <row r="244" ht="15" customHeight="1">
      <c r="A244" t="inlineStr">
        <is>
          <t>A 30000-2026</t>
        </is>
      </c>
      <c r="B244" t="inlineStr">
        <is>
          <t>avverkningsanmälan</t>
        </is>
      </c>
      <c r="C244" t="inlineStr">
        <is>
          <t>Föryngringsavverkning</t>
        </is>
      </c>
      <c r="D244" s="1" t="n">
        <v>46205</v>
      </c>
      <c r="E244" s="1" t="n">
        <v>46312</v>
      </c>
      <c r="F244" t="inlineStr">
        <is>
          <t>SKÅNE LÄN</t>
        </is>
      </c>
      <c r="G244" t="inlineStr">
        <is>
          <t>ÖSTRA GÖINGE</t>
        </is>
      </c>
      <c r="I244" t="n">
        <v>5.5</v>
      </c>
      <c r="J244" t="n">
        <v>0</v>
      </c>
      <c r="K244" t="n">
        <v>1</v>
      </c>
      <c r="L244" t="n">
        <v>1</v>
      </c>
      <c r="M244" t="n">
        <v>0</v>
      </c>
      <c r="N244" t="n">
        <v>1</v>
      </c>
      <c r="O244" t="n">
        <v>0</v>
      </c>
      <c r="P244" t="n">
        <v>0</v>
      </c>
      <c r="Q244" t="n">
        <v>2</v>
      </c>
      <c r="R244" t="n">
        <v>1</v>
      </c>
      <c r="S244" t="n">
        <v>3</v>
      </c>
      <c r="T244" t="n">
        <v>3</v>
      </c>
      <c r="U244" t="n">
        <v>1</v>
      </c>
      <c r="V244" s="2" t="inlineStr">
        <is>
          <t>Skogsalm
Svart skogssnigel
Tibast</t>
        </is>
      </c>
      <c r="W244">
        <f>HYPERLINK("https://klasma.github.io/Logging_1256/artfynd/A 30000-2026 artfynd.xlsx", "A 30000-2026")</f>
        <v/>
      </c>
      <c r="X244">
        <f>HYPERLINK("https://klasma.github.io/Logging_1256/kartor/A 30000-2026 karta.png", "A 30000-2026")</f>
        <v/>
      </c>
      <c r="Y244">
        <f>HYPERLINK("https://klasma.github.io/Logging_1256/kartor_geotiff/A 30000-2026 georefererad karta.tif", "A 30000-2026")</f>
        <v/>
      </c>
      <c r="AA244">
        <f>HYPERLINK("https://klasma.github.io/Logging_1256/klagomål/A 30000-2026 FSC-klagomål.docx", "A 30000-2026")</f>
        <v/>
      </c>
      <c r="AB244">
        <f>HYPERLINK("https://klasma.github.io/Logging_1256/klagomålsmail/A 30000-2026 FSC-klagomål mail.docx", "A 30000-2026")</f>
        <v/>
      </c>
      <c r="AC244">
        <f>HYPERLINK("https://klasma.github.io/Logging_1256/tillsyn/A 30000-2026 tillsynsbegäran.docx", "A 30000-2026")</f>
        <v/>
      </c>
      <c r="AD244">
        <f>HYPERLINK("https://klasma.github.io/Logging_1256/tillsynsmail/A 30000-2026 tillsynsbegäran mail.docx", "A 30000-2026")</f>
        <v/>
      </c>
    </row>
    <row r="245" ht="15" customHeight="1">
      <c r="A245" t="inlineStr">
        <is>
          <t>A 30887-2026</t>
        </is>
      </c>
      <c r="B245" t="inlineStr">
        <is>
          <t>avverkningsanmälan</t>
        </is>
      </c>
      <c r="C245" t="inlineStr">
        <is>
          <t>Föryngringsavverkning</t>
        </is>
      </c>
      <c r="D245" s="1" t="n">
        <v>46212</v>
      </c>
      <c r="E245" s="1" t="n">
        <v>46312</v>
      </c>
      <c r="F245" t="inlineStr">
        <is>
          <t>SKÅNE LÄN</t>
        </is>
      </c>
      <c r="G245" t="inlineStr">
        <is>
          <t>HÄSSLEHOLM</t>
        </is>
      </c>
      <c r="I245" t="n">
        <v>14.2</v>
      </c>
      <c r="J245" t="n">
        <v>0</v>
      </c>
      <c r="K245" t="n">
        <v>1</v>
      </c>
      <c r="L245" t="n">
        <v>0</v>
      </c>
      <c r="M245" t="n">
        <v>1</v>
      </c>
      <c r="N245" t="n">
        <v>1</v>
      </c>
      <c r="O245" t="n">
        <v>0</v>
      </c>
      <c r="P245" t="n">
        <v>0</v>
      </c>
      <c r="Q245" t="n">
        <v>2</v>
      </c>
      <c r="R245" t="n">
        <v>2</v>
      </c>
      <c r="S245" t="n">
        <v>3</v>
      </c>
      <c r="T245" t="n">
        <v>3</v>
      </c>
      <c r="U245" t="n">
        <v>0</v>
      </c>
      <c r="V245" s="2" t="inlineStr">
        <is>
          <t>Ask
Småvänderot
Tibast</t>
        </is>
      </c>
      <c r="W245">
        <f>HYPERLINK("https://klasma.github.io/Logging_1293/artfynd/A 30887-2026 artfynd.xlsx", "A 30887-2026")</f>
        <v/>
      </c>
      <c r="X245">
        <f>HYPERLINK("https://klasma.github.io/Logging_1293/kartor/A 30887-2026 karta.png", "A 30887-2026")</f>
        <v/>
      </c>
      <c r="Y245">
        <f>HYPERLINK("https://klasma.github.io/Logging_1293/kartor_geotiff/A 30887-2026 georefererad karta.tif", "A 30887-2026")</f>
        <v/>
      </c>
      <c r="AA245">
        <f>HYPERLINK("https://klasma.github.io/Logging_1293/klagomål/A 30887-2026 FSC-klagomål.docx", "A 30887-2026")</f>
        <v/>
      </c>
      <c r="AB245">
        <f>HYPERLINK("https://klasma.github.io/Logging_1293/klagomålsmail/A 30887-2026 FSC-klagomål mail.docx", "A 30887-2026")</f>
        <v/>
      </c>
      <c r="AC245">
        <f>HYPERLINK("https://klasma.github.io/Logging_1293/tillsyn/A 30887-2026 tillsynsbegäran.docx", "A 30887-2026")</f>
        <v/>
      </c>
      <c r="AD245">
        <f>HYPERLINK("https://klasma.github.io/Logging_1293/tillsynsmail/A 30887-2026 tillsynsbegäran mail.docx", "A 30887-2026")</f>
        <v/>
      </c>
    </row>
    <row r="246" ht="15" customHeight="1">
      <c r="A246" t="inlineStr">
        <is>
          <t>A 12576-2023</t>
        </is>
      </c>
      <c r="B246" t="inlineStr">
        <is>
          <t>avverkningsanmälan</t>
        </is>
      </c>
      <c r="C246" t="inlineStr">
        <is>
          <t>Föryngringsavverkning</t>
        </is>
      </c>
      <c r="D246" s="1" t="n">
        <v>45000</v>
      </c>
      <c r="E246" s="1" t="n">
        <v>46312</v>
      </c>
      <c r="F246" t="inlineStr">
        <is>
          <t>SKÅNE LÄN</t>
        </is>
      </c>
      <c r="G246" t="inlineStr">
        <is>
          <t>KRISTIANSTAD</t>
        </is>
      </c>
      <c r="I246" t="n">
        <v>5.8</v>
      </c>
      <c r="J246" t="n">
        <v>0</v>
      </c>
      <c r="K246" t="n">
        <v>0</v>
      </c>
      <c r="L246" t="n">
        <v>1</v>
      </c>
      <c r="M246" t="n">
        <v>2</v>
      </c>
      <c r="N246" t="n">
        <v>0</v>
      </c>
      <c r="O246" t="n">
        <v>0</v>
      </c>
      <c r="P246" t="n">
        <v>0</v>
      </c>
      <c r="Q246" t="n">
        <v>3</v>
      </c>
      <c r="R246" t="n">
        <v>2</v>
      </c>
      <c r="S246" t="n">
        <v>3</v>
      </c>
      <c r="T246" t="n">
        <v>3</v>
      </c>
      <c r="U246" t="n">
        <v>0</v>
      </c>
      <c r="V246" s="2" t="inlineStr">
        <is>
          <t>Bukspolsnäcka
Tandsnäcka
Lamellsnäcka</t>
        </is>
      </c>
      <c r="W246">
        <f>HYPERLINK("https://klasma.github.io/Logging_1290/artfynd/A 12576-2023 artfynd.xlsx", "A 12576-2023")</f>
        <v/>
      </c>
      <c r="X246">
        <f>HYPERLINK("https://klasma.github.io/Logging_1290/kartor/A 12576-2023 karta.png", "A 12576-2023")</f>
        <v/>
      </c>
      <c r="Y246">
        <f>HYPERLINK("https://klasma.github.io/Logging_1290/kartor_geotiff/A 12576-2023 georefererad karta.tif", "A 12576-2023")</f>
        <v/>
      </c>
      <c r="AA246">
        <f>HYPERLINK("https://klasma.github.io/Logging_1290/klagomål/A 12576-2023 FSC-klagomål.docx", "A 12576-2023")</f>
        <v/>
      </c>
      <c r="AB246">
        <f>HYPERLINK("https://klasma.github.io/Logging_1290/klagomålsmail/A 12576-2023 FSC-klagomål mail.docx", "A 12576-2023")</f>
        <v/>
      </c>
      <c r="AC246">
        <f>HYPERLINK("https://klasma.github.io/Logging_1290/tillsyn/A 12576-2023 tillsynsbegäran.docx", "A 12576-2023")</f>
        <v/>
      </c>
      <c r="AD246">
        <f>HYPERLINK("https://klasma.github.io/Logging_1290/tillsynsmail/A 12576-2023 tillsynsbegäran mail.docx", "A 12576-2023")</f>
        <v/>
      </c>
    </row>
    <row r="247" ht="15" customHeight="1">
      <c r="A247" t="inlineStr">
        <is>
          <t>A 31907-2023</t>
        </is>
      </c>
      <c r="B247" t="inlineStr">
        <is>
          <t>avverkningsanmälan</t>
        </is>
      </c>
      <c r="C247" t="inlineStr">
        <is>
          <t>Föryngringsavverkning</t>
        </is>
      </c>
      <c r="D247" s="1" t="n">
        <v>45118</v>
      </c>
      <c r="E247" s="1" t="n">
        <v>46312</v>
      </c>
      <c r="F247" t="inlineStr">
        <is>
          <t>SKÅNE LÄN</t>
        </is>
      </c>
      <c r="G247" t="inlineStr">
        <is>
          <t>ÄNGELHOLM</t>
        </is>
      </c>
      <c r="I247" t="n">
        <v>5.3</v>
      </c>
      <c r="J247" t="n">
        <v>0</v>
      </c>
      <c r="K247" t="n">
        <v>2</v>
      </c>
      <c r="L247" t="n">
        <v>1</v>
      </c>
      <c r="M247" t="n">
        <v>0</v>
      </c>
      <c r="N247" t="n">
        <v>0</v>
      </c>
      <c r="O247" t="n">
        <v>0</v>
      </c>
      <c r="P247" t="n">
        <v>0</v>
      </c>
      <c r="Q247" t="n">
        <v>1</v>
      </c>
      <c r="R247" t="n">
        <v>0</v>
      </c>
      <c r="S247" t="n">
        <v>3</v>
      </c>
      <c r="T247" t="n">
        <v>3</v>
      </c>
      <c r="U247" t="n">
        <v>0</v>
      </c>
      <c r="V247" s="2" t="inlineStr">
        <is>
          <t>Bokvårtlav
Platt fjädermossa
Stubbspretmossa</t>
        </is>
      </c>
      <c r="W247">
        <f>HYPERLINK("https://klasma.github.io/Logging_1292/artfynd/A 31907-2023 artfynd.xlsx", "A 31907-2023")</f>
        <v/>
      </c>
      <c r="X247">
        <f>HYPERLINK("https://klasma.github.io/Logging_1292/kartor/A 31907-2023 karta.png", "A 31907-2023")</f>
        <v/>
      </c>
      <c r="Y247">
        <f>HYPERLINK("https://klasma.github.io/Logging_1292/kartor_geotiff/A 31907-2023 georefererad karta.tif", "A 31907-2023")</f>
        <v/>
      </c>
      <c r="AA247">
        <f>HYPERLINK("https://klasma.github.io/Logging_1292/klagomål/A 31907-2023 FSC-klagomål.docx", "A 31907-2023")</f>
        <v/>
      </c>
      <c r="AB247">
        <f>HYPERLINK("https://klasma.github.io/Logging_1292/klagomålsmail/A 31907-2023 FSC-klagomål mail.docx", "A 31907-2023")</f>
        <v/>
      </c>
      <c r="AC247">
        <f>HYPERLINK("https://klasma.github.io/Logging_1292/tillsyn/A 31907-2023 tillsynsbegäran.docx", "A 31907-2023")</f>
        <v/>
      </c>
      <c r="AD247">
        <f>HYPERLINK("https://klasma.github.io/Logging_1292/tillsynsmail/A 31907-2023 tillsynsbegäran mail.docx", "A 31907-2023")</f>
        <v/>
      </c>
    </row>
    <row r="248" ht="15" customHeight="1">
      <c r="A248" t="inlineStr">
        <is>
          <t>A 53878-2022</t>
        </is>
      </c>
      <c r="B248" t="inlineStr">
        <is>
          <t>avverkningsanmälan</t>
        </is>
      </c>
      <c r="C248" t="inlineStr">
        <is>
          <t>Föryngringsavverkning</t>
        </is>
      </c>
      <c r="D248" s="1" t="n">
        <v>44880</v>
      </c>
      <c r="E248" s="1" t="n">
        <v>46312</v>
      </c>
      <c r="F248" t="inlineStr">
        <is>
          <t>SKÅNE LÄN</t>
        </is>
      </c>
      <c r="G248" t="inlineStr">
        <is>
          <t>KLIPPAN</t>
        </is>
      </c>
      <c r="I248" t="n">
        <v>8.300000000000001</v>
      </c>
      <c r="J248" t="n">
        <v>3</v>
      </c>
      <c r="K248" t="n">
        <v>0</v>
      </c>
      <c r="L248" t="n">
        <v>2</v>
      </c>
      <c r="M248" t="n">
        <v>0</v>
      </c>
      <c r="N248" t="n">
        <v>0</v>
      </c>
      <c r="O248" t="n">
        <v>0</v>
      </c>
      <c r="P248" t="n">
        <v>0</v>
      </c>
      <c r="Q248" t="n">
        <v>2</v>
      </c>
      <c r="R248" t="n">
        <v>0</v>
      </c>
      <c r="S248" t="n">
        <v>3</v>
      </c>
      <c r="T248" t="n">
        <v>3</v>
      </c>
      <c r="U248" t="n">
        <v>3</v>
      </c>
      <c r="V248" s="2" t="inlineStr">
        <is>
          <t>Entita
Gulsparv
Grönvit nattviol</t>
        </is>
      </c>
      <c r="W248">
        <f>HYPERLINK("https://klasma.github.io/Logging_1276/artfynd/A 53878-2022 artfynd.xlsx", "A 53878-2022")</f>
        <v/>
      </c>
      <c r="X248">
        <f>HYPERLINK("https://klasma.github.io/Logging_1276/kartor/A 53878-2022 karta.png", "A 53878-2022")</f>
        <v/>
      </c>
      <c r="Y248">
        <f>HYPERLINK("https://klasma.github.io/Logging_1276/kartor_geotiff/A 53878-2022 georefererad karta.tif", "A 53878-2022")</f>
        <v/>
      </c>
      <c r="AA248">
        <f>HYPERLINK("https://klasma.github.io/Logging_1276/klagomål/A 53878-2022 FSC-klagomål.docx", "A 53878-2022")</f>
        <v/>
      </c>
      <c r="AB248">
        <f>HYPERLINK("https://klasma.github.io/Logging_1276/klagomålsmail/A 53878-2022 FSC-klagomål mail.docx", "A 53878-2022")</f>
        <v/>
      </c>
      <c r="AC248">
        <f>HYPERLINK("https://klasma.github.io/Logging_1276/tillsyn/A 53878-2022 tillsynsbegäran.docx", "A 53878-2022")</f>
        <v/>
      </c>
      <c r="AD248">
        <f>HYPERLINK("https://klasma.github.io/Logging_1276/tillsynsmail/A 53878-2022 tillsynsbegäran mail.docx", "A 53878-2022")</f>
        <v/>
      </c>
      <c r="AE248">
        <f>HYPERLINK("https://klasma.github.io/Logging_1276/fåglar/A 53878-2022 prioriterade fågelarter.docx", "A 53878-2022")</f>
        <v/>
      </c>
    </row>
    <row r="249" ht="15" customHeight="1">
      <c r="A249" t="inlineStr">
        <is>
          <t>A 32369-2026</t>
        </is>
      </c>
      <c r="B249" t="inlineStr">
        <is>
          <t>avverkningsanmälan</t>
        </is>
      </c>
      <c r="C249" t="inlineStr">
        <is>
          <t>Föryngringsavverkning</t>
        </is>
      </c>
      <c r="D249" s="1" t="n">
        <v>46238</v>
      </c>
      <c r="E249" s="1" t="n">
        <v>46312</v>
      </c>
      <c r="F249" t="inlineStr">
        <is>
          <t>SKÅNE LÄN</t>
        </is>
      </c>
      <c r="G249" t="inlineStr">
        <is>
          <t>HÄSSLEHOLM</t>
        </is>
      </c>
      <c r="I249" t="n">
        <v>8.5</v>
      </c>
      <c r="J249" t="n">
        <v>3</v>
      </c>
      <c r="K249" t="n">
        <v>0</v>
      </c>
      <c r="L249" t="n">
        <v>0</v>
      </c>
      <c r="M249" t="n">
        <v>0</v>
      </c>
      <c r="N249" t="n">
        <v>0</v>
      </c>
      <c r="O249" t="n">
        <v>0</v>
      </c>
      <c r="P249" t="n">
        <v>0</v>
      </c>
      <c r="Q249" t="n">
        <v>0</v>
      </c>
      <c r="R249" t="n">
        <v>0</v>
      </c>
      <c r="S249" t="n">
        <v>3</v>
      </c>
      <c r="T249" t="n">
        <v>3</v>
      </c>
      <c r="U249" t="n">
        <v>0</v>
      </c>
      <c r="V249" s="2" t="inlineStr">
        <is>
          <t>Dvärgpipistrell
Större brunfladdermus
Vattenfladdermus</t>
        </is>
      </c>
      <c r="W249">
        <f>HYPERLINK("https://klasma.github.io/Logging_1293/artfynd/A 32369-2026 artfynd.xlsx", "A 32369-2026")</f>
        <v/>
      </c>
      <c r="X249">
        <f>HYPERLINK("https://klasma.github.io/Logging_1293/kartor/A 32369-2026 karta.png", "A 32369-2026")</f>
        <v/>
      </c>
      <c r="Y249">
        <f>HYPERLINK("https://klasma.github.io/Logging_1293/kartor_geotiff/A 32369-2026 georefererad karta.tif", "A 32369-2026")</f>
        <v/>
      </c>
      <c r="AA249">
        <f>HYPERLINK("https://klasma.github.io/Logging_1293/klagomål/A 32369-2026 FSC-klagomål.docx", "A 32369-2026")</f>
        <v/>
      </c>
      <c r="AB249">
        <f>HYPERLINK("https://klasma.github.io/Logging_1293/klagomålsmail/A 32369-2026 FSC-klagomål mail.docx", "A 32369-2026")</f>
        <v/>
      </c>
      <c r="AC249">
        <f>HYPERLINK("https://klasma.github.io/Logging_1293/tillsyn/A 32369-2026 tillsynsbegäran.docx", "A 32369-2026")</f>
        <v/>
      </c>
      <c r="AD249">
        <f>HYPERLINK("https://klasma.github.io/Logging_1293/tillsynsmail/A 32369-2026 tillsynsbegäran mail.docx", "A 32369-2026")</f>
        <v/>
      </c>
    </row>
    <row r="250" ht="15" customHeight="1">
      <c r="A250" t="inlineStr">
        <is>
          <t>A 14933-2023</t>
        </is>
      </c>
      <c r="B250" t="inlineStr">
        <is>
          <t>avverkningsanmälan</t>
        </is>
      </c>
      <c r="C250" t="inlineStr">
        <is>
          <t>Föryngringsavverkning</t>
        </is>
      </c>
      <c r="D250" s="1" t="n">
        <v>45014</v>
      </c>
      <c r="E250" s="1" t="n">
        <v>46312</v>
      </c>
      <c r="F250" t="inlineStr">
        <is>
          <t>SKÅNE LÄN</t>
        </is>
      </c>
      <c r="G250" t="inlineStr">
        <is>
          <t>HÄSSLEHOLM</t>
        </is>
      </c>
      <c r="I250" t="n">
        <v>1.2</v>
      </c>
      <c r="J250" t="n">
        <v>1</v>
      </c>
      <c r="K250" t="n">
        <v>0</v>
      </c>
      <c r="L250" t="n">
        <v>1</v>
      </c>
      <c r="M250" t="n">
        <v>1</v>
      </c>
      <c r="N250" t="n">
        <v>0</v>
      </c>
      <c r="O250" t="n">
        <v>0</v>
      </c>
      <c r="P250" t="n">
        <v>0</v>
      </c>
      <c r="Q250" t="n">
        <v>2</v>
      </c>
      <c r="R250" t="n">
        <v>1</v>
      </c>
      <c r="S250" t="n">
        <v>3</v>
      </c>
      <c r="T250" t="n">
        <v>11</v>
      </c>
      <c r="U250" t="n">
        <v>2</v>
      </c>
      <c r="V250" s="2" t="inlineStr">
        <is>
          <t>Småvänderot
Gullpudra
Skogsduva</t>
        </is>
      </c>
      <c r="W250">
        <f>HYPERLINK("https://klasma.github.io/Logging_1293/artfynd/A 14933-2023 artfynd.xlsx", "A 14933-2023")</f>
        <v/>
      </c>
      <c r="X250">
        <f>HYPERLINK("https://klasma.github.io/Logging_1293/kartor/A 14933-2023 karta.png", "A 14933-2023")</f>
        <v/>
      </c>
      <c r="Y250">
        <f>HYPERLINK("https://klasma.github.io/Logging_1293/kartor_geotiff/A 14933-2023 georefererad karta.tif", "A 14933-2023")</f>
        <v/>
      </c>
      <c r="AA250">
        <f>HYPERLINK("https://klasma.github.io/Logging_1293/klagomål/A 14933-2023 FSC-klagomål.docx", "A 14933-2023")</f>
        <v/>
      </c>
      <c r="AB250">
        <f>HYPERLINK("https://klasma.github.io/Logging_1293/klagomålsmail/A 14933-2023 FSC-klagomål mail.docx", "A 14933-2023")</f>
        <v/>
      </c>
      <c r="AC250">
        <f>HYPERLINK("https://klasma.github.io/Logging_1293/tillsyn/A 14933-2023 tillsynsbegäran.docx", "A 14933-2023")</f>
        <v/>
      </c>
      <c r="AD250">
        <f>HYPERLINK("https://klasma.github.io/Logging_1293/tillsynsmail/A 14933-2023 tillsynsbegäran mail.docx", "A 14933-2023")</f>
        <v/>
      </c>
    </row>
    <row r="251" ht="15" customHeight="1">
      <c r="A251" t="inlineStr">
        <is>
          <t>A 54644-2023</t>
        </is>
      </c>
      <c r="B251" t="inlineStr">
        <is>
          <t>avverkningsanmälan</t>
        </is>
      </c>
      <c r="C251" t="inlineStr">
        <is>
          <t>Föryngringsavverkning</t>
        </is>
      </c>
      <c r="D251" s="1" t="n">
        <v>45235</v>
      </c>
      <c r="E251" s="1" t="n">
        <v>46312</v>
      </c>
      <c r="F251" t="inlineStr">
        <is>
          <t>SKÅNE LÄN</t>
        </is>
      </c>
      <c r="G251" t="inlineStr">
        <is>
          <t>KLIPPAN</t>
        </is>
      </c>
      <c r="I251" t="n">
        <v>8.1</v>
      </c>
      <c r="J251" t="n">
        <v>2</v>
      </c>
      <c r="K251" t="n">
        <v>1</v>
      </c>
      <c r="L251" t="n">
        <v>0</v>
      </c>
      <c r="M251" t="n">
        <v>0</v>
      </c>
      <c r="N251" t="n">
        <v>0</v>
      </c>
      <c r="O251" t="n">
        <v>0</v>
      </c>
      <c r="P251" t="n">
        <v>0</v>
      </c>
      <c r="Q251" t="n">
        <v>0</v>
      </c>
      <c r="R251" t="n">
        <v>0</v>
      </c>
      <c r="S251" t="n">
        <v>3</v>
      </c>
      <c r="T251" t="n">
        <v>3</v>
      </c>
      <c r="U251" t="n">
        <v>1</v>
      </c>
      <c r="V251" s="2" t="inlineStr">
        <is>
          <t>Havstulpanlav
Spillkråka
Skogsduva</t>
        </is>
      </c>
      <c r="W251">
        <f>HYPERLINK("https://klasma.github.io/Logging_1276/artfynd/A 54644-2023 artfynd.xlsx", "A 54644-2023")</f>
        <v/>
      </c>
      <c r="X251">
        <f>HYPERLINK("https://klasma.github.io/Logging_1276/kartor/A 54644-2023 karta.png", "A 54644-2023")</f>
        <v/>
      </c>
      <c r="Y251">
        <f>HYPERLINK("https://klasma.github.io/Logging_1276/kartor_geotiff/A 54644-2023 georefererad karta.tif", "A 54644-2023")</f>
        <v/>
      </c>
      <c r="AA251">
        <f>HYPERLINK("https://klasma.github.io/Logging_1276/klagomål/A 54644-2023 FSC-klagomål.docx", "A 54644-2023")</f>
        <v/>
      </c>
      <c r="AB251">
        <f>HYPERLINK("https://klasma.github.io/Logging_1276/klagomålsmail/A 54644-2023 FSC-klagomål mail.docx", "A 54644-2023")</f>
        <v/>
      </c>
      <c r="AC251">
        <f>HYPERLINK("https://klasma.github.io/Logging_1276/tillsyn/A 54644-2023 tillsynsbegäran.docx", "A 54644-2023")</f>
        <v/>
      </c>
      <c r="AD251">
        <f>HYPERLINK("https://klasma.github.io/Logging_1276/tillsynsmail/A 54644-2023 tillsynsbegäran mail.docx", "A 54644-2023")</f>
        <v/>
      </c>
      <c r="AE251">
        <f>HYPERLINK("https://klasma.github.io/Logging_1276/fåglar/A 54644-2023 prioriterade fågelarter.docx", "A 54644-2023")</f>
        <v/>
      </c>
    </row>
    <row r="252" ht="15" customHeight="1">
      <c r="A252" t="inlineStr">
        <is>
          <t>A 39820-2026</t>
        </is>
      </c>
      <c r="B252" t="inlineStr">
        <is>
          <t>avverkningsanmälan</t>
        </is>
      </c>
      <c r="C252" t="inlineStr">
        <is>
          <t>Föryngringsavverkning</t>
        </is>
      </c>
      <c r="D252" s="1" t="n">
        <v>46289</v>
      </c>
      <c r="E252" s="1" t="n">
        <v>46312</v>
      </c>
      <c r="F252" t="inlineStr">
        <is>
          <t>SKÅNE LÄN</t>
        </is>
      </c>
      <c r="G252" t="inlineStr">
        <is>
          <t>KLIPPAN</t>
        </is>
      </c>
      <c r="I252" t="n">
        <v>13</v>
      </c>
      <c r="J252" t="n">
        <v>3</v>
      </c>
      <c r="K252" t="n">
        <v>0</v>
      </c>
      <c r="L252" t="n">
        <v>1</v>
      </c>
      <c r="M252" t="n">
        <v>0</v>
      </c>
      <c r="N252" t="n">
        <v>0</v>
      </c>
      <c r="O252" t="n">
        <v>0</v>
      </c>
      <c r="P252" t="n">
        <v>0</v>
      </c>
      <c r="Q252" t="n">
        <v>1</v>
      </c>
      <c r="R252" t="n">
        <v>0</v>
      </c>
      <c r="S252" t="n">
        <v>3</v>
      </c>
      <c r="T252" t="n">
        <v>4</v>
      </c>
      <c r="U252" t="n">
        <v>4</v>
      </c>
      <c r="V252" s="2" t="inlineStr">
        <is>
          <t>Entita
Skogsödla
Vanlig groda</t>
        </is>
      </c>
      <c r="W252">
        <f>HYPERLINK("https://klasma.github.io/Logging_1276/artfynd/A 39820-2026 artfynd.xlsx", "A 39820-2026")</f>
        <v/>
      </c>
      <c r="X252">
        <f>HYPERLINK("https://klasma.github.io/Logging_1276/kartor/A 39820-2026 karta.png", "A 39820-2026")</f>
        <v/>
      </c>
      <c r="Y252">
        <f>HYPERLINK("https://klasma.github.io/Logging_1276/kartor_geotiff/A 39820-2026 georefererad karta.tif", "A 39820-2026")</f>
        <v/>
      </c>
      <c r="AA252">
        <f>HYPERLINK("https://klasma.github.io/Logging_1276/klagomål/A 39820-2026 FSC-klagomål.docx", "A 39820-2026")</f>
        <v/>
      </c>
      <c r="AB252">
        <f>HYPERLINK("https://klasma.github.io/Logging_1276/klagomålsmail/A 39820-2026 FSC-klagomål mail.docx", "A 39820-2026")</f>
        <v/>
      </c>
      <c r="AC252">
        <f>HYPERLINK("https://klasma.github.io/Logging_1276/tillsyn/A 39820-2026 tillsynsbegäran.docx", "A 39820-2026")</f>
        <v/>
      </c>
      <c r="AD252">
        <f>HYPERLINK("https://klasma.github.io/Logging_1276/tillsynsmail/A 39820-2026 tillsynsbegäran mail.docx", "A 39820-2026")</f>
        <v/>
      </c>
      <c r="AE252">
        <f>HYPERLINK("https://klasma.github.io/Logging_1276/fåglar/A 39820-2026 prioriterade fågelarter.docx", "A 39820-2026")</f>
        <v/>
      </c>
    </row>
    <row r="253" ht="15" customHeight="1">
      <c r="A253" t="inlineStr">
        <is>
          <t>A 46602-2023</t>
        </is>
      </c>
      <c r="B253" t="inlineStr">
        <is>
          <t>avverkningsanmälan</t>
        </is>
      </c>
      <c r="C253" t="inlineStr">
        <is>
          <t>Föryngringsavverkning</t>
        </is>
      </c>
      <c r="D253" s="1" t="n">
        <v>45194</v>
      </c>
      <c r="E253" s="1" t="n">
        <v>46312</v>
      </c>
      <c r="F253" t="inlineStr">
        <is>
          <t>SKÅNE LÄN</t>
        </is>
      </c>
      <c r="G253" t="inlineStr">
        <is>
          <t>HÄSSLEHOLM</t>
        </is>
      </c>
      <c r="I253" t="n">
        <v>7.3</v>
      </c>
      <c r="J253" t="n">
        <v>0</v>
      </c>
      <c r="K253" t="n">
        <v>0</v>
      </c>
      <c r="L253" t="n">
        <v>1</v>
      </c>
      <c r="M253" t="n">
        <v>2</v>
      </c>
      <c r="N253" t="n">
        <v>0</v>
      </c>
      <c r="O253" t="n">
        <v>0</v>
      </c>
      <c r="P253" t="n">
        <v>0</v>
      </c>
      <c r="Q253" t="n">
        <v>3</v>
      </c>
      <c r="R253" t="n">
        <v>2</v>
      </c>
      <c r="S253" t="n">
        <v>3</v>
      </c>
      <c r="T253" t="n">
        <v>3</v>
      </c>
      <c r="U253" t="n">
        <v>2</v>
      </c>
      <c r="V253" s="2" t="inlineStr">
        <is>
          <t>Lungrot
Rosa lundlav
Liten lundlav</t>
        </is>
      </c>
      <c r="W253">
        <f>HYPERLINK("https://klasma.github.io/Logging_1293/artfynd/A 46602-2023 artfynd.xlsx", "A 46602-2023")</f>
        <v/>
      </c>
      <c r="X253">
        <f>HYPERLINK("https://klasma.github.io/Logging_1293/kartor/A 46602-2023 karta.png", "A 46602-2023")</f>
        <v/>
      </c>
      <c r="Y253">
        <f>HYPERLINK("https://klasma.github.io/Logging_1293/kartor_geotiff/A 46602-2023 georefererad karta.tif", "A 46602-2023")</f>
        <v/>
      </c>
      <c r="AA253">
        <f>HYPERLINK("https://klasma.github.io/Logging_1293/klagomål/A 46602-2023 FSC-klagomål.docx", "A 46602-2023")</f>
        <v/>
      </c>
      <c r="AB253">
        <f>HYPERLINK("https://klasma.github.io/Logging_1293/klagomålsmail/A 46602-2023 FSC-klagomål mail.docx", "A 46602-2023")</f>
        <v/>
      </c>
      <c r="AC253">
        <f>HYPERLINK("https://klasma.github.io/Logging_1293/tillsyn/A 46602-2023 tillsynsbegäran.docx", "A 46602-2023")</f>
        <v/>
      </c>
      <c r="AD253">
        <f>HYPERLINK("https://klasma.github.io/Logging_1293/tillsynsmail/A 46602-2023 tillsynsbegäran mail.docx", "A 46602-2023")</f>
        <v/>
      </c>
    </row>
    <row r="254" ht="15" customHeight="1">
      <c r="A254" t="inlineStr">
        <is>
          <t>A 62140-2023</t>
        </is>
      </c>
      <c r="B254" t="inlineStr">
        <is>
          <t>avverkningsanmälan</t>
        </is>
      </c>
      <c r="C254" t="inlineStr">
        <is>
          <t>Föryngringsavverkning</t>
        </is>
      </c>
      <c r="D254" s="1" t="n">
        <v>45267</v>
      </c>
      <c r="E254" s="1" t="n">
        <v>46312</v>
      </c>
      <c r="F254" t="inlineStr">
        <is>
          <t>SKÅNE LÄN</t>
        </is>
      </c>
      <c r="G254" t="inlineStr">
        <is>
          <t>ÖSTRA GÖINGE</t>
        </is>
      </c>
      <c r="I254" t="n">
        <v>1.5</v>
      </c>
      <c r="J254" t="n">
        <v>1</v>
      </c>
      <c r="K254" t="n">
        <v>0</v>
      </c>
      <c r="L254" t="n">
        <v>2</v>
      </c>
      <c r="M254" t="n">
        <v>0</v>
      </c>
      <c r="N254" t="n">
        <v>0</v>
      </c>
      <c r="O254" t="n">
        <v>0</v>
      </c>
      <c r="P254" t="n">
        <v>0</v>
      </c>
      <c r="Q254" t="n">
        <v>2</v>
      </c>
      <c r="R254" t="n">
        <v>0</v>
      </c>
      <c r="S254" t="n">
        <v>3</v>
      </c>
      <c r="T254" t="n">
        <v>3</v>
      </c>
      <c r="U254" t="n">
        <v>1</v>
      </c>
      <c r="V254" s="2" t="inlineStr">
        <is>
          <t>Krusfrö
Rödlånke
Grönvit nattviol</t>
        </is>
      </c>
      <c r="W254">
        <f>HYPERLINK("https://klasma.github.io/Logging_1256/artfynd/A 62140-2023 artfynd.xlsx", "A 62140-2023")</f>
        <v/>
      </c>
      <c r="X254">
        <f>HYPERLINK("https://klasma.github.io/Logging_1256/kartor/A 62140-2023 karta.png", "A 62140-2023")</f>
        <v/>
      </c>
      <c r="Y254">
        <f>HYPERLINK("https://klasma.github.io/Logging_1256/kartor_geotiff/A 62140-2023 georefererad karta.tif", "A 62140-2023")</f>
        <v/>
      </c>
      <c r="AA254">
        <f>HYPERLINK("https://klasma.github.io/Logging_1256/klagomål/A 62140-2023 FSC-klagomål.docx", "A 62140-2023")</f>
        <v/>
      </c>
      <c r="AB254">
        <f>HYPERLINK("https://klasma.github.io/Logging_1256/klagomålsmail/A 62140-2023 FSC-klagomål mail.docx", "A 62140-2023")</f>
        <v/>
      </c>
      <c r="AC254">
        <f>HYPERLINK("https://klasma.github.io/Logging_1256/tillsyn/A 62140-2023 tillsynsbegäran.docx", "A 62140-2023")</f>
        <v/>
      </c>
      <c r="AD254">
        <f>HYPERLINK("https://klasma.github.io/Logging_1256/tillsynsmail/A 62140-2023 tillsynsbegäran mail.docx", "A 62140-2023")</f>
        <v/>
      </c>
    </row>
    <row r="255" ht="15" customHeight="1">
      <c r="A255" t="inlineStr">
        <is>
          <t>A 18559-2025</t>
        </is>
      </c>
      <c r="B255" t="inlineStr">
        <is>
          <t>avverkningsanmälan</t>
        </is>
      </c>
      <c r="C255" t="inlineStr">
        <is>
          <t>Föryngringsavverkning</t>
        </is>
      </c>
      <c r="D255" s="1" t="n">
        <v>45763</v>
      </c>
      <c r="E255" s="1" t="n">
        <v>46312</v>
      </c>
      <c r="F255" t="inlineStr">
        <is>
          <t>SKÅNE LÄN</t>
        </is>
      </c>
      <c r="G255" t="inlineStr">
        <is>
          <t>ÄNGELHOLM</t>
        </is>
      </c>
      <c r="I255" t="n">
        <v>3</v>
      </c>
      <c r="J255" t="n">
        <v>3</v>
      </c>
      <c r="K255" t="n">
        <v>0</v>
      </c>
      <c r="L255" t="n">
        <v>2</v>
      </c>
      <c r="M255" t="n">
        <v>0</v>
      </c>
      <c r="N255" t="n">
        <v>0</v>
      </c>
      <c r="O255" t="n">
        <v>0</v>
      </c>
      <c r="P255" t="n">
        <v>0</v>
      </c>
      <c r="Q255" t="n">
        <v>2</v>
      </c>
      <c r="R255" t="n">
        <v>0</v>
      </c>
      <c r="S255" t="n">
        <v>3</v>
      </c>
      <c r="T255" t="n">
        <v>3</v>
      </c>
      <c r="U255" t="n">
        <v>3</v>
      </c>
      <c r="V255" s="2" t="inlineStr">
        <is>
          <t>Grönsångare
Gulsparv
Gröngöling</t>
        </is>
      </c>
      <c r="W255">
        <f>HYPERLINK("https://klasma.github.io/Logging_1292/artfynd/A 18559-2025 artfynd.xlsx", "A 18559-2025")</f>
        <v/>
      </c>
      <c r="X255">
        <f>HYPERLINK("https://klasma.github.io/Logging_1292/kartor/A 18559-2025 karta.png", "A 18559-2025")</f>
        <v/>
      </c>
      <c r="Y255">
        <f>HYPERLINK("https://klasma.github.io/Logging_1292/kartor_geotiff/A 18559-2025 georefererad karta.tif", "A 18559-2025")</f>
        <v/>
      </c>
      <c r="AA255">
        <f>HYPERLINK("https://klasma.github.io/Logging_1292/klagomål/A 18559-2025 FSC-klagomål.docx", "A 18559-2025")</f>
        <v/>
      </c>
      <c r="AB255">
        <f>HYPERLINK("https://klasma.github.io/Logging_1292/klagomålsmail/A 18559-2025 FSC-klagomål mail.docx", "A 18559-2025")</f>
        <v/>
      </c>
      <c r="AC255">
        <f>HYPERLINK("https://klasma.github.io/Logging_1292/tillsyn/A 18559-2025 tillsynsbegäran.docx", "A 18559-2025")</f>
        <v/>
      </c>
      <c r="AD255">
        <f>HYPERLINK("https://klasma.github.io/Logging_1292/tillsynsmail/A 18559-2025 tillsynsbegäran mail.docx", "A 18559-2025")</f>
        <v/>
      </c>
      <c r="AE255">
        <f>HYPERLINK("https://klasma.github.io/Logging_1292/fåglar/A 18559-2025 prioriterade fågelarter.docx", "A 18559-2025")</f>
        <v/>
      </c>
    </row>
    <row r="256" ht="15" customHeight="1">
      <c r="A256" t="inlineStr">
        <is>
          <t>A 16122-2024</t>
        </is>
      </c>
      <c r="B256" t="inlineStr">
        <is>
          <t>avverkningsanmälan</t>
        </is>
      </c>
      <c r="C256" t="inlineStr">
        <is>
          <t>Föryngringsavverkning</t>
        </is>
      </c>
      <c r="D256" s="1" t="n">
        <v>45406</v>
      </c>
      <c r="E256" s="1" t="n">
        <v>46312</v>
      </c>
      <c r="F256" t="inlineStr">
        <is>
          <t>SKÅNE LÄN</t>
        </is>
      </c>
      <c r="G256" t="inlineStr">
        <is>
          <t>SVEDALA</t>
        </is>
      </c>
      <c r="I256" t="n">
        <v>15.2</v>
      </c>
      <c r="J256" t="n">
        <v>1</v>
      </c>
      <c r="K256" t="n">
        <v>1</v>
      </c>
      <c r="L256" t="n">
        <v>1</v>
      </c>
      <c r="M256" t="n">
        <v>0</v>
      </c>
      <c r="N256" t="n">
        <v>0</v>
      </c>
      <c r="O256" t="n">
        <v>0</v>
      </c>
      <c r="P256" t="n">
        <v>0</v>
      </c>
      <c r="Q256" t="n">
        <v>1</v>
      </c>
      <c r="R256" t="n">
        <v>0</v>
      </c>
      <c r="S256" t="n">
        <v>3</v>
      </c>
      <c r="T256" t="n">
        <v>3</v>
      </c>
      <c r="U256" t="n">
        <v>2</v>
      </c>
      <c r="V256" s="2" t="inlineStr">
        <is>
          <t>Oxtungssvamp
Myskmadra
Svartvit flugsnappare</t>
        </is>
      </c>
      <c r="W256">
        <f>HYPERLINK("https://klasma.github.io/Logging_1263/artfynd/A 16122-2024 artfynd.xlsx", "A 16122-2024")</f>
        <v/>
      </c>
      <c r="X256">
        <f>HYPERLINK("https://klasma.github.io/Logging_1263/kartor/A 16122-2024 karta.png", "A 16122-2024")</f>
        <v/>
      </c>
      <c r="Y256">
        <f>HYPERLINK("https://klasma.github.io/Logging_1263/kartor_geotiff/A 16122-2024 georefererad karta.tif", "A 16122-2024")</f>
        <v/>
      </c>
      <c r="AA256">
        <f>HYPERLINK("https://klasma.github.io/Logging_1263/klagomål/A 16122-2024 FSC-klagomål.docx", "A 16122-2024")</f>
        <v/>
      </c>
      <c r="AB256">
        <f>HYPERLINK("https://klasma.github.io/Logging_1263/klagomålsmail/A 16122-2024 FSC-klagomål mail.docx", "A 16122-2024")</f>
        <v/>
      </c>
      <c r="AC256">
        <f>HYPERLINK("https://klasma.github.io/Logging_1263/tillsyn/A 16122-2024 tillsynsbegäran.docx", "A 16122-2024")</f>
        <v/>
      </c>
      <c r="AD256">
        <f>HYPERLINK("https://klasma.github.io/Logging_1263/tillsynsmail/A 16122-2024 tillsynsbegäran mail.docx", "A 16122-2024")</f>
        <v/>
      </c>
    </row>
    <row r="257" ht="15" customHeight="1">
      <c r="A257" t="inlineStr">
        <is>
          <t>A 41480-2026</t>
        </is>
      </c>
      <c r="B257" t="inlineStr">
        <is>
          <t>avverkningsanmälan</t>
        </is>
      </c>
      <c r="C257" t="inlineStr">
        <is>
          <t>Föryngringsavverkning</t>
        </is>
      </c>
      <c r="D257" s="1" t="n">
        <v>46301</v>
      </c>
      <c r="E257" s="1" t="n">
        <v>46312</v>
      </c>
      <c r="F257" t="inlineStr">
        <is>
          <t>SKÅNE LÄN</t>
        </is>
      </c>
      <c r="G257" t="inlineStr">
        <is>
          <t>KRISTIANSTAD</t>
        </is>
      </c>
      <c r="I257" t="n">
        <v>11.8</v>
      </c>
      <c r="J257" t="n">
        <v>1</v>
      </c>
      <c r="K257" t="n">
        <v>1</v>
      </c>
      <c r="L257" t="n">
        <v>0</v>
      </c>
      <c r="M257" t="n">
        <v>1</v>
      </c>
      <c r="N257" t="n">
        <v>0</v>
      </c>
      <c r="O257" t="n">
        <v>0</v>
      </c>
      <c r="P257" t="n">
        <v>0</v>
      </c>
      <c r="Q257" t="n">
        <v>1</v>
      </c>
      <c r="R257" t="n">
        <v>1</v>
      </c>
      <c r="S257" t="n">
        <v>3</v>
      </c>
      <c r="T257" t="n">
        <v>3</v>
      </c>
      <c r="U257" t="n">
        <v>0</v>
      </c>
      <c r="V257" s="2" t="inlineStr">
        <is>
          <t>Småvänderot
Kransrams
Blåsippa</t>
        </is>
      </c>
      <c r="W257">
        <f>HYPERLINK("https://klasma.github.io/Logging_1290/artfynd/A 41480-2026 artfynd.xlsx", "A 41480-2026")</f>
        <v/>
      </c>
      <c r="X257">
        <f>HYPERLINK("https://klasma.github.io/Logging_1290/kartor/A 41480-2026 karta.png", "A 41480-2026")</f>
        <v/>
      </c>
      <c r="Y257">
        <f>HYPERLINK("https://klasma.github.io/Logging_1290/kartor_geotiff/A 41480-2026 georefererad karta.tif", "A 41480-2026")</f>
        <v/>
      </c>
      <c r="AA257">
        <f>HYPERLINK("https://klasma.github.io/Logging_1290/klagomål/A 41480-2026 FSC-klagomål.docx", "A 41480-2026")</f>
        <v/>
      </c>
      <c r="AB257">
        <f>HYPERLINK("https://klasma.github.io/Logging_1290/klagomålsmail/A 41480-2026 FSC-klagomål mail.docx", "A 41480-2026")</f>
        <v/>
      </c>
      <c r="AC257">
        <f>HYPERLINK("https://klasma.github.io/Logging_1290/tillsyn/A 41480-2026 tillsynsbegäran.docx", "A 41480-2026")</f>
        <v/>
      </c>
      <c r="AD257">
        <f>HYPERLINK("https://klasma.github.io/Logging_1290/tillsynsmail/A 41480-2026 tillsynsbegäran mail.docx", "A 41480-2026")</f>
        <v/>
      </c>
    </row>
    <row r="258" ht="15" customHeight="1">
      <c r="A258" t="inlineStr">
        <is>
          <t>A 31525-2026</t>
        </is>
      </c>
      <c r="B258" t="inlineStr">
        <is>
          <t>avverkningsanmälan</t>
        </is>
      </c>
      <c r="C258" t="inlineStr">
        <is>
          <t>Föryngringsavverkning</t>
        </is>
      </c>
      <c r="D258" s="1" t="n">
        <v>46223</v>
      </c>
      <c r="E258" s="1" t="n">
        <v>46312</v>
      </c>
      <c r="F258" t="inlineStr">
        <is>
          <t>SKÅNE LÄN</t>
        </is>
      </c>
      <c r="G258" t="inlineStr">
        <is>
          <t>KLIPPAN</t>
        </is>
      </c>
      <c r="I258" t="n">
        <v>0.4</v>
      </c>
      <c r="J258" t="n">
        <v>2</v>
      </c>
      <c r="K258" t="n">
        <v>1</v>
      </c>
      <c r="L258" t="n">
        <v>1</v>
      </c>
      <c r="M258" t="n">
        <v>0</v>
      </c>
      <c r="N258" t="n">
        <v>0</v>
      </c>
      <c r="O258" t="n">
        <v>0</v>
      </c>
      <c r="P258" t="n">
        <v>0</v>
      </c>
      <c r="Q258" t="n">
        <v>1</v>
      </c>
      <c r="R258" t="n">
        <v>0</v>
      </c>
      <c r="S258" t="n">
        <v>3</v>
      </c>
      <c r="T258" t="n">
        <v>3</v>
      </c>
      <c r="U258" t="n">
        <v>2</v>
      </c>
      <c r="V258" s="2" t="inlineStr">
        <is>
          <t>Entita
Kruskantarell
Stjärtmes</t>
        </is>
      </c>
      <c r="W258">
        <f>HYPERLINK("https://klasma.github.io/Logging_1276/artfynd/A 31525-2026 artfynd.xlsx", "A 31525-2026")</f>
        <v/>
      </c>
      <c r="X258">
        <f>HYPERLINK("https://klasma.github.io/Logging_1276/kartor/A 31525-2026 karta.png", "A 31525-2026")</f>
        <v/>
      </c>
      <c r="Y258">
        <f>HYPERLINK("https://klasma.github.io/Logging_1276/kartor_geotiff/A 31525-2026 georefererad karta.tif", "A 31525-2026")</f>
        <v/>
      </c>
      <c r="AA258">
        <f>HYPERLINK("https://klasma.github.io/Logging_1276/klagomål/A 31525-2026 FSC-klagomål.docx", "A 31525-2026")</f>
        <v/>
      </c>
      <c r="AB258">
        <f>HYPERLINK("https://klasma.github.io/Logging_1276/klagomålsmail/A 31525-2026 FSC-klagomål mail.docx", "A 31525-2026")</f>
        <v/>
      </c>
      <c r="AC258">
        <f>HYPERLINK("https://klasma.github.io/Logging_1276/tillsyn/A 31525-2026 tillsynsbegäran.docx", "A 31525-2026")</f>
        <v/>
      </c>
      <c r="AD258">
        <f>HYPERLINK("https://klasma.github.io/Logging_1276/tillsynsmail/A 31525-2026 tillsynsbegäran mail.docx", "A 31525-2026")</f>
        <v/>
      </c>
      <c r="AE258">
        <f>HYPERLINK("https://klasma.github.io/Logging_1276/fåglar/A 31525-2026 prioriterade fågelarter.docx", "A 31525-2026")</f>
        <v/>
      </c>
    </row>
    <row r="259" ht="15" customHeight="1">
      <c r="A259" t="inlineStr">
        <is>
          <t>A 27390-2025</t>
        </is>
      </c>
      <c r="B259" t="inlineStr">
        <is>
          <t>avverkningsanmälan</t>
        </is>
      </c>
      <c r="C259" t="inlineStr">
        <is>
          <t>Föryngringsavverkning</t>
        </is>
      </c>
      <c r="D259" s="1" t="n">
        <v>45812</v>
      </c>
      <c r="E259" s="1" t="n">
        <v>46312</v>
      </c>
      <c r="F259" t="inlineStr">
        <is>
          <t>SKÅNE LÄN</t>
        </is>
      </c>
      <c r="G259" t="inlineStr">
        <is>
          <t>HÄSSLEHOLM</t>
        </is>
      </c>
      <c r="I259" t="n">
        <v>3.2</v>
      </c>
      <c r="J259" t="n">
        <v>0</v>
      </c>
      <c r="K259" t="n">
        <v>1</v>
      </c>
      <c r="L259" t="n">
        <v>2</v>
      </c>
      <c r="M259" t="n">
        <v>0</v>
      </c>
      <c r="N259" t="n">
        <v>0</v>
      </c>
      <c r="O259" t="n">
        <v>0</v>
      </c>
      <c r="P259" t="n">
        <v>0</v>
      </c>
      <c r="Q259" t="n">
        <v>2</v>
      </c>
      <c r="R259" t="n">
        <v>0</v>
      </c>
      <c r="S259" t="n">
        <v>3</v>
      </c>
      <c r="T259" t="n">
        <v>3</v>
      </c>
      <c r="U259" t="n">
        <v>0</v>
      </c>
      <c r="V259" s="2" t="inlineStr">
        <is>
          <t>Grönhjon
Kattfotslav
Havstulpanlav</t>
        </is>
      </c>
      <c r="W259">
        <f>HYPERLINK("https://klasma.github.io/Logging_1293/artfynd/A 27390-2025 artfynd.xlsx", "A 27390-2025")</f>
        <v/>
      </c>
      <c r="X259">
        <f>HYPERLINK("https://klasma.github.io/Logging_1293/kartor/A 27390-2025 karta.png", "A 27390-2025")</f>
        <v/>
      </c>
      <c r="Y259">
        <f>HYPERLINK("https://klasma.github.io/Logging_1293/kartor_geotiff/A 27390-2025 georefererad karta.tif", "A 27390-2025")</f>
        <v/>
      </c>
      <c r="AA259">
        <f>HYPERLINK("https://klasma.github.io/Logging_1293/klagomål/A 27390-2025 FSC-klagomål.docx", "A 27390-2025")</f>
        <v/>
      </c>
      <c r="AB259">
        <f>HYPERLINK("https://klasma.github.io/Logging_1293/klagomålsmail/A 27390-2025 FSC-klagomål mail.docx", "A 27390-2025")</f>
        <v/>
      </c>
      <c r="AC259">
        <f>HYPERLINK("https://klasma.github.io/Logging_1293/tillsyn/A 27390-2025 tillsynsbegäran.docx", "A 27390-2025")</f>
        <v/>
      </c>
      <c r="AD259">
        <f>HYPERLINK("https://klasma.github.io/Logging_1293/tillsynsmail/A 27390-2025 tillsynsbegäran mail.docx", "A 27390-2025")</f>
        <v/>
      </c>
    </row>
    <row r="260" ht="15" customHeight="1">
      <c r="A260" t="inlineStr">
        <is>
          <t>A 12111-2025</t>
        </is>
      </c>
      <c r="B260" t="inlineStr">
        <is>
          <t>avverkningsanmälan</t>
        </is>
      </c>
      <c r="C260" t="inlineStr">
        <is>
          <t>Föryngringsavverkning</t>
        </is>
      </c>
      <c r="D260" s="1" t="n">
        <v>45729</v>
      </c>
      <c r="E260" s="1" t="n">
        <v>46312</v>
      </c>
      <c r="F260" t="inlineStr">
        <is>
          <t>SKÅNE LÄN</t>
        </is>
      </c>
      <c r="G260" t="inlineStr">
        <is>
          <t>HÖÖR</t>
        </is>
      </c>
      <c r="I260" t="n">
        <v>3.7</v>
      </c>
      <c r="J260" t="n">
        <v>3</v>
      </c>
      <c r="K260" t="n">
        <v>0</v>
      </c>
      <c r="L260" t="n">
        <v>0</v>
      </c>
      <c r="M260" t="n">
        <v>2</v>
      </c>
      <c r="N260" t="n">
        <v>0</v>
      </c>
      <c r="O260" t="n">
        <v>0</v>
      </c>
      <c r="P260" t="n">
        <v>0</v>
      </c>
      <c r="Q260" t="n">
        <v>2</v>
      </c>
      <c r="R260" t="n">
        <v>2</v>
      </c>
      <c r="S260" t="n">
        <v>3</v>
      </c>
      <c r="T260" t="n">
        <v>3</v>
      </c>
      <c r="U260" t="n">
        <v>0</v>
      </c>
      <c r="V260" s="2" t="inlineStr">
        <is>
          <t>Tofsvipa
Tornseglare
Gröngöling</t>
        </is>
      </c>
      <c r="W260">
        <f>HYPERLINK("https://klasma.github.io/Logging_1267/artfynd/A 12111-2025 artfynd.xlsx", "A 12111-2025")</f>
        <v/>
      </c>
      <c r="X260">
        <f>HYPERLINK("https://klasma.github.io/Logging_1267/kartor/A 12111-2025 karta.png", "A 12111-2025")</f>
        <v/>
      </c>
      <c r="Y260">
        <f>HYPERLINK("https://klasma.github.io/Logging_1267/kartor_geotiff/A 12111-2025 georefererad karta.tif", "A 12111-2025")</f>
        <v/>
      </c>
      <c r="AA260">
        <f>HYPERLINK("https://klasma.github.io/Logging_1267/klagomål/A 12111-2025 FSC-klagomål.docx", "A 12111-2025")</f>
        <v/>
      </c>
      <c r="AB260">
        <f>HYPERLINK("https://klasma.github.io/Logging_1267/klagomålsmail/A 12111-2025 FSC-klagomål mail.docx", "A 12111-2025")</f>
        <v/>
      </c>
      <c r="AC260">
        <f>HYPERLINK("https://klasma.github.io/Logging_1267/tillsyn/A 12111-2025 tillsynsbegäran.docx", "A 12111-2025")</f>
        <v/>
      </c>
      <c r="AD260">
        <f>HYPERLINK("https://klasma.github.io/Logging_1267/tillsynsmail/A 12111-2025 tillsynsbegäran mail.docx", "A 12111-2025")</f>
        <v/>
      </c>
      <c r="AE260">
        <f>HYPERLINK("https://klasma.github.io/Logging_1267/fåglar/A 12111-2025 prioriterade fågelarter.docx", "A 12111-2025")</f>
        <v/>
      </c>
    </row>
    <row r="261" ht="15" customHeight="1">
      <c r="A261" t="inlineStr">
        <is>
          <t>A 2823-2025</t>
        </is>
      </c>
      <c r="B261" t="inlineStr">
        <is>
          <t>avverkningsanmälan</t>
        </is>
      </c>
      <c r="C261" t="inlineStr">
        <is>
          <t>Avverkning för annat ändamål</t>
        </is>
      </c>
      <c r="D261" s="1" t="n">
        <v>45677</v>
      </c>
      <c r="E261" s="1" t="n">
        <v>46312</v>
      </c>
      <c r="F261" t="inlineStr">
        <is>
          <t>SKÅNE LÄN</t>
        </is>
      </c>
      <c r="G261" t="inlineStr">
        <is>
          <t>HÖRBY</t>
        </is>
      </c>
      <c r="I261" t="n">
        <v>21.1</v>
      </c>
      <c r="J261" t="n">
        <v>2</v>
      </c>
      <c r="K261" t="n">
        <v>0</v>
      </c>
      <c r="L261" t="n">
        <v>1</v>
      </c>
      <c r="M261" t="n">
        <v>0</v>
      </c>
      <c r="N261" t="n">
        <v>0</v>
      </c>
      <c r="O261" t="n">
        <v>0</v>
      </c>
      <c r="P261" t="n">
        <v>0</v>
      </c>
      <c r="Q261" t="n">
        <v>1</v>
      </c>
      <c r="R261" t="n">
        <v>0</v>
      </c>
      <c r="S261" t="n">
        <v>3</v>
      </c>
      <c r="T261" t="n">
        <v>4</v>
      </c>
      <c r="U261" t="n">
        <v>0</v>
      </c>
      <c r="V261" s="2" t="inlineStr">
        <is>
          <t>Borsttåg
Grönvit nattviol
Revlummer</t>
        </is>
      </c>
      <c r="W261">
        <f>HYPERLINK("https://klasma.github.io/Logging_1266/artfynd/A 2823-2025 artfynd.xlsx", "A 2823-2025")</f>
        <v/>
      </c>
      <c r="X261">
        <f>HYPERLINK("https://klasma.github.io/Logging_1266/kartor/A 2823-2025 karta.png", "A 2823-2025")</f>
        <v/>
      </c>
      <c r="Y261">
        <f>HYPERLINK("https://klasma.github.io/Logging_1266/kartor_geotiff/A 2823-2025 georefererad karta.tif", "A 2823-2025")</f>
        <v/>
      </c>
      <c r="AA261">
        <f>HYPERLINK("https://klasma.github.io/Logging_1266/klagomål/A 2823-2025 FSC-klagomål.docx", "A 2823-2025")</f>
        <v/>
      </c>
      <c r="AB261">
        <f>HYPERLINK("https://klasma.github.io/Logging_1266/klagomålsmail/A 2823-2025 FSC-klagomål mail.docx", "A 2823-2025")</f>
        <v/>
      </c>
      <c r="AC261">
        <f>HYPERLINK("https://klasma.github.io/Logging_1266/tillsyn/A 2823-2025 tillsynsbegäran.docx", "A 2823-2025")</f>
        <v/>
      </c>
      <c r="AD261">
        <f>HYPERLINK("https://klasma.github.io/Logging_1266/tillsynsmail/A 2823-2025 tillsynsbegäran mail.docx", "A 2823-2025")</f>
        <v/>
      </c>
    </row>
    <row r="262" ht="15" customHeight="1">
      <c r="A262" t="inlineStr">
        <is>
          <t>A 39165-2024</t>
        </is>
      </c>
      <c r="B262" t="inlineStr">
        <is>
          <t>avverkningsanmälan</t>
        </is>
      </c>
      <c r="C262" t="inlineStr">
        <is>
          <t>Föryngringsavverkning</t>
        </is>
      </c>
      <c r="D262" s="1" t="n">
        <v>45548</v>
      </c>
      <c r="E262" s="1" t="n">
        <v>46312</v>
      </c>
      <c r="F262" t="inlineStr">
        <is>
          <t>SKÅNE LÄN</t>
        </is>
      </c>
      <c r="G262" t="inlineStr">
        <is>
          <t>SVALÖV</t>
        </is>
      </c>
      <c r="I262" t="n">
        <v>2.9</v>
      </c>
      <c r="J262" t="n">
        <v>0</v>
      </c>
      <c r="K262" t="n">
        <v>0</v>
      </c>
      <c r="L262" t="n">
        <v>0</v>
      </c>
      <c r="M262" t="n">
        <v>1</v>
      </c>
      <c r="N262" t="n">
        <v>2</v>
      </c>
      <c r="O262" t="n">
        <v>0</v>
      </c>
      <c r="P262" t="n">
        <v>0</v>
      </c>
      <c r="Q262" t="n">
        <v>3</v>
      </c>
      <c r="R262" t="n">
        <v>3</v>
      </c>
      <c r="S262" t="n">
        <v>3</v>
      </c>
      <c r="T262" t="n">
        <v>3</v>
      </c>
      <c r="U262" t="n">
        <v>1</v>
      </c>
      <c r="V262" s="2" t="inlineStr">
        <is>
          <t>Ask
Skogsalm
Getingrovfluga</t>
        </is>
      </c>
      <c r="W262">
        <f>HYPERLINK("https://klasma.github.io/Logging_1214/artfynd/A 39165-2024 artfynd.xlsx", "A 39165-2024")</f>
        <v/>
      </c>
      <c r="X262">
        <f>HYPERLINK("https://klasma.github.io/Logging_1214/kartor/A 39165-2024 karta.png", "A 39165-2024")</f>
        <v/>
      </c>
      <c r="Y262">
        <f>HYPERLINK("https://klasma.github.io/Logging_1214/kartor_geotiff/A 39165-2024 georefererad karta.tif", "A 39165-2024")</f>
        <v/>
      </c>
      <c r="AA262">
        <f>HYPERLINK("https://klasma.github.io/Logging_1214/klagomål/A 39165-2024 FSC-klagomål.docx", "A 39165-2024")</f>
        <v/>
      </c>
      <c r="AB262">
        <f>HYPERLINK("https://klasma.github.io/Logging_1214/klagomålsmail/A 39165-2024 FSC-klagomål mail.docx", "A 39165-2024")</f>
        <v/>
      </c>
      <c r="AC262">
        <f>HYPERLINK("https://klasma.github.io/Logging_1214/tillsyn/A 39165-2024 tillsynsbegäran.docx", "A 39165-2024")</f>
        <v/>
      </c>
      <c r="AD262">
        <f>HYPERLINK("https://klasma.github.io/Logging_1214/tillsynsmail/A 39165-2024 tillsynsbegäran mail.docx", "A 39165-2024")</f>
        <v/>
      </c>
    </row>
    <row r="263" ht="15" customHeight="1">
      <c r="A263" t="inlineStr">
        <is>
          <t>S 87-2025</t>
        </is>
      </c>
      <c r="B263" t="inlineStr">
        <is>
          <t>samrådsanmälan</t>
        </is>
      </c>
      <c r="C263" t="inlineStr">
        <is>
          <t>Askåterföring</t>
        </is>
      </c>
      <c r="D263" s="1" t="n">
        <v>45671</v>
      </c>
      <c r="E263" s="1" t="n">
        <v>46312</v>
      </c>
      <c r="F263" t="inlineStr">
        <is>
          <t>SKÅNE LÄN</t>
        </is>
      </c>
      <c r="G263" t="inlineStr">
        <is>
          <t>KRISTIANSTAD</t>
        </is>
      </c>
      <c r="H263" t="inlineStr">
        <is>
          <t>Kyrkan</t>
        </is>
      </c>
      <c r="I263" t="n">
        <v>36.7</v>
      </c>
      <c r="J263" t="n">
        <v>0</v>
      </c>
      <c r="K263" t="n">
        <v>2</v>
      </c>
      <c r="L263" t="n">
        <v>1</v>
      </c>
      <c r="M263" t="n">
        <v>0</v>
      </c>
      <c r="N263" t="n">
        <v>0</v>
      </c>
      <c r="O263" t="n">
        <v>0</v>
      </c>
      <c r="P263" t="n">
        <v>0</v>
      </c>
      <c r="Q263" t="n">
        <v>1</v>
      </c>
      <c r="R263" t="n">
        <v>0</v>
      </c>
      <c r="S263" t="n">
        <v>3</v>
      </c>
      <c r="T263" t="n">
        <v>3</v>
      </c>
      <c r="U263" t="n">
        <v>0</v>
      </c>
      <c r="V263" s="2" t="inlineStr">
        <is>
          <t>Bokkantlav
Fällmossa
Kornig nållav</t>
        </is>
      </c>
      <c r="W263">
        <f>HYPERLINK("https://klasma.github.io/Logging_1290/artfynd/S 87-2025 artfynd.xlsx", "S 87-2025")</f>
        <v/>
      </c>
      <c r="X263">
        <f>HYPERLINK("https://klasma.github.io/Logging_1290/kartor/S 87-2025 karta.png", "S 87-2025")</f>
        <v/>
      </c>
      <c r="Y263">
        <f>HYPERLINK("https://klasma.github.io/Logging_1290/kartor_geotiff/S 87-2025 georefererad karta.tif", "S 87-2025")</f>
        <v/>
      </c>
      <c r="AA263">
        <f>HYPERLINK("https://klasma.github.io/Logging_1290/klagomål/S 87-2025 FSC-klagomål.docx", "S 87-2025")</f>
        <v/>
      </c>
      <c r="AB263">
        <f>HYPERLINK("https://klasma.github.io/Logging_1290/klagomålsmail/S 87-2025 FSC-klagomål mail.docx", "S 87-2025")</f>
        <v/>
      </c>
      <c r="AC263">
        <f>HYPERLINK("https://klasma.github.io/Logging_1290/tillsyn/S 87-2025 tillsynsbegäran.docx", "S 87-2025")</f>
        <v/>
      </c>
      <c r="AD263">
        <f>HYPERLINK("https://klasma.github.io/Logging_1290/tillsynsmail/S 87-2025 tillsynsbegäran mail.docx", "S 87-2025")</f>
        <v/>
      </c>
    </row>
    <row r="264" ht="15" customHeight="1">
      <c r="A264" t="inlineStr">
        <is>
          <t>S 557-2023</t>
        </is>
      </c>
      <c r="B264" t="inlineStr">
        <is>
          <t>samrådsanmälan</t>
        </is>
      </c>
      <c r="C264" t="inlineStr">
        <is>
          <t>Annan skogsbruksåtgärd</t>
        </is>
      </c>
      <c r="D264" s="1" t="n">
        <v>44970</v>
      </c>
      <c r="E264" s="1" t="n">
        <v>46312</v>
      </c>
      <c r="F264" t="inlineStr">
        <is>
          <t>SKÅNE LÄN</t>
        </is>
      </c>
      <c r="G264" t="inlineStr">
        <is>
          <t>KRISTIANSTAD</t>
        </is>
      </c>
      <c r="H264" t="inlineStr">
        <is>
          <t>Kyrkan</t>
        </is>
      </c>
      <c r="I264" t="n">
        <v>2.5</v>
      </c>
      <c r="J264" t="n">
        <v>1</v>
      </c>
      <c r="K264" t="n">
        <v>0</v>
      </c>
      <c r="L264" t="n">
        <v>0</v>
      </c>
      <c r="M264" t="n">
        <v>2</v>
      </c>
      <c r="N264" t="n">
        <v>1</v>
      </c>
      <c r="O264" t="n">
        <v>0</v>
      </c>
      <c r="P264" t="n">
        <v>0</v>
      </c>
      <c r="Q264" t="n">
        <v>3</v>
      </c>
      <c r="R264" t="n">
        <v>3</v>
      </c>
      <c r="S264" t="n">
        <v>3</v>
      </c>
      <c r="T264" t="n">
        <v>3</v>
      </c>
      <c r="U264" t="n">
        <v>2</v>
      </c>
      <c r="V264" s="2" t="inlineStr">
        <is>
          <t>Tofsäxing
Hedblomster
Luktvädd</t>
        </is>
      </c>
      <c r="W264">
        <f>HYPERLINK("https://klasma.github.io/Logging_1290/artfynd/S 557-2023 artfynd.xlsx", "S 557-2023")</f>
        <v/>
      </c>
      <c r="X264">
        <f>HYPERLINK("https://klasma.github.io/Logging_1290/kartor/S 557-2023 karta.png", "S 557-2023")</f>
        <v/>
      </c>
      <c r="Y264">
        <f>HYPERLINK("https://klasma.github.io/Logging_1290/kartor_geotiff/S 557-2023 georefererad karta.tif", "S 557-2023")</f>
        <v/>
      </c>
      <c r="AA264">
        <f>HYPERLINK("https://klasma.github.io/Logging_1290/klagomål/S 557-2023 FSC-klagomål.docx", "S 557-2023")</f>
        <v/>
      </c>
      <c r="AB264">
        <f>HYPERLINK("https://klasma.github.io/Logging_1290/klagomålsmail/S 557-2023 FSC-klagomål mail.docx", "S 557-2023")</f>
        <v/>
      </c>
      <c r="AC264">
        <f>HYPERLINK("https://klasma.github.io/Logging_1290/tillsyn/S 557-2023 tillsynsbegäran.docx", "S 557-2023")</f>
        <v/>
      </c>
      <c r="AD264">
        <f>HYPERLINK("https://klasma.github.io/Logging_1290/tillsynsmail/S 557-2023 tillsynsbegäran mail.docx", "S 557-2023")</f>
        <v/>
      </c>
    </row>
    <row r="265" ht="15" customHeight="1">
      <c r="A265" t="inlineStr">
        <is>
          <t>S 2860-2024</t>
        </is>
      </c>
      <c r="B265" t="inlineStr">
        <is>
          <t>samrådsanmälan</t>
        </is>
      </c>
      <c r="C265" t="inlineStr">
        <is>
          <t>Askåterföring</t>
        </is>
      </c>
      <c r="D265" s="1" t="n">
        <v>45497</v>
      </c>
      <c r="E265" s="1" t="n">
        <v>46312</v>
      </c>
      <c r="F265" t="inlineStr">
        <is>
          <t>SKÅNE LÄN</t>
        </is>
      </c>
      <c r="G265" t="inlineStr">
        <is>
          <t>ÖSTRA GÖINGE</t>
        </is>
      </c>
      <c r="I265" t="n">
        <v>24.6</v>
      </c>
      <c r="J265" t="n">
        <v>0</v>
      </c>
      <c r="K265" t="n">
        <v>3</v>
      </c>
      <c r="L265" t="n">
        <v>0</v>
      </c>
      <c r="M265" t="n">
        <v>0</v>
      </c>
      <c r="N265" t="n">
        <v>0</v>
      </c>
      <c r="O265" t="n">
        <v>0</v>
      </c>
      <c r="P265" t="n">
        <v>0</v>
      </c>
      <c r="Q265" t="n">
        <v>0</v>
      </c>
      <c r="R265" t="n">
        <v>0</v>
      </c>
      <c r="S265" t="n">
        <v>3</v>
      </c>
      <c r="T265" t="n">
        <v>19</v>
      </c>
      <c r="U265" t="n">
        <v>0</v>
      </c>
      <c r="V265" s="2" t="inlineStr">
        <is>
          <t>Fällmossa
Klippfrullania
Västlig hakmossa</t>
        </is>
      </c>
      <c r="W265">
        <f>HYPERLINK("https://klasma.github.io/Logging_1256/artfynd/S 2860-2024 artfynd.xlsx", "S 2860-2024")</f>
        <v/>
      </c>
      <c r="X265">
        <f>HYPERLINK("https://klasma.github.io/Logging_1256/kartor/S 2860-2024 karta.png", "S 2860-2024")</f>
        <v/>
      </c>
      <c r="Y265">
        <f>HYPERLINK("https://klasma.github.io/Logging_1256/kartor_geotiff/S 2860-2024 georefererad karta.tif", "S 2860-2024")</f>
        <v/>
      </c>
      <c r="AA265">
        <f>HYPERLINK("https://klasma.github.io/Logging_1256/klagomål/S 2860-2024 FSC-klagomål.docx", "S 2860-2024")</f>
        <v/>
      </c>
      <c r="AB265">
        <f>HYPERLINK("https://klasma.github.io/Logging_1256/klagomålsmail/S 2860-2024 FSC-klagomål mail.docx", "S 2860-2024")</f>
        <v/>
      </c>
      <c r="AC265">
        <f>HYPERLINK("https://klasma.github.io/Logging_1256/tillsyn/S 2860-2024 tillsynsbegäran.docx", "S 2860-2024")</f>
        <v/>
      </c>
      <c r="AD265">
        <f>HYPERLINK("https://klasma.github.io/Logging_1256/tillsynsmail/S 2860-2024 tillsynsbegäran mail.docx", "S 2860-2024")</f>
        <v/>
      </c>
    </row>
    <row r="266" ht="15" customHeight="1">
      <c r="A266" t="inlineStr">
        <is>
          <t>S 1103-2023</t>
        </is>
      </c>
      <c r="B266" t="inlineStr">
        <is>
          <t>samrådsanmälan</t>
        </is>
      </c>
      <c r="C266" t="inlineStr">
        <is>
          <t>Askåterföring</t>
        </is>
      </c>
      <c r="D266" s="1" t="n">
        <v>45014</v>
      </c>
      <c r="E266" s="1" t="n">
        <v>46312</v>
      </c>
      <c r="F266" t="inlineStr">
        <is>
          <t>SKÅNE LÄN</t>
        </is>
      </c>
      <c r="G266" t="inlineStr">
        <is>
          <t>HÄSSLEHOLM</t>
        </is>
      </c>
      <c r="I266" t="n">
        <v>27.4</v>
      </c>
      <c r="J266" t="n">
        <v>1</v>
      </c>
      <c r="K266" t="n">
        <v>1</v>
      </c>
      <c r="L266" t="n">
        <v>1</v>
      </c>
      <c r="M266" t="n">
        <v>0</v>
      </c>
      <c r="N266" t="n">
        <v>1</v>
      </c>
      <c r="O266" t="n">
        <v>0</v>
      </c>
      <c r="P266" t="n">
        <v>0</v>
      </c>
      <c r="Q266" t="n">
        <v>2</v>
      </c>
      <c r="R266" t="n">
        <v>1</v>
      </c>
      <c r="S266" t="n">
        <v>3</v>
      </c>
      <c r="T266" t="n">
        <v>5</v>
      </c>
      <c r="U266" t="n">
        <v>3</v>
      </c>
      <c r="V266" s="2" t="inlineStr">
        <is>
          <t>Dvärgjohannesört
Borsttåg
Kambräken</t>
        </is>
      </c>
      <c r="W266">
        <f>HYPERLINK("https://klasma.github.io/Logging_1293/artfynd/S 1103-2023 artfynd.xlsx", "S 1103-2023")</f>
        <v/>
      </c>
      <c r="X266">
        <f>HYPERLINK("https://klasma.github.io/Logging_1293/kartor/S 1103-2023 karta.png", "S 1103-2023")</f>
        <v/>
      </c>
      <c r="Y266">
        <f>HYPERLINK("https://klasma.github.io/Logging_1293/kartor_geotiff/S 1103-2023 georefererad karta.tif", "S 1103-2023")</f>
        <v/>
      </c>
      <c r="AA266">
        <f>HYPERLINK("https://klasma.github.io/Logging_1293/klagomål/S 1103-2023 FSC-klagomål.docx", "S 1103-2023")</f>
        <v/>
      </c>
      <c r="AB266">
        <f>HYPERLINK("https://klasma.github.io/Logging_1293/klagomålsmail/S 1103-2023 FSC-klagomål mail.docx", "S 1103-2023")</f>
        <v/>
      </c>
      <c r="AC266">
        <f>HYPERLINK("https://klasma.github.io/Logging_1293/tillsyn/S 1103-2023 tillsynsbegäran.docx", "S 1103-2023")</f>
        <v/>
      </c>
      <c r="AD266">
        <f>HYPERLINK("https://klasma.github.io/Logging_1293/tillsynsmail/S 1103-2023 tillsynsbegäran mail.docx", "S 1103-2023")</f>
        <v/>
      </c>
    </row>
    <row r="267" ht="15" customHeight="1">
      <c r="A267" t="inlineStr">
        <is>
          <t>S 2917-2022</t>
        </is>
      </c>
      <c r="B267" t="inlineStr">
        <is>
          <t>samrådsanmälan</t>
        </is>
      </c>
      <c r="C267" t="inlineStr">
        <is>
          <t>Askåterföring</t>
        </is>
      </c>
      <c r="D267" s="1" t="n">
        <v>44711</v>
      </c>
      <c r="E267" s="1" t="n">
        <v>46312</v>
      </c>
      <c r="F267" t="inlineStr">
        <is>
          <t>SKÅNE LÄN</t>
        </is>
      </c>
      <c r="G267" t="inlineStr">
        <is>
          <t>HÖÖR</t>
        </is>
      </c>
      <c r="I267" t="n">
        <v>13.6</v>
      </c>
      <c r="J267" t="n">
        <v>1</v>
      </c>
      <c r="K267" t="n">
        <v>0</v>
      </c>
      <c r="L267" t="n">
        <v>1</v>
      </c>
      <c r="M267" t="n">
        <v>0</v>
      </c>
      <c r="N267" t="n">
        <v>1</v>
      </c>
      <c r="O267" t="n">
        <v>0</v>
      </c>
      <c r="P267" t="n">
        <v>0</v>
      </c>
      <c r="Q267" t="n">
        <v>2</v>
      </c>
      <c r="R267" t="n">
        <v>1</v>
      </c>
      <c r="S267" t="n">
        <v>3</v>
      </c>
      <c r="T267" t="n">
        <v>3</v>
      </c>
      <c r="U267" t="n">
        <v>3</v>
      </c>
      <c r="V267" s="2" t="inlineStr">
        <is>
          <t>Skogsalm
Mörk dunört
Grönvit nattviol</t>
        </is>
      </c>
      <c r="W267">
        <f>HYPERLINK("https://klasma.github.io/Logging_1267/artfynd/S 2917-2022 artfynd.xlsx", "S 2917-2022")</f>
        <v/>
      </c>
      <c r="X267">
        <f>HYPERLINK("https://klasma.github.io/Logging_1267/kartor/S 2917-2022 karta.png", "S 2917-2022")</f>
        <v/>
      </c>
      <c r="Y267">
        <f>HYPERLINK("https://klasma.github.io/Logging_1267/kartor_geotiff/S 2917-2022 georefererad karta.tif", "S 2917-2022")</f>
        <v/>
      </c>
      <c r="AA267">
        <f>HYPERLINK("https://klasma.github.io/Logging_1267/klagomål/S 2917-2022 FSC-klagomål.docx", "S 2917-2022")</f>
        <v/>
      </c>
      <c r="AB267">
        <f>HYPERLINK("https://klasma.github.io/Logging_1267/klagomålsmail/S 2917-2022 FSC-klagomål mail.docx", "S 2917-2022")</f>
        <v/>
      </c>
      <c r="AC267">
        <f>HYPERLINK("https://klasma.github.io/Logging_1267/tillsyn/S 2917-2022 tillsynsbegäran.docx", "S 2917-2022")</f>
        <v/>
      </c>
      <c r="AD267">
        <f>HYPERLINK("https://klasma.github.io/Logging_1267/tillsynsmail/S 2917-2022 tillsynsbegäran mail.docx", "S 2917-2022")</f>
        <v/>
      </c>
    </row>
    <row r="268" ht="15" customHeight="1">
      <c r="A268" t="inlineStr">
        <is>
          <t>S 1100-2023</t>
        </is>
      </c>
      <c r="B268" t="inlineStr">
        <is>
          <t>samrådsanmälan</t>
        </is>
      </c>
      <c r="C268" t="inlineStr">
        <is>
          <t>Askåterföring</t>
        </is>
      </c>
      <c r="D268" s="1" t="n">
        <v>45014</v>
      </c>
      <c r="E268" s="1" t="n">
        <v>46312</v>
      </c>
      <c r="F268" t="inlineStr">
        <is>
          <t>SKÅNE LÄN</t>
        </is>
      </c>
      <c r="G268" t="inlineStr">
        <is>
          <t>HÄSSLEHOLM</t>
        </is>
      </c>
      <c r="I268" t="n">
        <v>78.2</v>
      </c>
      <c r="J268" t="n">
        <v>2</v>
      </c>
      <c r="K268" t="n">
        <v>1</v>
      </c>
      <c r="L268" t="n">
        <v>0</v>
      </c>
      <c r="M268" t="n">
        <v>0</v>
      </c>
      <c r="N268" t="n">
        <v>0</v>
      </c>
      <c r="O268" t="n">
        <v>0</v>
      </c>
      <c r="P268" t="n">
        <v>0</v>
      </c>
      <c r="Q268" t="n">
        <v>0</v>
      </c>
      <c r="R268" t="n">
        <v>0</v>
      </c>
      <c r="S268" t="n">
        <v>3</v>
      </c>
      <c r="T268" t="n">
        <v>3</v>
      </c>
      <c r="U268" t="n">
        <v>1</v>
      </c>
      <c r="V268" s="2" t="inlineStr">
        <is>
          <t>Stor revmossa
Orre
Huggorm</t>
        </is>
      </c>
      <c r="W268">
        <f>HYPERLINK("https://klasma.github.io/Logging_1293/artfynd/S 1100-2023 artfynd.xlsx", "S 1100-2023")</f>
        <v/>
      </c>
      <c r="X268">
        <f>HYPERLINK("https://klasma.github.io/Logging_1293/kartor/S 1100-2023 karta.png", "S 1100-2023")</f>
        <v/>
      </c>
      <c r="Y268">
        <f>HYPERLINK("https://klasma.github.io/Logging_1293/kartor_geotiff/S 1100-2023 georefererad karta.tif", "S 1100-2023")</f>
        <v/>
      </c>
      <c r="AA268">
        <f>HYPERLINK("https://klasma.github.io/Logging_1293/klagomål/S 1100-2023 FSC-klagomål.docx", "S 1100-2023")</f>
        <v/>
      </c>
      <c r="AB268">
        <f>HYPERLINK("https://klasma.github.io/Logging_1293/klagomålsmail/S 1100-2023 FSC-klagomål mail.docx", "S 1100-2023")</f>
        <v/>
      </c>
      <c r="AC268">
        <f>HYPERLINK("https://klasma.github.io/Logging_1293/tillsyn/S 1100-2023 tillsynsbegäran.docx", "S 1100-2023")</f>
        <v/>
      </c>
      <c r="AD268">
        <f>HYPERLINK("https://klasma.github.io/Logging_1293/tillsynsmail/S 1100-2023 tillsynsbegäran mail.docx", "S 1100-2023")</f>
        <v/>
      </c>
      <c r="AE268">
        <f>HYPERLINK("https://klasma.github.io/Logging_1293/fåglar/S 1100-2023 prioriterade fågelarter.docx", "S 1100-2023")</f>
        <v/>
      </c>
    </row>
    <row r="269" ht="15" customHeight="1">
      <c r="A269" t="inlineStr">
        <is>
          <t>S 378-2024</t>
        </is>
      </c>
      <c r="B269" t="inlineStr">
        <is>
          <t>samrådsanmälan</t>
        </is>
      </c>
      <c r="C269" t="inlineStr">
        <is>
          <t>Askåterföring</t>
        </is>
      </c>
      <c r="D269" s="1" t="n">
        <v>45330</v>
      </c>
      <c r="E269" s="1" t="n">
        <v>46312</v>
      </c>
      <c r="F269" t="inlineStr">
        <is>
          <t>SKÅNE LÄN</t>
        </is>
      </c>
      <c r="G269" t="inlineStr">
        <is>
          <t>ÖSTRA GÖINGE</t>
        </is>
      </c>
      <c r="I269" t="n">
        <v>33.3</v>
      </c>
      <c r="J269" t="n">
        <v>0</v>
      </c>
      <c r="K269" t="n">
        <v>2</v>
      </c>
      <c r="L269" t="n">
        <v>1</v>
      </c>
      <c r="M269" t="n">
        <v>0</v>
      </c>
      <c r="N269" t="n">
        <v>0</v>
      </c>
      <c r="O269" t="n">
        <v>0</v>
      </c>
      <c r="P269" t="n">
        <v>0</v>
      </c>
      <c r="Q269" t="n">
        <v>1</v>
      </c>
      <c r="R269" t="n">
        <v>0</v>
      </c>
      <c r="S269" t="n">
        <v>3</v>
      </c>
      <c r="T269" t="n">
        <v>4</v>
      </c>
      <c r="U269" t="n">
        <v>0</v>
      </c>
      <c r="V269" s="2" t="inlineStr">
        <is>
          <t>Bokvårtlav
Havstulpanlav
Västlig hakmossa</t>
        </is>
      </c>
      <c r="W269">
        <f>HYPERLINK("https://klasma.github.io/Logging_1256/artfynd/S 378-2024 artfynd.xlsx", "S 378-2024")</f>
        <v/>
      </c>
      <c r="X269">
        <f>HYPERLINK("https://klasma.github.io/Logging_1256/kartor/S 378-2024 karta.png", "S 378-2024")</f>
        <v/>
      </c>
      <c r="Y269">
        <f>HYPERLINK("https://klasma.github.io/Logging_1256/kartor_geotiff/S 378-2024 georefererad karta.tif", "S 378-2024")</f>
        <v/>
      </c>
      <c r="AA269">
        <f>HYPERLINK("https://klasma.github.io/Logging_1256/klagomål/S 378-2024 FSC-klagomål.docx", "S 378-2024")</f>
        <v/>
      </c>
      <c r="AB269">
        <f>HYPERLINK("https://klasma.github.io/Logging_1256/klagomålsmail/S 378-2024 FSC-klagomål mail.docx", "S 378-2024")</f>
        <v/>
      </c>
      <c r="AC269">
        <f>HYPERLINK("https://klasma.github.io/Logging_1256/tillsyn/S 378-2024 tillsynsbegäran.docx", "S 378-2024")</f>
        <v/>
      </c>
      <c r="AD269">
        <f>HYPERLINK("https://klasma.github.io/Logging_1256/tillsynsmail/S 378-2024 tillsynsbegäran mail.docx", "S 378-2024")</f>
        <v/>
      </c>
    </row>
    <row r="270" ht="15" customHeight="1">
      <c r="A270" t="inlineStr">
        <is>
          <t>S 2831-2023</t>
        </is>
      </c>
      <c r="B270" t="inlineStr">
        <is>
          <t>samrådsanmälan</t>
        </is>
      </c>
      <c r="C270" t="inlineStr">
        <is>
          <t>Askåterföring</t>
        </is>
      </c>
      <c r="D270" s="1" t="n">
        <v>45166</v>
      </c>
      <c r="E270" s="1" t="n">
        <v>46312</v>
      </c>
      <c r="F270" t="inlineStr">
        <is>
          <t>SKÅNE LÄN</t>
        </is>
      </c>
      <c r="G270" t="inlineStr">
        <is>
          <t>ÖSTRA GÖINGE</t>
        </is>
      </c>
      <c r="I270" t="n">
        <v>22.2</v>
      </c>
      <c r="J270" t="n">
        <v>0</v>
      </c>
      <c r="K270" t="n">
        <v>3</v>
      </c>
      <c r="L270" t="n">
        <v>0</v>
      </c>
      <c r="M270" t="n">
        <v>0</v>
      </c>
      <c r="N270" t="n">
        <v>0</v>
      </c>
      <c r="O270" t="n">
        <v>0</v>
      </c>
      <c r="P270" t="n">
        <v>0</v>
      </c>
      <c r="Q270" t="n">
        <v>0</v>
      </c>
      <c r="R270" t="n">
        <v>0</v>
      </c>
      <c r="S270" t="n">
        <v>3</v>
      </c>
      <c r="T270" t="n">
        <v>4</v>
      </c>
      <c r="U270" t="n">
        <v>0</v>
      </c>
      <c r="V270" s="2" t="inlineStr">
        <is>
          <t>Barkkornlav
Fällmossa
Rostfläck</t>
        </is>
      </c>
      <c r="W270">
        <f>HYPERLINK("https://klasma.github.io/Logging_1256/artfynd/S 2831-2023 artfynd.xlsx", "S 2831-2023")</f>
        <v/>
      </c>
      <c r="X270">
        <f>HYPERLINK("https://klasma.github.io/Logging_1256/kartor/S 2831-2023 karta.png", "S 2831-2023")</f>
        <v/>
      </c>
      <c r="Y270">
        <f>HYPERLINK("https://klasma.github.io/Logging_1256/kartor_geotiff/S 2831-2023 georefererad karta.tif", "S 2831-2023")</f>
        <v/>
      </c>
      <c r="AA270">
        <f>HYPERLINK("https://klasma.github.io/Logging_1256/klagomål/S 2831-2023 FSC-klagomål.docx", "S 2831-2023")</f>
        <v/>
      </c>
      <c r="AB270">
        <f>HYPERLINK("https://klasma.github.io/Logging_1256/klagomålsmail/S 2831-2023 FSC-klagomål mail.docx", "S 2831-2023")</f>
        <v/>
      </c>
      <c r="AC270">
        <f>HYPERLINK("https://klasma.github.io/Logging_1256/tillsyn/S 2831-2023 tillsynsbegäran.docx", "S 2831-2023")</f>
        <v/>
      </c>
      <c r="AD270">
        <f>HYPERLINK("https://klasma.github.io/Logging_1256/tillsynsmail/S 2831-2023 tillsynsbegäran mail.docx", "S 2831-2023")</f>
        <v/>
      </c>
    </row>
    <row r="271" ht="15" customHeight="1">
      <c r="A271" t="inlineStr">
        <is>
          <t>S 3290-2023</t>
        </is>
      </c>
      <c r="B271" t="inlineStr">
        <is>
          <t>samrådsanmälan</t>
        </is>
      </c>
      <c r="C271" t="inlineStr">
        <is>
          <t>Askåterföring</t>
        </is>
      </c>
      <c r="D271" s="1" t="n">
        <v>45194</v>
      </c>
      <c r="E271" s="1" t="n">
        <v>46312</v>
      </c>
      <c r="F271" t="inlineStr">
        <is>
          <t>SKÅNE LÄN</t>
        </is>
      </c>
      <c r="G271" t="inlineStr">
        <is>
          <t>HÖÖR</t>
        </is>
      </c>
      <c r="I271" t="n">
        <v>25.9</v>
      </c>
      <c r="J271" t="n">
        <v>1</v>
      </c>
      <c r="K271" t="n">
        <v>1</v>
      </c>
      <c r="L271" t="n">
        <v>0</v>
      </c>
      <c r="M271" t="n">
        <v>1</v>
      </c>
      <c r="N271" t="n">
        <v>0</v>
      </c>
      <c r="O271" t="n">
        <v>0</v>
      </c>
      <c r="P271" t="n">
        <v>0</v>
      </c>
      <c r="Q271" t="n">
        <v>1</v>
      </c>
      <c r="R271" t="n">
        <v>1</v>
      </c>
      <c r="S271" t="n">
        <v>3</v>
      </c>
      <c r="T271" t="n">
        <v>3</v>
      </c>
      <c r="U271" t="n">
        <v>2</v>
      </c>
      <c r="V271" s="2" t="inlineStr">
        <is>
          <t>Småvänderot
Liten stinksvamp
Grönvit nattviol</t>
        </is>
      </c>
      <c r="W271">
        <f>HYPERLINK("https://klasma.github.io/Logging_1267/artfynd/S 3290-2023 artfynd.xlsx", "S 3290-2023")</f>
        <v/>
      </c>
      <c r="X271">
        <f>HYPERLINK("https://klasma.github.io/Logging_1267/kartor/S 3290-2023 karta.png", "S 3290-2023")</f>
        <v/>
      </c>
      <c r="Y271">
        <f>HYPERLINK("https://klasma.github.io/Logging_1267/kartor_geotiff/S 3290-2023 georefererad karta.tif", "S 3290-2023")</f>
        <v/>
      </c>
      <c r="AA271">
        <f>HYPERLINK("https://klasma.github.io/Logging_1267/klagomål/S 3290-2023 FSC-klagomål.docx", "S 3290-2023")</f>
        <v/>
      </c>
      <c r="AB271">
        <f>HYPERLINK("https://klasma.github.io/Logging_1267/klagomålsmail/S 3290-2023 FSC-klagomål mail.docx", "S 3290-2023")</f>
        <v/>
      </c>
      <c r="AC271">
        <f>HYPERLINK("https://klasma.github.io/Logging_1267/tillsyn/S 3290-2023 tillsynsbegäran.docx", "S 3290-2023")</f>
        <v/>
      </c>
      <c r="AD271">
        <f>HYPERLINK("https://klasma.github.io/Logging_1267/tillsynsmail/S 3290-2023 tillsynsbegäran mail.docx", "S 3290-2023")</f>
        <v/>
      </c>
    </row>
    <row r="272" ht="15" customHeight="1">
      <c r="A272" t="inlineStr">
        <is>
          <t>S 2643-2022</t>
        </is>
      </c>
      <c r="B272" t="inlineStr">
        <is>
          <t>samrådsanmälan</t>
        </is>
      </c>
      <c r="C272" t="inlineStr">
        <is>
          <t>Askåterföring</t>
        </is>
      </c>
      <c r="D272" s="1" t="n">
        <v>44700</v>
      </c>
      <c r="E272" s="1" t="n">
        <v>46312</v>
      </c>
      <c r="F272" t="inlineStr">
        <is>
          <t>SKÅNE LÄN</t>
        </is>
      </c>
      <c r="G272" t="inlineStr">
        <is>
          <t>KRISTIANSTAD</t>
        </is>
      </c>
      <c r="I272" t="n">
        <v>17.9</v>
      </c>
      <c r="J272" t="n">
        <v>3</v>
      </c>
      <c r="K272" t="n">
        <v>0</v>
      </c>
      <c r="L272" t="n">
        <v>0</v>
      </c>
      <c r="M272" t="n">
        <v>0</v>
      </c>
      <c r="N272" t="n">
        <v>0</v>
      </c>
      <c r="O272" t="n">
        <v>0</v>
      </c>
      <c r="P272" t="n">
        <v>0</v>
      </c>
      <c r="Q272" t="n">
        <v>0</v>
      </c>
      <c r="R272" t="n">
        <v>0</v>
      </c>
      <c r="S272" t="n">
        <v>3</v>
      </c>
      <c r="T272" t="n">
        <v>3</v>
      </c>
      <c r="U272" t="n">
        <v>3</v>
      </c>
      <c r="V272" s="2" t="inlineStr">
        <is>
          <t>Nattskärra
Spillkråka
Törnskata</t>
        </is>
      </c>
      <c r="W272">
        <f>HYPERLINK("https://klasma.github.io/Logging_1290/artfynd/S 2643-2022 artfynd.xlsx", "S 2643-2022")</f>
        <v/>
      </c>
      <c r="X272">
        <f>HYPERLINK("https://klasma.github.io/Logging_1290/kartor/S 2643-2022 karta.png", "S 2643-2022")</f>
        <v/>
      </c>
      <c r="Y272">
        <f>HYPERLINK("https://klasma.github.io/Logging_1290/kartor_geotiff/S 2643-2022 georefererad karta.tif", "S 2643-2022")</f>
        <v/>
      </c>
      <c r="AA272">
        <f>HYPERLINK("https://klasma.github.io/Logging_1290/klagomål/S 2643-2022 FSC-klagomål.docx", "S 2643-2022")</f>
        <v/>
      </c>
      <c r="AB272">
        <f>HYPERLINK("https://klasma.github.io/Logging_1290/klagomålsmail/S 2643-2022 FSC-klagomål mail.docx", "S 2643-2022")</f>
        <v/>
      </c>
      <c r="AC272">
        <f>HYPERLINK("https://klasma.github.io/Logging_1290/tillsyn/S 2643-2022 tillsynsbegäran.docx", "S 2643-2022")</f>
        <v/>
      </c>
      <c r="AD272">
        <f>HYPERLINK("https://klasma.github.io/Logging_1290/tillsynsmail/S 2643-2022 tillsynsbegäran mail.docx", "S 2643-2022")</f>
        <v/>
      </c>
      <c r="AE272">
        <f>HYPERLINK("https://klasma.github.io/Logging_1290/fåglar/S 2643-2022 prioriterade fågelarter.docx", "S 2643-2022")</f>
        <v/>
      </c>
    </row>
    <row r="273" ht="15" customHeight="1">
      <c r="A273" t="inlineStr">
        <is>
          <t>S 8867-2021</t>
        </is>
      </c>
      <c r="B273" t="inlineStr">
        <is>
          <t>samrådsanmälan</t>
        </is>
      </c>
      <c r="C273" t="inlineStr">
        <is>
          <t>Askåterföring</t>
        </is>
      </c>
      <c r="D273" s="1" t="n">
        <v>44503</v>
      </c>
      <c r="E273" s="1" t="n">
        <v>46312</v>
      </c>
      <c r="F273" t="inlineStr">
        <is>
          <t>SKÅNE LÄN</t>
        </is>
      </c>
      <c r="G273" t="inlineStr">
        <is>
          <t>HÖÖR</t>
        </is>
      </c>
      <c r="I273" t="n">
        <v>23.2</v>
      </c>
      <c r="J273" t="n">
        <v>1</v>
      </c>
      <c r="K273" t="n">
        <v>1</v>
      </c>
      <c r="L273" t="n">
        <v>1</v>
      </c>
      <c r="M273" t="n">
        <v>1</v>
      </c>
      <c r="N273" t="n">
        <v>0</v>
      </c>
      <c r="O273" t="n">
        <v>0</v>
      </c>
      <c r="P273" t="n">
        <v>0</v>
      </c>
      <c r="Q273" t="n">
        <v>2</v>
      </c>
      <c r="R273" t="n">
        <v>1</v>
      </c>
      <c r="S273" t="n">
        <v>3</v>
      </c>
      <c r="T273" t="n">
        <v>3</v>
      </c>
      <c r="U273" t="n">
        <v>3</v>
      </c>
      <c r="V273" s="2" t="inlineStr">
        <is>
          <t>Igelkott
Talltita
Skogsbräsma</t>
        </is>
      </c>
      <c r="W273">
        <f>HYPERLINK("https://klasma.github.io/Logging_1267/artfynd/S 8867-2021 artfynd.xlsx", "S 8867-2021")</f>
        <v/>
      </c>
      <c r="X273">
        <f>HYPERLINK("https://klasma.github.io/Logging_1267/kartor/S 8867-2021 karta.png", "S 8867-2021")</f>
        <v/>
      </c>
      <c r="Y273">
        <f>HYPERLINK("https://klasma.github.io/Logging_1267/kartor_geotiff/S 8867-2021 georefererad karta.tif", "S 8867-2021")</f>
        <v/>
      </c>
      <c r="AA273">
        <f>HYPERLINK("https://klasma.github.io/Logging_1267/klagomål/S 8867-2021 FSC-klagomål.docx", "S 8867-2021")</f>
        <v/>
      </c>
      <c r="AB273">
        <f>HYPERLINK("https://klasma.github.io/Logging_1267/klagomålsmail/S 8867-2021 FSC-klagomål mail.docx", "S 8867-2021")</f>
        <v/>
      </c>
      <c r="AC273">
        <f>HYPERLINK("https://klasma.github.io/Logging_1267/tillsyn/S 8867-2021 tillsynsbegäran.docx", "S 8867-2021")</f>
        <v/>
      </c>
      <c r="AD273">
        <f>HYPERLINK("https://klasma.github.io/Logging_1267/tillsynsmail/S 8867-2021 tillsynsbegäran mail.docx", "S 8867-2021")</f>
        <v/>
      </c>
      <c r="AE273">
        <f>HYPERLINK("https://klasma.github.io/Logging_1267/fåglar/S 8867-2021 prioriterade fågelarter.docx", "S 8867-2021")</f>
        <v/>
      </c>
    </row>
    <row r="274" ht="15" customHeight="1">
      <c r="A274" t="inlineStr">
        <is>
          <t>S 5972-2022</t>
        </is>
      </c>
      <c r="B274" t="inlineStr">
        <is>
          <t>samrådsanmälan</t>
        </is>
      </c>
      <c r="C274" t="inlineStr">
        <is>
          <t>Askåterföring</t>
        </is>
      </c>
      <c r="D274" s="1" t="n">
        <v>44858</v>
      </c>
      <c r="E274" s="1" t="n">
        <v>46312</v>
      </c>
      <c r="F274" t="inlineStr">
        <is>
          <t>SKÅNE LÄN</t>
        </is>
      </c>
      <c r="G274" t="inlineStr">
        <is>
          <t>KLIPPAN</t>
        </is>
      </c>
      <c r="I274" t="n">
        <v>16.1</v>
      </c>
      <c r="J274" t="n">
        <v>3</v>
      </c>
      <c r="K274" t="n">
        <v>1</v>
      </c>
      <c r="L274" t="n">
        <v>0</v>
      </c>
      <c r="M274" t="n">
        <v>0</v>
      </c>
      <c r="N274" t="n">
        <v>0</v>
      </c>
      <c r="O274" t="n">
        <v>0</v>
      </c>
      <c r="P274" t="n">
        <v>0</v>
      </c>
      <c r="Q274" t="n">
        <v>0</v>
      </c>
      <c r="R274" t="n">
        <v>0</v>
      </c>
      <c r="S274" t="n">
        <v>3</v>
      </c>
      <c r="T274" t="n">
        <v>3</v>
      </c>
      <c r="U274" t="n">
        <v>1</v>
      </c>
      <c r="V274" s="2" t="inlineStr">
        <is>
          <t>Skogsknipprot
Grönsiska
Kungsfågel</t>
        </is>
      </c>
      <c r="W274">
        <f>HYPERLINK("https://klasma.github.io/Logging_1276/artfynd/S 5972-2022 artfynd.xlsx", "S 5972-2022")</f>
        <v/>
      </c>
      <c r="X274">
        <f>HYPERLINK("https://klasma.github.io/Logging_1276/kartor/S 5972-2022 karta.png", "S 5972-2022")</f>
        <v/>
      </c>
      <c r="Y274">
        <f>HYPERLINK("https://klasma.github.io/Logging_1276/kartor_geotiff/S 5972-2022 georefererad karta.tif", "S 5972-2022")</f>
        <v/>
      </c>
      <c r="AA274">
        <f>HYPERLINK("https://klasma.github.io/Logging_1276/klagomål/S 5972-2022 FSC-klagomål.docx", "S 5972-2022")</f>
        <v/>
      </c>
      <c r="AB274">
        <f>HYPERLINK("https://klasma.github.io/Logging_1276/klagomålsmail/S 5972-2022 FSC-klagomål mail.docx", "S 5972-2022")</f>
        <v/>
      </c>
      <c r="AC274">
        <f>HYPERLINK("https://klasma.github.io/Logging_1276/tillsyn/S 5972-2022 tillsynsbegäran.docx", "S 5972-2022")</f>
        <v/>
      </c>
      <c r="AD274">
        <f>HYPERLINK("https://klasma.github.io/Logging_1276/tillsynsmail/S 5972-2022 tillsynsbegäran mail.docx", "S 5972-2022")</f>
        <v/>
      </c>
    </row>
    <row r="275" ht="15" customHeight="1">
      <c r="A275" t="inlineStr">
        <is>
          <t>S 4865-2022</t>
        </is>
      </c>
      <c r="B275" t="inlineStr">
        <is>
          <t>samrådsanmälan</t>
        </is>
      </c>
      <c r="C275" t="inlineStr">
        <is>
          <t>Askåterföring</t>
        </is>
      </c>
      <c r="D275" s="1" t="n">
        <v>44805</v>
      </c>
      <c r="E275" s="1" t="n">
        <v>46312</v>
      </c>
      <c r="F275" t="inlineStr">
        <is>
          <t>SKÅNE LÄN</t>
        </is>
      </c>
      <c r="G275" t="inlineStr">
        <is>
          <t>KLIPPAN</t>
        </is>
      </c>
      <c r="I275" t="n">
        <v>29.1</v>
      </c>
      <c r="J275" t="n">
        <v>3</v>
      </c>
      <c r="K275" t="n">
        <v>0</v>
      </c>
      <c r="L275" t="n">
        <v>1</v>
      </c>
      <c r="M275" t="n">
        <v>0</v>
      </c>
      <c r="N275" t="n">
        <v>0</v>
      </c>
      <c r="O275" t="n">
        <v>0</v>
      </c>
      <c r="P275" t="n">
        <v>0</v>
      </c>
      <c r="Q275" t="n">
        <v>1</v>
      </c>
      <c r="R275" t="n">
        <v>0</v>
      </c>
      <c r="S275" t="n">
        <v>3</v>
      </c>
      <c r="T275" t="n">
        <v>4</v>
      </c>
      <c r="U275" t="n">
        <v>4</v>
      </c>
      <c r="V275" s="2" t="inlineStr">
        <is>
          <t>Entita
Skogsödla
Vanlig groda</t>
        </is>
      </c>
      <c r="W275">
        <f>HYPERLINK("https://klasma.github.io/Logging_1276/artfynd/S 4865-2022 artfynd.xlsx", "S 4865-2022")</f>
        <v/>
      </c>
      <c r="X275">
        <f>HYPERLINK("https://klasma.github.io/Logging_1276/kartor/S 4865-2022 karta.png", "S 4865-2022")</f>
        <v/>
      </c>
      <c r="Y275">
        <f>HYPERLINK("https://klasma.github.io/Logging_1276/kartor_geotiff/S 4865-2022 georefererad karta.tif", "S 4865-2022")</f>
        <v/>
      </c>
      <c r="AA275">
        <f>HYPERLINK("https://klasma.github.io/Logging_1276/klagomål/S 4865-2022 FSC-klagomål.docx", "S 4865-2022")</f>
        <v/>
      </c>
      <c r="AB275">
        <f>HYPERLINK("https://klasma.github.io/Logging_1276/klagomålsmail/S 4865-2022 FSC-klagomål mail.docx", "S 4865-2022")</f>
        <v/>
      </c>
      <c r="AC275">
        <f>HYPERLINK("https://klasma.github.io/Logging_1276/tillsyn/S 4865-2022 tillsynsbegäran.docx", "S 4865-2022")</f>
        <v/>
      </c>
      <c r="AD275">
        <f>HYPERLINK("https://klasma.github.io/Logging_1276/tillsynsmail/S 4865-2022 tillsynsbegäran mail.docx", "S 4865-2022")</f>
        <v/>
      </c>
      <c r="AE275">
        <f>HYPERLINK("https://klasma.github.io/Logging_1276/fåglar/S 4865-2022 prioriterade fågelarter.docx", "S 4865-2022")</f>
        <v/>
      </c>
    </row>
    <row r="276" ht="15" customHeight="1">
      <c r="A276" t="inlineStr">
        <is>
          <t>S 1423-2025</t>
        </is>
      </c>
      <c r="B276" t="inlineStr">
        <is>
          <t>samrådsanmälan</t>
        </is>
      </c>
      <c r="C276" t="inlineStr">
        <is>
          <t>Annan skogsbruksåtgärd</t>
        </is>
      </c>
      <c r="D276" s="1" t="n">
        <v>45783</v>
      </c>
      <c r="E276" s="1" t="n">
        <v>46312</v>
      </c>
      <c r="F276" t="inlineStr">
        <is>
          <t>SKÅNE LÄN</t>
        </is>
      </c>
      <c r="G276" t="inlineStr">
        <is>
          <t>ÖSTRA GÖINGE</t>
        </is>
      </c>
      <c r="I276" t="n">
        <v>0.6</v>
      </c>
      <c r="J276" t="n">
        <v>0</v>
      </c>
      <c r="K276" t="n">
        <v>2</v>
      </c>
      <c r="L276" t="n">
        <v>0</v>
      </c>
      <c r="M276" t="n">
        <v>0</v>
      </c>
      <c r="N276" t="n">
        <v>0</v>
      </c>
      <c r="O276" t="n">
        <v>0</v>
      </c>
      <c r="P276" t="n">
        <v>0</v>
      </c>
      <c r="Q276" t="n">
        <v>0</v>
      </c>
      <c r="R276" t="n">
        <v>0</v>
      </c>
      <c r="S276" t="n">
        <v>3</v>
      </c>
      <c r="T276" t="n">
        <v>4</v>
      </c>
      <c r="U276" t="n">
        <v>4</v>
      </c>
      <c r="V276" s="2" t="inlineStr">
        <is>
          <t>Havstulpanlav
Rostfläck
Glansfläck</t>
        </is>
      </c>
      <c r="W276">
        <f>HYPERLINK("https://klasma.github.io/Logging_1256/artfynd/S 1423-2025 artfynd.xlsx", "S 1423-2025")</f>
        <v/>
      </c>
      <c r="X276">
        <f>HYPERLINK("https://klasma.github.io/Logging_1256/kartor/S 1423-2025 karta.png", "S 1423-2025")</f>
        <v/>
      </c>
      <c r="Y276">
        <f>HYPERLINK("https://klasma.github.io/Logging_1256/kartor_geotiff/S 1423-2025 georefererad karta.tif", "S 1423-2025")</f>
        <v/>
      </c>
      <c r="AA276">
        <f>HYPERLINK("https://klasma.github.io/Logging_1256/klagomål/S 1423-2025 FSC-klagomål.docx", "S 1423-2025")</f>
        <v/>
      </c>
      <c r="AB276">
        <f>HYPERLINK("https://klasma.github.io/Logging_1256/klagomålsmail/S 1423-2025 FSC-klagomål mail.docx", "S 1423-2025")</f>
        <v/>
      </c>
      <c r="AC276">
        <f>HYPERLINK("https://klasma.github.io/Logging_1256/tillsyn/S 1423-2025 tillsynsbegäran.docx", "S 1423-2025")</f>
        <v/>
      </c>
      <c r="AD276">
        <f>HYPERLINK("https://klasma.github.io/Logging_1256/tillsynsmail/S 1423-2025 tillsynsbegäran mail.docx", "S 1423-2025")</f>
        <v/>
      </c>
    </row>
    <row r="277" ht="15" customHeight="1">
      <c r="A277" t="inlineStr">
        <is>
          <t>S 291-2026</t>
        </is>
      </c>
      <c r="B277" t="inlineStr">
        <is>
          <t>samrådsanmälan</t>
        </is>
      </c>
      <c r="C277" t="inlineStr">
        <is>
          <t>Askåterföring</t>
        </is>
      </c>
      <c r="D277" s="1" t="n">
        <v>46057</v>
      </c>
      <c r="E277" s="1" t="n">
        <v>46312</v>
      </c>
      <c r="F277" t="inlineStr">
        <is>
          <t>SKÅNE LÄN</t>
        </is>
      </c>
      <c r="G277" t="inlineStr">
        <is>
          <t>ÖRKELLJUNGA</t>
        </is>
      </c>
      <c r="I277" t="n">
        <v>123.5</v>
      </c>
      <c r="J277" t="n">
        <v>1</v>
      </c>
      <c r="K277" t="n">
        <v>1</v>
      </c>
      <c r="L277" t="n">
        <v>1</v>
      </c>
      <c r="M277" t="n">
        <v>0</v>
      </c>
      <c r="N277" t="n">
        <v>0</v>
      </c>
      <c r="O277" t="n">
        <v>0</v>
      </c>
      <c r="P277" t="n">
        <v>0</v>
      </c>
      <c r="Q277" t="n">
        <v>1</v>
      </c>
      <c r="R277" t="n">
        <v>0</v>
      </c>
      <c r="S277" t="n">
        <v>3</v>
      </c>
      <c r="T277" t="n">
        <v>3</v>
      </c>
      <c r="U277" t="n">
        <v>0</v>
      </c>
      <c r="V277" s="2" t="inlineStr">
        <is>
          <t>Bokvårtlav
Fällmossa
Kungsfågel</t>
        </is>
      </c>
      <c r="W277">
        <f>HYPERLINK("https://klasma.github.io/Logging_1257/artfynd/S 291-2026 artfynd.xlsx", "S 291-2026")</f>
        <v/>
      </c>
      <c r="X277">
        <f>HYPERLINK("https://klasma.github.io/Logging_1257/kartor/S 291-2026 karta.png", "S 291-2026")</f>
        <v/>
      </c>
      <c r="Y277">
        <f>HYPERLINK("https://klasma.github.io/Logging_1257/kartor_geotiff/S 291-2026 georefererad karta.tif", "S 291-2026")</f>
        <v/>
      </c>
      <c r="AA277">
        <f>HYPERLINK("https://klasma.github.io/Logging_1257/klagomål/S 291-2026 FSC-klagomål.docx", "S 291-2026")</f>
        <v/>
      </c>
      <c r="AB277">
        <f>HYPERLINK("https://klasma.github.io/Logging_1257/klagomålsmail/S 291-2026 FSC-klagomål mail.docx", "S 291-2026")</f>
        <v/>
      </c>
      <c r="AC277">
        <f>HYPERLINK("https://klasma.github.io/Logging_1257/tillsyn/S 291-2026 tillsynsbegäran.docx", "S 291-2026")</f>
        <v/>
      </c>
      <c r="AD277">
        <f>HYPERLINK("https://klasma.github.io/Logging_1257/tillsynsmail/S 291-2026 tillsynsbegäran mail.docx", "S 291-2026")</f>
        <v/>
      </c>
    </row>
    <row r="278" ht="15" customHeight="1">
      <c r="A278" t="inlineStr">
        <is>
          <t>S 1335-2026</t>
        </is>
      </c>
      <c r="B278" t="inlineStr">
        <is>
          <t>samrådsanmälan</t>
        </is>
      </c>
      <c r="C278" t="inlineStr">
        <is>
          <t>Askåterföring</t>
        </is>
      </c>
      <c r="D278" s="1" t="n">
        <v>46150</v>
      </c>
      <c r="E278" s="1" t="n">
        <v>46312</v>
      </c>
      <c r="F278" t="inlineStr">
        <is>
          <t>SKÅNE LÄN</t>
        </is>
      </c>
      <c r="G278" t="inlineStr">
        <is>
          <t>ÖRKELLJUNGA</t>
        </is>
      </c>
      <c r="I278" t="n">
        <v>98.40000000000001</v>
      </c>
      <c r="J278" t="n">
        <v>0</v>
      </c>
      <c r="K278" t="n">
        <v>3</v>
      </c>
      <c r="L278" t="n">
        <v>0</v>
      </c>
      <c r="M278" t="n">
        <v>0</v>
      </c>
      <c r="N278" t="n">
        <v>0</v>
      </c>
      <c r="O278" t="n">
        <v>0</v>
      </c>
      <c r="P278" t="n">
        <v>0</v>
      </c>
      <c r="Q278" t="n">
        <v>0</v>
      </c>
      <c r="R278" t="n">
        <v>0</v>
      </c>
      <c r="S278" t="n">
        <v>3</v>
      </c>
      <c r="T278" t="n">
        <v>4</v>
      </c>
      <c r="U278" t="n">
        <v>0</v>
      </c>
      <c r="V278" s="2" t="inlineStr">
        <is>
          <t>Kambräken
Skuggmossa
Stubbspretmossa</t>
        </is>
      </c>
      <c r="W278">
        <f>HYPERLINK("https://klasma.github.io/Logging_1257/artfynd/S 1335-2026 artfynd.xlsx", "S 1335-2026")</f>
        <v/>
      </c>
      <c r="X278">
        <f>HYPERLINK("https://klasma.github.io/Logging_1257/kartor/S 1335-2026 karta.png", "S 1335-2026")</f>
        <v/>
      </c>
      <c r="Y278">
        <f>HYPERLINK("https://klasma.github.io/Logging_1257/kartor_geotiff/S 1335-2026 georefererad karta.tif", "S 1335-2026")</f>
        <v/>
      </c>
      <c r="AA278">
        <f>HYPERLINK("https://klasma.github.io/Logging_1257/klagomål/S 1335-2026 FSC-klagomål.docx", "S 1335-2026")</f>
        <v/>
      </c>
      <c r="AB278">
        <f>HYPERLINK("https://klasma.github.io/Logging_1257/klagomålsmail/S 1335-2026 FSC-klagomål mail.docx", "S 1335-2026")</f>
        <v/>
      </c>
      <c r="AC278">
        <f>HYPERLINK("https://klasma.github.io/Logging_1257/tillsyn/S 1335-2026 tillsynsbegäran.docx", "S 1335-2026")</f>
        <v/>
      </c>
      <c r="AD278">
        <f>HYPERLINK("https://klasma.github.io/Logging_1257/tillsynsmail/S 1335-2026 tillsynsbegäran mail.docx", "S 1335-2026")</f>
        <v/>
      </c>
    </row>
    <row r="279" ht="15" customHeight="1">
      <c r="A279" t="inlineStr">
        <is>
          <t>S 1598-2026</t>
        </is>
      </c>
      <c r="B279" t="inlineStr">
        <is>
          <t>samrådsanmälan</t>
        </is>
      </c>
      <c r="C279" t="inlineStr">
        <is>
          <t>Annan skogsbruksåtgärd</t>
        </is>
      </c>
      <c r="D279" s="1" t="n">
        <v>46174</v>
      </c>
      <c r="E279" s="1" t="n">
        <v>46312</v>
      </c>
      <c r="F279" t="inlineStr">
        <is>
          <t>SKÅNE LÄN</t>
        </is>
      </c>
      <c r="G279" t="inlineStr">
        <is>
          <t>HÄSSLEHOLM</t>
        </is>
      </c>
      <c r="I279" t="n">
        <v>4.1</v>
      </c>
      <c r="J279" t="n">
        <v>0</v>
      </c>
      <c r="K279" t="n">
        <v>0</v>
      </c>
      <c r="L279" t="n">
        <v>0</v>
      </c>
      <c r="M279" t="n">
        <v>0</v>
      </c>
      <c r="N279" t="n">
        <v>0</v>
      </c>
      <c r="O279" t="n">
        <v>0</v>
      </c>
      <c r="P279" t="n">
        <v>0</v>
      </c>
      <c r="Q279" t="n">
        <v>0</v>
      </c>
      <c r="R279" t="n">
        <v>0</v>
      </c>
      <c r="S279" t="n">
        <v>3</v>
      </c>
      <c r="T279" t="n">
        <v>3</v>
      </c>
      <c r="U279" t="n">
        <v>3</v>
      </c>
      <c r="V279" s="2" t="inlineStr">
        <is>
          <t>Hultbräken
Missne
Rankstarr</t>
        </is>
      </c>
      <c r="W279">
        <f>HYPERLINK("https://klasma.github.io/Logging_1293/artfynd/S 1598-2026 artfynd.xlsx", "S 1598-2026")</f>
        <v/>
      </c>
      <c r="X279">
        <f>HYPERLINK("https://klasma.github.io/Logging_1293/kartor/S 1598-2026 karta.png", "S 1598-2026")</f>
        <v/>
      </c>
      <c r="Y279">
        <f>HYPERLINK("https://klasma.github.io/Logging_1293/kartor_geotiff/S 1598-2026 georefererad karta.tif", "S 1598-2026")</f>
        <v/>
      </c>
      <c r="AA279">
        <f>HYPERLINK("https://klasma.github.io/Logging_1293/klagomål/S 1598-2026 FSC-klagomål.docx", "S 1598-2026")</f>
        <v/>
      </c>
      <c r="AB279">
        <f>HYPERLINK("https://klasma.github.io/Logging_1293/klagomålsmail/S 1598-2026 FSC-klagomål mail.docx", "S 1598-2026")</f>
        <v/>
      </c>
      <c r="AC279">
        <f>HYPERLINK("https://klasma.github.io/Logging_1293/tillsyn/S 1598-2026 tillsynsbegäran.docx", "S 1598-2026")</f>
        <v/>
      </c>
      <c r="AD279">
        <f>HYPERLINK("https://klasma.github.io/Logging_1293/tillsynsmail/S 1598-2026 tillsynsbegäran mail.docx", "S 1598-2026")</f>
        <v/>
      </c>
    </row>
    <row r="280" ht="15" customHeight="1">
      <c r="A280" t="inlineStr">
        <is>
          <t>S 1993-2026</t>
        </is>
      </c>
      <c r="B280" t="inlineStr">
        <is>
          <t>samrådsanmälan</t>
        </is>
      </c>
      <c r="C280" t="inlineStr">
        <is>
          <t>Askåterföring</t>
        </is>
      </c>
      <c r="D280" s="1" t="n">
        <v>46213</v>
      </c>
      <c r="E280" s="1" t="n">
        <v>46312</v>
      </c>
      <c r="F280" t="inlineStr">
        <is>
          <t>SKÅNE LÄN</t>
        </is>
      </c>
      <c r="G280" t="inlineStr">
        <is>
          <t>LUND</t>
        </is>
      </c>
      <c r="I280" t="n">
        <v>43.2</v>
      </c>
      <c r="J280" t="n">
        <v>2</v>
      </c>
      <c r="K280" t="n">
        <v>0</v>
      </c>
      <c r="L280" t="n">
        <v>1</v>
      </c>
      <c r="M280" t="n">
        <v>1</v>
      </c>
      <c r="N280" t="n">
        <v>0</v>
      </c>
      <c r="O280" t="n">
        <v>0</v>
      </c>
      <c r="P280" t="n">
        <v>0</v>
      </c>
      <c r="Q280" t="n">
        <v>2</v>
      </c>
      <c r="R280" t="n">
        <v>1</v>
      </c>
      <c r="S280" t="n">
        <v>3</v>
      </c>
      <c r="T280" t="n">
        <v>5</v>
      </c>
      <c r="U280" t="n">
        <v>0</v>
      </c>
      <c r="V280" s="2" t="inlineStr">
        <is>
          <t>Sexfläckig bastardsvärmare
Entita
Grönsiska</t>
        </is>
      </c>
      <c r="W280">
        <f>HYPERLINK("https://klasma.github.io/Logging_1281/artfynd/S 1993-2026 artfynd.xlsx", "S 1993-2026")</f>
        <v/>
      </c>
      <c r="X280">
        <f>HYPERLINK("https://klasma.github.io/Logging_1281/kartor/S 1993-2026 karta.png", "S 1993-2026")</f>
        <v/>
      </c>
      <c r="Y280">
        <f>HYPERLINK("https://klasma.github.io/Logging_1281/kartor_geotiff/S 1993-2026 georefererad karta.tif", "S 1993-2026")</f>
        <v/>
      </c>
      <c r="AA280">
        <f>HYPERLINK("https://klasma.github.io/Logging_1281/klagomål/S 1993-2026 FSC-klagomål.docx", "S 1993-2026")</f>
        <v/>
      </c>
      <c r="AB280">
        <f>HYPERLINK("https://klasma.github.io/Logging_1281/klagomålsmail/S 1993-2026 FSC-klagomål mail.docx", "S 1993-2026")</f>
        <v/>
      </c>
      <c r="AC280">
        <f>HYPERLINK("https://klasma.github.io/Logging_1281/tillsyn/S 1993-2026 tillsynsbegäran.docx", "S 1993-2026")</f>
        <v/>
      </c>
      <c r="AD280">
        <f>HYPERLINK("https://klasma.github.io/Logging_1281/tillsynsmail/S 1993-2026 tillsynsbegäran mail.docx", "S 1993-2026")</f>
        <v/>
      </c>
      <c r="AE280">
        <f>HYPERLINK("https://klasma.github.io/Logging_1281/fåglar/S 1993-2026 prioriterade fågelarter.docx", "S 1993-2026")</f>
        <v/>
      </c>
    </row>
    <row r="281" ht="15" customHeight="1">
      <c r="A281" t="inlineStr">
        <is>
          <t>S 2042-2026</t>
        </is>
      </c>
      <c r="B281" t="inlineStr">
        <is>
          <t>samrådsanmälan</t>
        </is>
      </c>
      <c r="C281" t="inlineStr">
        <is>
          <t>Annan skogsbruksåtgärd</t>
        </is>
      </c>
      <c r="D281" s="1" t="n">
        <v>46213</v>
      </c>
      <c r="E281" s="1" t="n">
        <v>46312</v>
      </c>
      <c r="F281" t="inlineStr">
        <is>
          <t>SKÅNE LÄN</t>
        </is>
      </c>
      <c r="G281" t="inlineStr">
        <is>
          <t>KRISTIANSTAD</t>
        </is>
      </c>
      <c r="I281" t="n">
        <v>0</v>
      </c>
      <c r="J281" t="n">
        <v>0</v>
      </c>
      <c r="K281" t="n">
        <v>3</v>
      </c>
      <c r="L281" t="n">
        <v>0</v>
      </c>
      <c r="M281" t="n">
        <v>0</v>
      </c>
      <c r="N281" t="n">
        <v>0</v>
      </c>
      <c r="O281" t="n">
        <v>0</v>
      </c>
      <c r="P281" t="n">
        <v>0</v>
      </c>
      <c r="Q281" t="n">
        <v>0</v>
      </c>
      <c r="R281" t="n">
        <v>0</v>
      </c>
      <c r="S281" t="n">
        <v>3</v>
      </c>
      <c r="T281" t="n">
        <v>3</v>
      </c>
      <c r="U281" t="n">
        <v>0</v>
      </c>
      <c r="V281" s="2" t="inlineStr">
        <is>
          <t>Brun nållav
Guldlockmossa
Klippfrullania</t>
        </is>
      </c>
      <c r="W281">
        <f>HYPERLINK("https://klasma.github.io/Logging_1290/artfynd/S 2042-2026 artfynd.xlsx", "S 2042-2026")</f>
        <v/>
      </c>
      <c r="X281">
        <f>HYPERLINK("https://klasma.github.io/Logging_1290/kartor/S 2042-2026 karta.png", "S 2042-2026")</f>
        <v/>
      </c>
      <c r="Y281">
        <f>HYPERLINK("https://klasma.github.io/Logging_1290/kartor_geotiff/S 2042-2026 georefererad karta.tif", "S 2042-2026")</f>
        <v/>
      </c>
      <c r="AA281">
        <f>HYPERLINK("https://klasma.github.io/Logging_1290/klagomål/S 2042-2026 FSC-klagomål.docx", "S 2042-2026")</f>
        <v/>
      </c>
      <c r="AB281">
        <f>HYPERLINK("https://klasma.github.io/Logging_1290/klagomålsmail/S 2042-2026 FSC-klagomål mail.docx", "S 2042-2026")</f>
        <v/>
      </c>
      <c r="AC281">
        <f>HYPERLINK("https://klasma.github.io/Logging_1290/tillsyn/S 2042-2026 tillsynsbegäran.docx", "S 2042-2026")</f>
        <v/>
      </c>
      <c r="AD281">
        <f>HYPERLINK("https://klasma.github.io/Logging_1290/tillsynsmail/S 2042-2026 tillsynsbegäran mail.docx", "S 2042-2026")</f>
        <v/>
      </c>
    </row>
    <row r="282" ht="15" customHeight="1">
      <c r="A282" t="inlineStr">
        <is>
          <t>A 8443-2022</t>
        </is>
      </c>
      <c r="B282" t="inlineStr">
        <is>
          <t>avverkningsanmälan</t>
        </is>
      </c>
      <c r="C282" t="inlineStr">
        <is>
          <t>Föryngringsavverkning</t>
        </is>
      </c>
      <c r="D282" s="1" t="n">
        <v>44612</v>
      </c>
      <c r="E282" s="1" t="n">
        <v>46312</v>
      </c>
      <c r="F282" t="inlineStr">
        <is>
          <t>SKÅNE LÄN</t>
        </is>
      </c>
      <c r="G282" t="inlineStr">
        <is>
          <t>HÖÖR</t>
        </is>
      </c>
      <c r="I282" t="n">
        <v>0.9</v>
      </c>
      <c r="J282" t="n">
        <v>2</v>
      </c>
      <c r="K282" t="n">
        <v>0</v>
      </c>
      <c r="L282" t="n">
        <v>1</v>
      </c>
      <c r="M282" t="n">
        <v>0</v>
      </c>
      <c r="N282" t="n">
        <v>0</v>
      </c>
      <c r="O282" t="n">
        <v>0</v>
      </c>
      <c r="P282" t="n">
        <v>0</v>
      </c>
      <c r="Q282" t="n">
        <v>1</v>
      </c>
      <c r="R282" t="n">
        <v>0</v>
      </c>
      <c r="S282" t="n">
        <v>2</v>
      </c>
      <c r="T282" t="n">
        <v>3</v>
      </c>
      <c r="U282" t="n">
        <v>3</v>
      </c>
      <c r="V282" s="2" t="inlineStr">
        <is>
          <t>Mindre hackspett
Gröngöling</t>
        </is>
      </c>
      <c r="W282">
        <f>HYPERLINK("https://klasma.github.io/Logging_1267/artfynd/A 8443-2022 artfynd.xlsx", "A 8443-2022")</f>
        <v/>
      </c>
      <c r="X282">
        <f>HYPERLINK("https://klasma.github.io/Logging_1267/kartor/A 8443-2022 karta.png", "A 8443-2022")</f>
        <v/>
      </c>
      <c r="Y282">
        <f>HYPERLINK("https://klasma.github.io/Logging_1267/kartor_geotiff/A 8443-2022 georefererad karta.tif", "A 8443-2022")</f>
        <v/>
      </c>
      <c r="AA282">
        <f>HYPERLINK("https://klasma.github.io/Logging_1267/klagomål/A 8443-2022 FSC-klagomål.docx", "A 8443-2022")</f>
        <v/>
      </c>
      <c r="AB282">
        <f>HYPERLINK("https://klasma.github.io/Logging_1267/klagomålsmail/A 8443-2022 FSC-klagomål mail.docx", "A 8443-2022")</f>
        <v/>
      </c>
      <c r="AC282">
        <f>HYPERLINK("https://klasma.github.io/Logging_1267/tillsyn/A 8443-2022 tillsynsbegäran.docx", "A 8443-2022")</f>
        <v/>
      </c>
      <c r="AD282">
        <f>HYPERLINK("https://klasma.github.io/Logging_1267/tillsynsmail/A 8443-2022 tillsynsbegäran mail.docx", "A 8443-2022")</f>
        <v/>
      </c>
      <c r="AE282">
        <f>HYPERLINK("https://klasma.github.io/Logging_1267/fåglar/A 8443-2022 prioriterade fågelarter.docx", "A 8443-2022")</f>
        <v/>
      </c>
    </row>
    <row r="283" ht="15" customHeight="1">
      <c r="A283" t="inlineStr">
        <is>
          <t>A 19094-2022</t>
        </is>
      </c>
      <c r="B283" t="inlineStr">
        <is>
          <t>avverkningsanmälan</t>
        </is>
      </c>
      <c r="C283" t="inlineStr">
        <is>
          <t>Föryngringsavverkning</t>
        </is>
      </c>
      <c r="D283" s="1" t="n">
        <v>44691</v>
      </c>
      <c r="E283" s="1" t="n">
        <v>46312</v>
      </c>
      <c r="F283" t="inlineStr">
        <is>
          <t>SKÅNE LÄN</t>
        </is>
      </c>
      <c r="G283" t="inlineStr">
        <is>
          <t>KLIPPAN</t>
        </is>
      </c>
      <c r="I283" t="n">
        <v>0.6</v>
      </c>
      <c r="J283" t="n">
        <v>0</v>
      </c>
      <c r="K283" t="n">
        <v>1</v>
      </c>
      <c r="L283" t="n">
        <v>0</v>
      </c>
      <c r="M283" t="n">
        <v>1</v>
      </c>
      <c r="N283" t="n">
        <v>0</v>
      </c>
      <c r="O283" t="n">
        <v>0</v>
      </c>
      <c r="P283" t="n">
        <v>0</v>
      </c>
      <c r="Q283" t="n">
        <v>1</v>
      </c>
      <c r="R283" t="n">
        <v>1</v>
      </c>
      <c r="S283" t="n">
        <v>2</v>
      </c>
      <c r="T283" t="n">
        <v>3</v>
      </c>
      <c r="U283" t="n">
        <v>1</v>
      </c>
      <c r="V283" s="2" t="inlineStr">
        <is>
          <t>Fläcklungört
Strutbräken</t>
        </is>
      </c>
      <c r="W283">
        <f>HYPERLINK("https://klasma.github.io/Logging_1276/artfynd/A 19094-2022 artfynd.xlsx", "A 19094-2022")</f>
        <v/>
      </c>
      <c r="X283">
        <f>HYPERLINK("https://klasma.github.io/Logging_1276/kartor/A 19094-2022 karta.png", "A 19094-2022")</f>
        <v/>
      </c>
      <c r="Y283">
        <f>HYPERLINK("https://klasma.github.io/Logging_1276/kartor_geotiff/A 19094-2022 georefererad karta.tif", "A 19094-2022")</f>
        <v/>
      </c>
      <c r="AA283">
        <f>HYPERLINK("https://klasma.github.io/Logging_1276/klagomål/A 19094-2022 FSC-klagomål.docx", "A 19094-2022")</f>
        <v/>
      </c>
      <c r="AB283">
        <f>HYPERLINK("https://klasma.github.io/Logging_1276/klagomålsmail/A 19094-2022 FSC-klagomål mail.docx", "A 19094-2022")</f>
        <v/>
      </c>
      <c r="AC283">
        <f>HYPERLINK("https://klasma.github.io/Logging_1276/tillsyn/A 19094-2022 tillsynsbegäran.docx", "A 19094-2022")</f>
        <v/>
      </c>
      <c r="AD283">
        <f>HYPERLINK("https://klasma.github.io/Logging_1276/tillsynsmail/A 19094-2022 tillsynsbegäran mail.docx", "A 19094-2022")</f>
        <v/>
      </c>
    </row>
    <row r="284" ht="15" customHeight="1">
      <c r="A284" t="inlineStr">
        <is>
          <t>A 59690-2021</t>
        </is>
      </c>
      <c r="B284" t="inlineStr">
        <is>
          <t>avverkningsanmälan</t>
        </is>
      </c>
      <c r="C284" t="inlineStr">
        <is>
          <t>Föryngringsavverkning</t>
        </is>
      </c>
      <c r="D284" s="1" t="n">
        <v>44494</v>
      </c>
      <c r="E284" s="1" t="n">
        <v>46312</v>
      </c>
      <c r="F284" t="inlineStr">
        <is>
          <t>SKÅNE LÄN</t>
        </is>
      </c>
      <c r="G284" t="inlineStr">
        <is>
          <t>KRISTIANSTAD</t>
        </is>
      </c>
      <c r="I284" t="n">
        <v>5.2</v>
      </c>
      <c r="J284" t="n">
        <v>1</v>
      </c>
      <c r="K284" t="n">
        <v>1</v>
      </c>
      <c r="L284" t="n">
        <v>0</v>
      </c>
      <c r="M284" t="n">
        <v>0</v>
      </c>
      <c r="N284" t="n">
        <v>0</v>
      </c>
      <c r="O284" t="n">
        <v>0</v>
      </c>
      <c r="P284" t="n">
        <v>0</v>
      </c>
      <c r="Q284" t="n">
        <v>0</v>
      </c>
      <c r="R284" t="n">
        <v>0</v>
      </c>
      <c r="S284" t="n">
        <v>2</v>
      </c>
      <c r="T284" t="n">
        <v>2</v>
      </c>
      <c r="U284" t="n">
        <v>2</v>
      </c>
      <c r="V284" s="2" t="inlineStr">
        <is>
          <t>Lundvårlök
Grönvit nattviol</t>
        </is>
      </c>
      <c r="W284">
        <f>HYPERLINK("https://klasma.github.io/Logging_1290/artfynd/A 59690-2021 artfynd.xlsx", "A 59690-2021")</f>
        <v/>
      </c>
      <c r="X284">
        <f>HYPERLINK("https://klasma.github.io/Logging_1290/kartor/A 59690-2021 karta.png", "A 59690-2021")</f>
        <v/>
      </c>
      <c r="Y284">
        <f>HYPERLINK("https://klasma.github.io/Logging_1290/kartor_geotiff/A 59690-2021 georefererad karta.tif", "A 59690-2021")</f>
        <v/>
      </c>
      <c r="AA284">
        <f>HYPERLINK("https://klasma.github.io/Logging_1290/klagomål/A 59690-2021 FSC-klagomål.docx", "A 59690-2021")</f>
        <v/>
      </c>
      <c r="AB284">
        <f>HYPERLINK("https://klasma.github.io/Logging_1290/klagomålsmail/A 59690-2021 FSC-klagomål mail.docx", "A 59690-2021")</f>
        <v/>
      </c>
      <c r="AC284">
        <f>HYPERLINK("https://klasma.github.io/Logging_1290/tillsyn/A 59690-2021 tillsynsbegäran.docx", "A 59690-2021")</f>
        <v/>
      </c>
      <c r="AD284">
        <f>HYPERLINK("https://klasma.github.io/Logging_1290/tillsynsmail/A 59690-2021 tillsynsbegäran mail.docx", "A 59690-2021")</f>
        <v/>
      </c>
    </row>
    <row r="285" ht="15" customHeight="1">
      <c r="A285" t="inlineStr">
        <is>
          <t>A 28929-2022</t>
        </is>
      </c>
      <c r="B285" t="inlineStr">
        <is>
          <t>avverkningsanmälan</t>
        </is>
      </c>
      <c r="C285" t="inlineStr">
        <is>
          <t>Föryngringsavverkning</t>
        </is>
      </c>
      <c r="D285" s="1" t="n">
        <v>44749</v>
      </c>
      <c r="E285" s="1" t="n">
        <v>46312</v>
      </c>
      <c r="F285" t="inlineStr">
        <is>
          <t>SKÅNE LÄN</t>
        </is>
      </c>
      <c r="G285" t="inlineStr">
        <is>
          <t>SJÖBO</t>
        </is>
      </c>
      <c r="I285" t="n">
        <v>1</v>
      </c>
      <c r="J285" t="n">
        <v>2</v>
      </c>
      <c r="K285" t="n">
        <v>0</v>
      </c>
      <c r="L285" t="n">
        <v>0</v>
      </c>
      <c r="M285" t="n">
        <v>0</v>
      </c>
      <c r="N285" t="n">
        <v>0</v>
      </c>
      <c r="O285" t="n">
        <v>0</v>
      </c>
      <c r="P285" t="n">
        <v>0</v>
      </c>
      <c r="Q285" t="n">
        <v>0</v>
      </c>
      <c r="R285" t="n">
        <v>0</v>
      </c>
      <c r="S285" t="n">
        <v>2</v>
      </c>
      <c r="T285" t="n">
        <v>2</v>
      </c>
      <c r="U285" t="n">
        <v>0</v>
      </c>
      <c r="V285" s="2" t="inlineStr">
        <is>
          <t>Lövgroda
Större vattensalamander</t>
        </is>
      </c>
      <c r="W285">
        <f>HYPERLINK("https://klasma.github.io/Logging_1265/artfynd/A 28929-2022 artfynd.xlsx", "A 28929-2022")</f>
        <v/>
      </c>
      <c r="X285">
        <f>HYPERLINK("https://klasma.github.io/Logging_1265/kartor/A 28929-2022 karta.png", "A 28929-2022")</f>
        <v/>
      </c>
      <c r="Y285">
        <f>HYPERLINK("https://klasma.github.io/Logging_1265/kartor_geotiff/A 28929-2022 georefererad karta.tif", "A 28929-2022")</f>
        <v/>
      </c>
      <c r="AA285">
        <f>HYPERLINK("https://klasma.github.io/Logging_1265/klagomål/A 28929-2022 FSC-klagomål.docx", "A 28929-2022")</f>
        <v/>
      </c>
      <c r="AB285">
        <f>HYPERLINK("https://klasma.github.io/Logging_1265/klagomålsmail/A 28929-2022 FSC-klagomål mail.docx", "A 28929-2022")</f>
        <v/>
      </c>
      <c r="AC285">
        <f>HYPERLINK("https://klasma.github.io/Logging_1265/tillsyn/A 28929-2022 tillsynsbegäran.docx", "A 28929-2022")</f>
        <v/>
      </c>
      <c r="AD285">
        <f>HYPERLINK("https://klasma.github.io/Logging_1265/tillsynsmail/A 28929-2022 tillsynsbegäran mail.docx", "A 28929-2022")</f>
        <v/>
      </c>
    </row>
    <row r="286" ht="15" customHeight="1">
      <c r="A286" t="inlineStr">
        <is>
          <t>A 5732-2022</t>
        </is>
      </c>
      <c r="B286" t="inlineStr">
        <is>
          <t>avverkningsanmälan</t>
        </is>
      </c>
      <c r="C286" t="inlineStr">
        <is>
          <t>Föryngringsavverkning</t>
        </is>
      </c>
      <c r="D286" s="1" t="n">
        <v>44596</v>
      </c>
      <c r="E286" s="1" t="n">
        <v>46312</v>
      </c>
      <c r="F286" t="inlineStr">
        <is>
          <t>SKÅNE LÄN</t>
        </is>
      </c>
      <c r="G286" t="inlineStr">
        <is>
          <t>KLIPPAN</t>
        </is>
      </c>
      <c r="I286" t="n">
        <v>6.1</v>
      </c>
      <c r="J286" t="n">
        <v>2</v>
      </c>
      <c r="K286" t="n">
        <v>0</v>
      </c>
      <c r="L286" t="n">
        <v>1</v>
      </c>
      <c r="M286" t="n">
        <v>0</v>
      </c>
      <c r="N286" t="n">
        <v>0</v>
      </c>
      <c r="O286" t="n">
        <v>0</v>
      </c>
      <c r="P286" t="n">
        <v>0</v>
      </c>
      <c r="Q286" t="n">
        <v>1</v>
      </c>
      <c r="R286" t="n">
        <v>0</v>
      </c>
      <c r="S286" t="n">
        <v>2</v>
      </c>
      <c r="T286" t="n">
        <v>2</v>
      </c>
      <c r="U286" t="n">
        <v>2</v>
      </c>
      <c r="V286" s="2" t="inlineStr">
        <is>
          <t>Talltita
Kungsfågel</t>
        </is>
      </c>
      <c r="W286">
        <f>HYPERLINK("https://klasma.github.io/Logging_1276/artfynd/A 5732-2022 artfynd.xlsx", "A 5732-2022")</f>
        <v/>
      </c>
      <c r="X286">
        <f>HYPERLINK("https://klasma.github.io/Logging_1276/kartor/A 5732-2022 karta.png", "A 5732-2022")</f>
        <v/>
      </c>
      <c r="Y286">
        <f>HYPERLINK("https://klasma.github.io/Logging_1276/kartor_geotiff/A 5732-2022 georefererad karta.tif", "A 5732-2022")</f>
        <v/>
      </c>
      <c r="AA286">
        <f>HYPERLINK("https://klasma.github.io/Logging_1276/klagomål/A 5732-2022 FSC-klagomål.docx", "A 5732-2022")</f>
        <v/>
      </c>
      <c r="AB286">
        <f>HYPERLINK("https://klasma.github.io/Logging_1276/klagomålsmail/A 5732-2022 FSC-klagomål mail.docx", "A 5732-2022")</f>
        <v/>
      </c>
      <c r="AC286">
        <f>HYPERLINK("https://klasma.github.io/Logging_1276/tillsyn/A 5732-2022 tillsynsbegäran.docx", "A 5732-2022")</f>
        <v/>
      </c>
      <c r="AD286">
        <f>HYPERLINK("https://klasma.github.io/Logging_1276/tillsynsmail/A 5732-2022 tillsynsbegäran mail.docx", "A 5732-2022")</f>
        <v/>
      </c>
      <c r="AE286">
        <f>HYPERLINK("https://klasma.github.io/Logging_1276/fåglar/A 5732-2022 prioriterade fågelarter.docx", "A 5732-2022")</f>
        <v/>
      </c>
    </row>
    <row r="287" ht="15" customHeight="1">
      <c r="A287" t="inlineStr">
        <is>
          <t>A 11970-2022</t>
        </is>
      </c>
      <c r="B287" t="inlineStr">
        <is>
          <t>avverkningsanmälan</t>
        </is>
      </c>
      <c r="C287" t="inlineStr">
        <is>
          <t>Föryngringsavverkning</t>
        </is>
      </c>
      <c r="D287" s="1" t="n">
        <v>44635</v>
      </c>
      <c r="E287" s="1" t="n">
        <v>46312</v>
      </c>
      <c r="F287" t="inlineStr">
        <is>
          <t>SKÅNE LÄN</t>
        </is>
      </c>
      <c r="G287" t="inlineStr">
        <is>
          <t>ÖRKELLJUNGA</t>
        </is>
      </c>
      <c r="I287" t="n">
        <v>2.8</v>
      </c>
      <c r="J287" t="n">
        <v>0</v>
      </c>
      <c r="K287" t="n">
        <v>0</v>
      </c>
      <c r="L287" t="n">
        <v>2</v>
      </c>
      <c r="M287" t="n">
        <v>0</v>
      </c>
      <c r="N287" t="n">
        <v>0</v>
      </c>
      <c r="O287" t="n">
        <v>0</v>
      </c>
      <c r="P287" t="n">
        <v>0</v>
      </c>
      <c r="Q287" t="n">
        <v>2</v>
      </c>
      <c r="R287" t="n">
        <v>0</v>
      </c>
      <c r="S287" t="n">
        <v>2</v>
      </c>
      <c r="T287" t="n">
        <v>2</v>
      </c>
      <c r="U287" t="n">
        <v>0</v>
      </c>
      <c r="V287" s="2" t="inlineStr">
        <is>
          <t>Bokvårtlav
Sydlig sotticka</t>
        </is>
      </c>
      <c r="W287">
        <f>HYPERLINK("https://klasma.github.io/Logging_1257/artfynd/A 11970-2022 artfynd.xlsx", "A 11970-2022")</f>
        <v/>
      </c>
      <c r="X287">
        <f>HYPERLINK("https://klasma.github.io/Logging_1257/kartor/A 11970-2022 karta.png", "A 11970-2022")</f>
        <v/>
      </c>
      <c r="Y287">
        <f>HYPERLINK("https://klasma.github.io/Logging_1257/kartor_geotiff/A 11970-2022 georefererad karta.tif", "A 11970-2022")</f>
        <v/>
      </c>
      <c r="AA287">
        <f>HYPERLINK("https://klasma.github.io/Logging_1257/klagomål/A 11970-2022 FSC-klagomål.docx", "A 11970-2022")</f>
        <v/>
      </c>
      <c r="AB287">
        <f>HYPERLINK("https://klasma.github.io/Logging_1257/klagomålsmail/A 11970-2022 FSC-klagomål mail.docx", "A 11970-2022")</f>
        <v/>
      </c>
      <c r="AC287">
        <f>HYPERLINK("https://klasma.github.io/Logging_1257/tillsyn/A 11970-2022 tillsynsbegäran.docx", "A 11970-2022")</f>
        <v/>
      </c>
      <c r="AD287">
        <f>HYPERLINK("https://klasma.github.io/Logging_1257/tillsynsmail/A 11970-2022 tillsynsbegäran mail.docx", "A 11970-2022")</f>
        <v/>
      </c>
    </row>
    <row r="288" ht="15" customHeight="1">
      <c r="A288" t="inlineStr">
        <is>
          <t>A 365-2023</t>
        </is>
      </c>
      <c r="B288" t="inlineStr">
        <is>
          <t>avverkningsanmälan</t>
        </is>
      </c>
      <c r="C288" t="inlineStr">
        <is>
          <t>Föryngringsavverkning</t>
        </is>
      </c>
      <c r="D288" s="1" t="n">
        <v>44929</v>
      </c>
      <c r="E288" s="1" t="n">
        <v>46312</v>
      </c>
      <c r="F288" t="inlineStr">
        <is>
          <t>SKÅNE LÄN</t>
        </is>
      </c>
      <c r="G288" t="inlineStr">
        <is>
          <t>ÖSTRA GÖINGE</t>
        </is>
      </c>
      <c r="I288" t="n">
        <v>2.9</v>
      </c>
      <c r="J288" t="n">
        <v>2</v>
      </c>
      <c r="K288" t="n">
        <v>0</v>
      </c>
      <c r="L288" t="n">
        <v>1</v>
      </c>
      <c r="M288" t="n">
        <v>0</v>
      </c>
      <c r="N288" t="n">
        <v>0</v>
      </c>
      <c r="O288" t="n">
        <v>0</v>
      </c>
      <c r="P288" t="n">
        <v>0</v>
      </c>
      <c r="Q288" t="n">
        <v>1</v>
      </c>
      <c r="R288" t="n">
        <v>0</v>
      </c>
      <c r="S288" t="n">
        <v>2</v>
      </c>
      <c r="T288" t="n">
        <v>2</v>
      </c>
      <c r="U288" t="n">
        <v>2</v>
      </c>
      <c r="V288" s="2" t="inlineStr">
        <is>
          <t>Grönsångare
Svartvit flugsnappare</t>
        </is>
      </c>
      <c r="W288">
        <f>HYPERLINK("https://klasma.github.io/Logging_1256/artfynd/A 365-2023 artfynd.xlsx", "A 365-2023")</f>
        <v/>
      </c>
      <c r="X288">
        <f>HYPERLINK("https://klasma.github.io/Logging_1256/kartor/A 365-2023 karta.png", "A 365-2023")</f>
        <v/>
      </c>
      <c r="Y288">
        <f>HYPERLINK("https://klasma.github.io/Logging_1256/kartor_geotiff/A 365-2023 georefererad karta.tif", "A 365-2023")</f>
        <v/>
      </c>
      <c r="AA288">
        <f>HYPERLINK("https://klasma.github.io/Logging_1256/klagomål/A 365-2023 FSC-klagomål.docx", "A 365-2023")</f>
        <v/>
      </c>
      <c r="AB288">
        <f>HYPERLINK("https://klasma.github.io/Logging_1256/klagomålsmail/A 365-2023 FSC-klagomål mail.docx", "A 365-2023")</f>
        <v/>
      </c>
      <c r="AC288">
        <f>HYPERLINK("https://klasma.github.io/Logging_1256/tillsyn/A 365-2023 tillsynsbegäran.docx", "A 365-2023")</f>
        <v/>
      </c>
      <c r="AD288">
        <f>HYPERLINK("https://klasma.github.io/Logging_1256/tillsynsmail/A 365-2023 tillsynsbegäran mail.docx", "A 365-2023")</f>
        <v/>
      </c>
      <c r="AE288">
        <f>HYPERLINK("https://klasma.github.io/Logging_1256/fåglar/A 365-2023 prioriterade fågelarter.docx", "A 365-2023")</f>
        <v/>
      </c>
    </row>
    <row r="289" ht="15" customHeight="1">
      <c r="A289" t="inlineStr">
        <is>
          <t>A 566-2024</t>
        </is>
      </c>
      <c r="B289" t="inlineStr">
        <is>
          <t>avverkningsanmälan</t>
        </is>
      </c>
      <c r="C289" t="inlineStr">
        <is>
          <t>Föryngringsavverkning</t>
        </is>
      </c>
      <c r="D289" s="1" t="n">
        <v>45299</v>
      </c>
      <c r="E289" s="1" t="n">
        <v>46312</v>
      </c>
      <c r="F289" t="inlineStr">
        <is>
          <t>SKÅNE LÄN</t>
        </is>
      </c>
      <c r="G289" t="inlineStr">
        <is>
          <t>TOMELILLA</t>
        </is>
      </c>
      <c r="H289" t="inlineStr">
        <is>
          <t>Övriga Aktiebolag</t>
        </is>
      </c>
      <c r="I289" t="n">
        <v>5.7</v>
      </c>
      <c r="J289" t="n">
        <v>0</v>
      </c>
      <c r="K289" t="n">
        <v>0</v>
      </c>
      <c r="L289" t="n">
        <v>1</v>
      </c>
      <c r="M289" t="n">
        <v>0</v>
      </c>
      <c r="N289" t="n">
        <v>1</v>
      </c>
      <c r="O289" t="n">
        <v>0</v>
      </c>
      <c r="P289" t="n">
        <v>0</v>
      </c>
      <c r="Q289" t="n">
        <v>2</v>
      </c>
      <c r="R289" t="n">
        <v>1</v>
      </c>
      <c r="S289" t="n">
        <v>2</v>
      </c>
      <c r="T289" t="n">
        <v>2</v>
      </c>
      <c r="U289" t="n">
        <v>0</v>
      </c>
      <c r="V289" s="2" t="inlineStr">
        <is>
          <t>Ask
Skogslysing</t>
        </is>
      </c>
      <c r="W289">
        <f>HYPERLINK("https://klasma.github.io/Logging_1270/artfynd/A 566-2024 artfynd.xlsx", "A 566-2024")</f>
        <v/>
      </c>
      <c r="X289">
        <f>HYPERLINK("https://klasma.github.io/Logging_1270/kartor/A 566-2024 karta.png", "A 566-2024")</f>
        <v/>
      </c>
      <c r="Y289">
        <f>HYPERLINK("https://klasma.github.io/Logging_1270/kartor_geotiff/A 566-2024 georefererad karta.tif", "A 566-2024")</f>
        <v/>
      </c>
      <c r="AA289">
        <f>HYPERLINK("https://klasma.github.io/Logging_1270/klagomål/A 566-2024 FSC-klagomål.docx", "A 566-2024")</f>
        <v/>
      </c>
      <c r="AB289">
        <f>HYPERLINK("https://klasma.github.io/Logging_1270/klagomålsmail/A 566-2024 FSC-klagomål mail.docx", "A 566-2024")</f>
        <v/>
      </c>
      <c r="AC289">
        <f>HYPERLINK("https://klasma.github.io/Logging_1270/tillsyn/A 566-2024 tillsynsbegäran.docx", "A 566-2024")</f>
        <v/>
      </c>
      <c r="AD289">
        <f>HYPERLINK("https://klasma.github.io/Logging_1270/tillsynsmail/A 566-2024 tillsynsbegäran mail.docx", "A 566-2024")</f>
        <v/>
      </c>
    </row>
    <row r="290" ht="15" customHeight="1">
      <c r="A290" t="inlineStr">
        <is>
          <t>A 27544-2024</t>
        </is>
      </c>
      <c r="B290" t="inlineStr">
        <is>
          <t>avverkningsanmälan</t>
        </is>
      </c>
      <c r="C290" t="inlineStr">
        <is>
          <t>Föryngringsavverkning</t>
        </is>
      </c>
      <c r="D290" s="1" t="n">
        <v>45474</v>
      </c>
      <c r="E290" s="1" t="n">
        <v>46312</v>
      </c>
      <c r="F290" t="inlineStr">
        <is>
          <t>SKÅNE LÄN</t>
        </is>
      </c>
      <c r="G290" t="inlineStr">
        <is>
          <t>ÄNGELHOLM</t>
        </is>
      </c>
      <c r="I290" t="n">
        <v>3.2</v>
      </c>
      <c r="J290" t="n">
        <v>1</v>
      </c>
      <c r="K290" t="n">
        <v>1</v>
      </c>
      <c r="L290" t="n">
        <v>0</v>
      </c>
      <c r="M290" t="n">
        <v>0</v>
      </c>
      <c r="N290" t="n">
        <v>0</v>
      </c>
      <c r="O290" t="n">
        <v>0</v>
      </c>
      <c r="P290" t="n">
        <v>0</v>
      </c>
      <c r="Q290" t="n">
        <v>0</v>
      </c>
      <c r="R290" t="n">
        <v>0</v>
      </c>
      <c r="S290" t="n">
        <v>2</v>
      </c>
      <c r="T290" t="n">
        <v>2</v>
      </c>
      <c r="U290" t="n">
        <v>0</v>
      </c>
      <c r="V290" s="2" t="inlineStr">
        <is>
          <t>Västlig hakmossa
Spillkråka</t>
        </is>
      </c>
      <c r="W290">
        <f>HYPERLINK("https://klasma.github.io/Logging_1292/artfynd/A 27544-2024 artfynd.xlsx", "A 27544-2024")</f>
        <v/>
      </c>
      <c r="X290">
        <f>HYPERLINK("https://klasma.github.io/Logging_1292/kartor/A 27544-2024 karta.png", "A 27544-2024")</f>
        <v/>
      </c>
      <c r="Y290">
        <f>HYPERLINK("https://klasma.github.io/Logging_1292/kartor_geotiff/A 27544-2024 georefererad karta.tif", "A 27544-2024")</f>
        <v/>
      </c>
      <c r="AA290">
        <f>HYPERLINK("https://klasma.github.io/Logging_1292/klagomål/A 27544-2024 FSC-klagomål.docx", "A 27544-2024")</f>
        <v/>
      </c>
      <c r="AB290">
        <f>HYPERLINK("https://klasma.github.io/Logging_1292/klagomålsmail/A 27544-2024 FSC-klagomål mail.docx", "A 27544-2024")</f>
        <v/>
      </c>
      <c r="AC290">
        <f>HYPERLINK("https://klasma.github.io/Logging_1292/tillsyn/A 27544-2024 tillsynsbegäran.docx", "A 27544-2024")</f>
        <v/>
      </c>
      <c r="AD290">
        <f>HYPERLINK("https://klasma.github.io/Logging_1292/tillsynsmail/A 27544-2024 tillsynsbegäran mail.docx", "A 27544-2024")</f>
        <v/>
      </c>
      <c r="AE290">
        <f>HYPERLINK("https://klasma.github.io/Logging_1292/fåglar/A 27544-2024 prioriterade fågelarter.docx", "A 27544-2024")</f>
        <v/>
      </c>
    </row>
    <row r="291" ht="15" customHeight="1">
      <c r="A291" t="inlineStr">
        <is>
          <t>A 5797-2024</t>
        </is>
      </c>
      <c r="B291" t="inlineStr">
        <is>
          <t>avverkningsanmälan</t>
        </is>
      </c>
      <c r="C291" t="inlineStr">
        <is>
          <t>Föryngringsavverkning</t>
        </is>
      </c>
      <c r="D291" s="1" t="n">
        <v>45335</v>
      </c>
      <c r="E291" s="1" t="n">
        <v>46312</v>
      </c>
      <c r="F291" t="inlineStr">
        <is>
          <t>SKÅNE LÄN</t>
        </is>
      </c>
      <c r="G291" t="inlineStr">
        <is>
          <t>KLIPPAN</t>
        </is>
      </c>
      <c r="I291" t="n">
        <v>1.8</v>
      </c>
      <c r="J291" t="n">
        <v>2</v>
      </c>
      <c r="K291" t="n">
        <v>0</v>
      </c>
      <c r="L291" t="n">
        <v>1</v>
      </c>
      <c r="M291" t="n">
        <v>0</v>
      </c>
      <c r="N291" t="n">
        <v>0</v>
      </c>
      <c r="O291" t="n">
        <v>0</v>
      </c>
      <c r="P291" t="n">
        <v>0</v>
      </c>
      <c r="Q291" t="n">
        <v>1</v>
      </c>
      <c r="R291" t="n">
        <v>0</v>
      </c>
      <c r="S291" t="n">
        <v>2</v>
      </c>
      <c r="T291" t="n">
        <v>2</v>
      </c>
      <c r="U291" t="n">
        <v>2</v>
      </c>
      <c r="V291" s="2" t="inlineStr">
        <is>
          <t>Entita
Gröngöling</t>
        </is>
      </c>
      <c r="W291">
        <f>HYPERLINK("https://klasma.github.io/Logging_1276/artfynd/A 5797-2024 artfynd.xlsx", "A 5797-2024")</f>
        <v/>
      </c>
      <c r="X291">
        <f>HYPERLINK("https://klasma.github.io/Logging_1276/kartor/A 5797-2024 karta.png", "A 5797-2024")</f>
        <v/>
      </c>
      <c r="Y291">
        <f>HYPERLINK("https://klasma.github.io/Logging_1276/kartor_geotiff/A 5797-2024 georefererad karta.tif", "A 5797-2024")</f>
        <v/>
      </c>
      <c r="AA291">
        <f>HYPERLINK("https://klasma.github.io/Logging_1276/klagomål/A 5797-2024 FSC-klagomål.docx", "A 5797-2024")</f>
        <v/>
      </c>
      <c r="AB291">
        <f>HYPERLINK("https://klasma.github.io/Logging_1276/klagomålsmail/A 5797-2024 FSC-klagomål mail.docx", "A 5797-2024")</f>
        <v/>
      </c>
      <c r="AC291">
        <f>HYPERLINK("https://klasma.github.io/Logging_1276/tillsyn/A 5797-2024 tillsynsbegäran.docx", "A 5797-2024")</f>
        <v/>
      </c>
      <c r="AD291">
        <f>HYPERLINK("https://klasma.github.io/Logging_1276/tillsynsmail/A 5797-2024 tillsynsbegäran mail.docx", "A 5797-2024")</f>
        <v/>
      </c>
      <c r="AE291">
        <f>HYPERLINK("https://klasma.github.io/Logging_1276/fåglar/A 5797-2024 prioriterade fågelarter.docx", "A 5797-2024")</f>
        <v/>
      </c>
    </row>
    <row r="292" ht="15" customHeight="1">
      <c r="A292" t="inlineStr">
        <is>
          <t>A 2942-2024</t>
        </is>
      </c>
      <c r="B292" t="inlineStr">
        <is>
          <t>avverkningsanmälan</t>
        </is>
      </c>
      <c r="C292" t="inlineStr">
        <is>
          <t>Föryngringsavverkning</t>
        </is>
      </c>
      <c r="D292" s="1" t="n">
        <v>45315</v>
      </c>
      <c r="E292" s="1" t="n">
        <v>46312</v>
      </c>
      <c r="F292" t="inlineStr">
        <is>
          <t>SKÅNE LÄN</t>
        </is>
      </c>
      <c r="G292" t="inlineStr">
        <is>
          <t>HÖÖR</t>
        </is>
      </c>
      <c r="I292" t="n">
        <v>11.2</v>
      </c>
      <c r="J292" t="n">
        <v>1</v>
      </c>
      <c r="K292" t="n">
        <v>1</v>
      </c>
      <c r="L292" t="n">
        <v>0</v>
      </c>
      <c r="M292" t="n">
        <v>0</v>
      </c>
      <c r="N292" t="n">
        <v>0</v>
      </c>
      <c r="O292" t="n">
        <v>0</v>
      </c>
      <c r="P292" t="n">
        <v>0</v>
      </c>
      <c r="Q292" t="n">
        <v>0</v>
      </c>
      <c r="R292" t="n">
        <v>0</v>
      </c>
      <c r="S292" t="n">
        <v>2</v>
      </c>
      <c r="T292" t="n">
        <v>2</v>
      </c>
      <c r="U292" t="n">
        <v>2</v>
      </c>
      <c r="V292" s="2" t="inlineStr">
        <is>
          <t>Skogsbräsma
Revlummer</t>
        </is>
      </c>
      <c r="W292">
        <f>HYPERLINK("https://klasma.github.io/Logging_1267/artfynd/A 2942-2024 artfynd.xlsx", "A 2942-2024")</f>
        <v/>
      </c>
      <c r="X292">
        <f>HYPERLINK("https://klasma.github.io/Logging_1267/kartor/A 2942-2024 karta.png", "A 2942-2024")</f>
        <v/>
      </c>
      <c r="Y292">
        <f>HYPERLINK("https://klasma.github.io/Logging_1267/kartor_geotiff/A 2942-2024 georefererad karta.tif", "A 2942-2024")</f>
        <v/>
      </c>
      <c r="AA292">
        <f>HYPERLINK("https://klasma.github.io/Logging_1267/klagomål/A 2942-2024 FSC-klagomål.docx", "A 2942-2024")</f>
        <v/>
      </c>
      <c r="AB292">
        <f>HYPERLINK("https://klasma.github.io/Logging_1267/klagomålsmail/A 2942-2024 FSC-klagomål mail.docx", "A 2942-2024")</f>
        <v/>
      </c>
      <c r="AC292">
        <f>HYPERLINK("https://klasma.github.io/Logging_1267/tillsyn/A 2942-2024 tillsynsbegäran.docx", "A 2942-2024")</f>
        <v/>
      </c>
      <c r="AD292">
        <f>HYPERLINK("https://klasma.github.io/Logging_1267/tillsynsmail/A 2942-2024 tillsynsbegäran mail.docx", "A 2942-2024")</f>
        <v/>
      </c>
    </row>
    <row r="293" ht="15" customHeight="1">
      <c r="A293" t="inlineStr">
        <is>
          <t>A 26736-2023</t>
        </is>
      </c>
      <c r="B293" t="inlineStr">
        <is>
          <t>avverkningsanmälan</t>
        </is>
      </c>
      <c r="C293" t="inlineStr">
        <is>
          <t>Föryngringsavverkning</t>
        </is>
      </c>
      <c r="D293" s="1" t="n">
        <v>45090</v>
      </c>
      <c r="E293" s="1" t="n">
        <v>46312</v>
      </c>
      <c r="F293" t="inlineStr">
        <is>
          <t>SKÅNE LÄN</t>
        </is>
      </c>
      <c r="G293" t="inlineStr">
        <is>
          <t>SJÖBO</t>
        </is>
      </c>
      <c r="I293" t="n">
        <v>8.300000000000001</v>
      </c>
      <c r="J293" t="n">
        <v>0</v>
      </c>
      <c r="K293" t="n">
        <v>0</v>
      </c>
      <c r="L293" t="n">
        <v>0</v>
      </c>
      <c r="M293" t="n">
        <v>1</v>
      </c>
      <c r="N293" t="n">
        <v>0</v>
      </c>
      <c r="O293" t="n">
        <v>0</v>
      </c>
      <c r="P293" t="n">
        <v>0</v>
      </c>
      <c r="Q293" t="n">
        <v>1</v>
      </c>
      <c r="R293" t="n">
        <v>1</v>
      </c>
      <c r="S293" t="n">
        <v>2</v>
      </c>
      <c r="T293" t="n">
        <v>3</v>
      </c>
      <c r="U293" t="n">
        <v>3</v>
      </c>
      <c r="V293" s="2" t="inlineStr">
        <is>
          <t>Fläcklungört
Månviol</t>
        </is>
      </c>
      <c r="W293">
        <f>HYPERLINK("https://klasma.github.io/Logging_1265/artfynd/A 26736-2023 artfynd.xlsx", "A 26736-2023")</f>
        <v/>
      </c>
      <c r="X293">
        <f>HYPERLINK("https://klasma.github.io/Logging_1265/kartor/A 26736-2023 karta.png", "A 26736-2023")</f>
        <v/>
      </c>
      <c r="Y293">
        <f>HYPERLINK("https://klasma.github.io/Logging_1265/kartor_geotiff/A 26736-2023 georefererad karta.tif", "A 26736-2023")</f>
        <v/>
      </c>
      <c r="AA293">
        <f>HYPERLINK("https://klasma.github.io/Logging_1265/klagomål/A 26736-2023 FSC-klagomål.docx", "A 26736-2023")</f>
        <v/>
      </c>
      <c r="AB293">
        <f>HYPERLINK("https://klasma.github.io/Logging_1265/klagomålsmail/A 26736-2023 FSC-klagomål mail.docx", "A 26736-2023")</f>
        <v/>
      </c>
      <c r="AC293">
        <f>HYPERLINK("https://klasma.github.io/Logging_1265/tillsyn/A 26736-2023 tillsynsbegäran.docx", "A 26736-2023")</f>
        <v/>
      </c>
      <c r="AD293">
        <f>HYPERLINK("https://klasma.github.io/Logging_1265/tillsynsmail/A 26736-2023 tillsynsbegäran mail.docx", "A 26736-2023")</f>
        <v/>
      </c>
    </row>
    <row r="294" ht="15" customHeight="1">
      <c r="A294" t="inlineStr">
        <is>
          <t>A 3253-2025</t>
        </is>
      </c>
      <c r="B294" t="inlineStr">
        <is>
          <t>avverkningsanmälan</t>
        </is>
      </c>
      <c r="C294" t="inlineStr">
        <is>
          <t>Föryngringsavverkning</t>
        </is>
      </c>
      <c r="D294" s="1" t="n">
        <v>45679</v>
      </c>
      <c r="E294" s="1" t="n">
        <v>46312</v>
      </c>
      <c r="F294" t="inlineStr">
        <is>
          <t>SKÅNE LÄN</t>
        </is>
      </c>
      <c r="G294" t="inlineStr">
        <is>
          <t>YSTAD</t>
        </is>
      </c>
      <c r="H294" t="inlineStr">
        <is>
          <t>Övriga Aktiebolag</t>
        </is>
      </c>
      <c r="I294" t="n">
        <v>2.5</v>
      </c>
      <c r="J294" t="n">
        <v>0</v>
      </c>
      <c r="K294" t="n">
        <v>2</v>
      </c>
      <c r="L294" t="n">
        <v>0</v>
      </c>
      <c r="M294" t="n">
        <v>0</v>
      </c>
      <c r="N294" t="n">
        <v>0</v>
      </c>
      <c r="O294" t="n">
        <v>0</v>
      </c>
      <c r="P294" t="n">
        <v>0</v>
      </c>
      <c r="Q294" t="n">
        <v>0</v>
      </c>
      <c r="R294" t="n">
        <v>0</v>
      </c>
      <c r="S294" t="n">
        <v>2</v>
      </c>
      <c r="T294" t="n">
        <v>3</v>
      </c>
      <c r="U294" t="n">
        <v>1</v>
      </c>
      <c r="V294" s="2" t="inlineStr">
        <is>
          <t>Lönnlav
Strävlosta</t>
        </is>
      </c>
      <c r="W294">
        <f>HYPERLINK("https://klasma.github.io/Logging_1286/artfynd/A 3253-2025 artfynd.xlsx", "A 3253-2025")</f>
        <v/>
      </c>
      <c r="X294">
        <f>HYPERLINK("https://klasma.github.io/Logging_1286/kartor/A 3253-2025 karta.png", "A 3253-2025")</f>
        <v/>
      </c>
      <c r="Y294">
        <f>HYPERLINK("https://klasma.github.io/Logging_1286/kartor_geotiff/A 3253-2025 georefererad karta.tif", "A 3253-2025")</f>
        <v/>
      </c>
      <c r="AA294">
        <f>HYPERLINK("https://klasma.github.io/Logging_1286/klagomål/A 3253-2025 FSC-klagomål.docx", "A 3253-2025")</f>
        <v/>
      </c>
      <c r="AB294">
        <f>HYPERLINK("https://klasma.github.io/Logging_1286/klagomålsmail/A 3253-2025 FSC-klagomål mail.docx", "A 3253-2025")</f>
        <v/>
      </c>
      <c r="AC294">
        <f>HYPERLINK("https://klasma.github.io/Logging_1286/tillsyn/A 3253-2025 tillsynsbegäran.docx", "A 3253-2025")</f>
        <v/>
      </c>
      <c r="AD294">
        <f>HYPERLINK("https://klasma.github.io/Logging_1286/tillsynsmail/A 3253-2025 tillsynsbegäran mail.docx", "A 3253-2025")</f>
        <v/>
      </c>
    </row>
    <row r="295" ht="15" customHeight="1">
      <c r="A295" t="inlineStr">
        <is>
          <t>A 14939-2023</t>
        </is>
      </c>
      <c r="B295" t="inlineStr">
        <is>
          <t>avverkningsanmälan</t>
        </is>
      </c>
      <c r="C295" t="inlineStr">
        <is>
          <t>Föryngringsavverkning</t>
        </is>
      </c>
      <c r="D295" s="1" t="n">
        <v>45014</v>
      </c>
      <c r="E295" s="1" t="n">
        <v>46312</v>
      </c>
      <c r="F295" t="inlineStr">
        <is>
          <t>SKÅNE LÄN</t>
        </is>
      </c>
      <c r="G295" t="inlineStr">
        <is>
          <t>HÄSSLEHOLM</t>
        </is>
      </c>
      <c r="I295" t="n">
        <v>0.9</v>
      </c>
      <c r="J295" t="n">
        <v>0</v>
      </c>
      <c r="K295" t="n">
        <v>0</v>
      </c>
      <c r="L295" t="n">
        <v>1</v>
      </c>
      <c r="M295" t="n">
        <v>1</v>
      </c>
      <c r="N295" t="n">
        <v>0</v>
      </c>
      <c r="O295" t="n">
        <v>0</v>
      </c>
      <c r="P295" t="n">
        <v>0</v>
      </c>
      <c r="Q295" t="n">
        <v>2</v>
      </c>
      <c r="R295" t="n">
        <v>1</v>
      </c>
      <c r="S295" t="n">
        <v>2</v>
      </c>
      <c r="T295" t="n">
        <v>4</v>
      </c>
      <c r="U295" t="n">
        <v>0</v>
      </c>
      <c r="V295" s="2" t="inlineStr">
        <is>
          <t>Småvänderot
Gullpudra</t>
        </is>
      </c>
      <c r="W295">
        <f>HYPERLINK("https://klasma.github.io/Logging_1293/artfynd/A 14939-2023 artfynd.xlsx", "A 14939-2023")</f>
        <v/>
      </c>
      <c r="X295">
        <f>HYPERLINK("https://klasma.github.io/Logging_1293/kartor/A 14939-2023 karta.png", "A 14939-2023")</f>
        <v/>
      </c>
      <c r="Y295">
        <f>HYPERLINK("https://klasma.github.io/Logging_1293/kartor_geotiff/A 14939-2023 georefererad karta.tif", "A 14939-2023")</f>
        <v/>
      </c>
      <c r="AA295">
        <f>HYPERLINK("https://klasma.github.io/Logging_1293/klagomål/A 14939-2023 FSC-klagomål.docx", "A 14939-2023")</f>
        <v/>
      </c>
      <c r="AB295">
        <f>HYPERLINK("https://klasma.github.io/Logging_1293/klagomålsmail/A 14939-2023 FSC-klagomål mail.docx", "A 14939-2023")</f>
        <v/>
      </c>
      <c r="AC295">
        <f>HYPERLINK("https://klasma.github.io/Logging_1293/tillsyn/A 14939-2023 tillsynsbegäran.docx", "A 14939-2023")</f>
        <v/>
      </c>
      <c r="AD295">
        <f>HYPERLINK("https://klasma.github.io/Logging_1293/tillsynsmail/A 14939-2023 tillsynsbegäran mail.docx", "A 14939-2023")</f>
        <v/>
      </c>
    </row>
    <row r="296" ht="15" customHeight="1">
      <c r="A296" t="inlineStr">
        <is>
          <t>A 57676-2022</t>
        </is>
      </c>
      <c r="B296" t="inlineStr">
        <is>
          <t>avverkningsanmälan</t>
        </is>
      </c>
      <c r="C296" t="inlineStr">
        <is>
          <t>Föryngringsavverkning</t>
        </is>
      </c>
      <c r="D296" s="1" t="n">
        <v>44897</v>
      </c>
      <c r="E296" s="1" t="n">
        <v>46312</v>
      </c>
      <c r="F296" t="inlineStr">
        <is>
          <t>SKÅNE LÄN</t>
        </is>
      </c>
      <c r="G296" t="inlineStr">
        <is>
          <t>HÄSSLEHOLM</t>
        </is>
      </c>
      <c r="I296" t="n">
        <v>1</v>
      </c>
      <c r="J296" t="n">
        <v>1</v>
      </c>
      <c r="K296" t="n">
        <v>1</v>
      </c>
      <c r="L296" t="n">
        <v>0</v>
      </c>
      <c r="M296" t="n">
        <v>0</v>
      </c>
      <c r="N296" t="n">
        <v>0</v>
      </c>
      <c r="O296" t="n">
        <v>0</v>
      </c>
      <c r="P296" t="n">
        <v>0</v>
      </c>
      <c r="Q296" t="n">
        <v>0</v>
      </c>
      <c r="R296" t="n">
        <v>0</v>
      </c>
      <c r="S296" t="n">
        <v>2</v>
      </c>
      <c r="T296" t="n">
        <v>2</v>
      </c>
      <c r="U296" t="n">
        <v>0</v>
      </c>
      <c r="V296" s="2" t="inlineStr">
        <is>
          <t>Brandticka
Mattlummer</t>
        </is>
      </c>
      <c r="W296">
        <f>HYPERLINK("https://klasma.github.io/Logging_1293/artfynd/A 57676-2022 artfynd.xlsx", "A 57676-2022")</f>
        <v/>
      </c>
      <c r="X296">
        <f>HYPERLINK("https://klasma.github.io/Logging_1293/kartor/A 57676-2022 karta.png", "A 57676-2022")</f>
        <v/>
      </c>
      <c r="Y296">
        <f>HYPERLINK("https://klasma.github.io/Logging_1293/kartor_geotiff/A 57676-2022 georefererad karta.tif", "A 57676-2022")</f>
        <v/>
      </c>
      <c r="AA296">
        <f>HYPERLINK("https://klasma.github.io/Logging_1293/klagomål/A 57676-2022 FSC-klagomål.docx", "A 57676-2022")</f>
        <v/>
      </c>
      <c r="AB296">
        <f>HYPERLINK("https://klasma.github.io/Logging_1293/klagomålsmail/A 57676-2022 FSC-klagomål mail.docx", "A 57676-2022")</f>
        <v/>
      </c>
      <c r="AC296">
        <f>HYPERLINK("https://klasma.github.io/Logging_1293/tillsyn/A 57676-2022 tillsynsbegäran.docx", "A 57676-2022")</f>
        <v/>
      </c>
      <c r="AD296">
        <f>HYPERLINK("https://klasma.github.io/Logging_1293/tillsynsmail/A 57676-2022 tillsynsbegäran mail.docx", "A 57676-2022")</f>
        <v/>
      </c>
    </row>
    <row r="297" ht="15" customHeight="1">
      <c r="A297" t="inlineStr">
        <is>
          <t>A 72269-2021</t>
        </is>
      </c>
      <c r="B297" t="inlineStr">
        <is>
          <t>avverkningsanmälan</t>
        </is>
      </c>
      <c r="C297" t="inlineStr">
        <is>
          <t>Avverkning för annat ändamål</t>
        </is>
      </c>
      <c r="D297" s="1" t="n">
        <v>44543</v>
      </c>
      <c r="E297" s="1" t="n">
        <v>46312</v>
      </c>
      <c r="F297" t="inlineStr">
        <is>
          <t>SKÅNE LÄN</t>
        </is>
      </c>
      <c r="G297" t="inlineStr">
        <is>
          <t>LUND</t>
        </is>
      </c>
      <c r="I297" t="n">
        <v>3.2</v>
      </c>
      <c r="J297" t="n">
        <v>0</v>
      </c>
      <c r="K297" t="n">
        <v>2</v>
      </c>
      <c r="L297" t="n">
        <v>0</v>
      </c>
      <c r="M297" t="n">
        <v>0</v>
      </c>
      <c r="N297" t="n">
        <v>0</v>
      </c>
      <c r="O297" t="n">
        <v>0</v>
      </c>
      <c r="P297" t="n">
        <v>0</v>
      </c>
      <c r="Q297" t="n">
        <v>0</v>
      </c>
      <c r="R297" t="n">
        <v>0</v>
      </c>
      <c r="S297" t="n">
        <v>2</v>
      </c>
      <c r="T297" t="n">
        <v>2</v>
      </c>
      <c r="U297" t="n">
        <v>0</v>
      </c>
      <c r="V297" s="2" t="inlineStr">
        <is>
          <t>Blanksvart trämyra
Stor häxört</t>
        </is>
      </c>
      <c r="W297">
        <f>HYPERLINK("https://klasma.github.io/Logging_1281/artfynd/A 72269-2021 artfynd.xlsx", "A 72269-2021")</f>
        <v/>
      </c>
      <c r="X297">
        <f>HYPERLINK("https://klasma.github.io/Logging_1281/kartor/A 72269-2021 karta.png", "A 72269-2021")</f>
        <v/>
      </c>
      <c r="Y297">
        <f>HYPERLINK("https://klasma.github.io/Logging_1281/kartor_geotiff/A 72269-2021 georefererad karta.tif", "A 72269-2021")</f>
        <v/>
      </c>
      <c r="AA297">
        <f>HYPERLINK("https://klasma.github.io/Logging_1281/klagomål/A 72269-2021 FSC-klagomål.docx", "A 72269-2021")</f>
        <v/>
      </c>
      <c r="AB297">
        <f>HYPERLINK("https://klasma.github.io/Logging_1281/klagomålsmail/A 72269-2021 FSC-klagomål mail.docx", "A 72269-2021")</f>
        <v/>
      </c>
      <c r="AC297">
        <f>HYPERLINK("https://klasma.github.io/Logging_1281/tillsyn/A 72269-2021 tillsynsbegäran.docx", "A 72269-2021")</f>
        <v/>
      </c>
      <c r="AD297">
        <f>HYPERLINK("https://klasma.github.io/Logging_1281/tillsynsmail/A 72269-2021 tillsynsbegäran mail.docx", "A 72269-2021")</f>
        <v/>
      </c>
    </row>
    <row r="298" ht="15" customHeight="1">
      <c r="A298" t="inlineStr">
        <is>
          <t>A 25538-2024</t>
        </is>
      </c>
      <c r="B298" t="inlineStr">
        <is>
          <t>avverkningsanmälan</t>
        </is>
      </c>
      <c r="C298" t="inlineStr">
        <is>
          <t>Föryngringsavverkning</t>
        </is>
      </c>
      <c r="D298" s="1" t="n">
        <v>45463</v>
      </c>
      <c r="E298" s="1" t="n">
        <v>46312</v>
      </c>
      <c r="F298" t="inlineStr">
        <is>
          <t>SKÅNE LÄN</t>
        </is>
      </c>
      <c r="G298" t="inlineStr">
        <is>
          <t>HÄSSLEHOLM</t>
        </is>
      </c>
      <c r="I298" t="n">
        <v>1.6</v>
      </c>
      <c r="J298" t="n">
        <v>0</v>
      </c>
      <c r="K298" t="n">
        <v>2</v>
      </c>
      <c r="L298" t="n">
        <v>0</v>
      </c>
      <c r="M298" t="n">
        <v>0</v>
      </c>
      <c r="N298" t="n">
        <v>0</v>
      </c>
      <c r="O298" t="n">
        <v>0</v>
      </c>
      <c r="P298" t="n">
        <v>0</v>
      </c>
      <c r="Q298" t="n">
        <v>0</v>
      </c>
      <c r="R298" t="n">
        <v>0</v>
      </c>
      <c r="S298" t="n">
        <v>2</v>
      </c>
      <c r="T298" t="n">
        <v>2</v>
      </c>
      <c r="U298" t="n">
        <v>0</v>
      </c>
      <c r="V298" s="2" t="inlineStr">
        <is>
          <t>Fällmossa
Guldlockmossa</t>
        </is>
      </c>
      <c r="W298">
        <f>HYPERLINK("https://klasma.github.io/Logging_1293/artfynd/A 25538-2024 artfynd.xlsx", "A 25538-2024")</f>
        <v/>
      </c>
      <c r="X298">
        <f>HYPERLINK("https://klasma.github.io/Logging_1293/kartor/A 25538-2024 karta.png", "A 25538-2024")</f>
        <v/>
      </c>
      <c r="Y298">
        <f>HYPERLINK("https://klasma.github.io/Logging_1293/kartor_geotiff/A 25538-2024 georefererad karta.tif", "A 25538-2024")</f>
        <v/>
      </c>
      <c r="AA298">
        <f>HYPERLINK("https://klasma.github.io/Logging_1293/klagomål/A 25538-2024 FSC-klagomål.docx", "A 25538-2024")</f>
        <v/>
      </c>
      <c r="AB298">
        <f>HYPERLINK("https://klasma.github.io/Logging_1293/klagomålsmail/A 25538-2024 FSC-klagomål mail.docx", "A 25538-2024")</f>
        <v/>
      </c>
      <c r="AC298">
        <f>HYPERLINK("https://klasma.github.io/Logging_1293/tillsyn/A 25538-2024 tillsynsbegäran.docx", "A 25538-2024")</f>
        <v/>
      </c>
      <c r="AD298">
        <f>HYPERLINK("https://klasma.github.io/Logging_1293/tillsynsmail/A 25538-2024 tillsynsbegäran mail.docx", "A 25538-2024")</f>
        <v/>
      </c>
    </row>
    <row r="299" ht="15" customHeight="1">
      <c r="A299" t="inlineStr">
        <is>
          <t>A 56969-2023</t>
        </is>
      </c>
      <c r="B299" t="inlineStr">
        <is>
          <t>avverkningsanmälan</t>
        </is>
      </c>
      <c r="C299" t="inlineStr">
        <is>
          <t>Föryngringsavverkning</t>
        </is>
      </c>
      <c r="D299" s="1" t="n">
        <v>45244</v>
      </c>
      <c r="E299" s="1" t="n">
        <v>46312</v>
      </c>
      <c r="F299" t="inlineStr">
        <is>
          <t>SKÅNE LÄN</t>
        </is>
      </c>
      <c r="G299" t="inlineStr">
        <is>
          <t>KRISTIANSTAD</t>
        </is>
      </c>
      <c r="H299" t="inlineStr">
        <is>
          <t>Övriga Aktiebolag</t>
        </is>
      </c>
      <c r="I299" t="n">
        <v>2.4</v>
      </c>
      <c r="J299" t="n">
        <v>0</v>
      </c>
      <c r="K299" t="n">
        <v>2</v>
      </c>
      <c r="L299" t="n">
        <v>0</v>
      </c>
      <c r="M299" t="n">
        <v>0</v>
      </c>
      <c r="N299" t="n">
        <v>0</v>
      </c>
      <c r="O299" t="n">
        <v>0</v>
      </c>
      <c r="P299" t="n">
        <v>0</v>
      </c>
      <c r="Q299" t="n">
        <v>0</v>
      </c>
      <c r="R299" t="n">
        <v>0</v>
      </c>
      <c r="S299" t="n">
        <v>2</v>
      </c>
      <c r="T299" t="n">
        <v>2</v>
      </c>
      <c r="U299" t="n">
        <v>1</v>
      </c>
      <c r="V299" s="2" t="inlineStr">
        <is>
          <t>Lundbräsma
Myskmadra</t>
        </is>
      </c>
      <c r="W299">
        <f>HYPERLINK("https://klasma.github.io/Logging_1290/artfynd/A 56969-2023 artfynd.xlsx", "A 56969-2023")</f>
        <v/>
      </c>
      <c r="X299">
        <f>HYPERLINK("https://klasma.github.io/Logging_1290/kartor/A 56969-2023 karta.png", "A 56969-2023")</f>
        <v/>
      </c>
      <c r="Y299">
        <f>HYPERLINK("https://klasma.github.io/Logging_1290/kartor_geotiff/A 56969-2023 georefererad karta.tif", "A 56969-2023")</f>
        <v/>
      </c>
      <c r="AA299">
        <f>HYPERLINK("https://klasma.github.io/Logging_1290/klagomål/A 56969-2023 FSC-klagomål.docx", "A 56969-2023")</f>
        <v/>
      </c>
      <c r="AB299">
        <f>HYPERLINK("https://klasma.github.io/Logging_1290/klagomålsmail/A 56969-2023 FSC-klagomål mail.docx", "A 56969-2023")</f>
        <v/>
      </c>
      <c r="AC299">
        <f>HYPERLINK("https://klasma.github.io/Logging_1290/tillsyn/A 56969-2023 tillsynsbegäran.docx", "A 56969-2023")</f>
        <v/>
      </c>
      <c r="AD299">
        <f>HYPERLINK("https://klasma.github.io/Logging_1290/tillsynsmail/A 56969-2023 tillsynsbegäran mail.docx", "A 56969-2023")</f>
        <v/>
      </c>
    </row>
    <row r="300" ht="15" customHeight="1">
      <c r="A300" t="inlineStr">
        <is>
          <t>A 30526-2024</t>
        </is>
      </c>
      <c r="B300" t="inlineStr">
        <is>
          <t>avverkningsanmälan</t>
        </is>
      </c>
      <c r="C300" t="inlineStr">
        <is>
          <t>Föryngringsavverkning</t>
        </is>
      </c>
      <c r="D300" s="1" t="n">
        <v>45492</v>
      </c>
      <c r="E300" s="1" t="n">
        <v>46312</v>
      </c>
      <c r="F300" t="inlineStr">
        <is>
          <t>SKÅNE LÄN</t>
        </is>
      </c>
      <c r="G300" t="inlineStr">
        <is>
          <t>KRISTIANSTAD</t>
        </is>
      </c>
      <c r="I300" t="n">
        <v>2.3</v>
      </c>
      <c r="J300" t="n">
        <v>1</v>
      </c>
      <c r="K300" t="n">
        <v>1</v>
      </c>
      <c r="L300" t="n">
        <v>0</v>
      </c>
      <c r="M300" t="n">
        <v>0</v>
      </c>
      <c r="N300" t="n">
        <v>1</v>
      </c>
      <c r="O300" t="n">
        <v>0</v>
      </c>
      <c r="P300" t="n">
        <v>0</v>
      </c>
      <c r="Q300" t="n">
        <v>1</v>
      </c>
      <c r="R300" t="n">
        <v>1</v>
      </c>
      <c r="S300" t="n">
        <v>2</v>
      </c>
      <c r="T300" t="n">
        <v>2</v>
      </c>
      <c r="U300" t="n">
        <v>0</v>
      </c>
      <c r="V300" s="2" t="inlineStr">
        <is>
          <t>Dvärgjohannesört
Stor häxört</t>
        </is>
      </c>
      <c r="W300">
        <f>HYPERLINK("https://klasma.github.io/Logging_1290/artfynd/A 30526-2024 artfynd.xlsx", "A 30526-2024")</f>
        <v/>
      </c>
      <c r="X300">
        <f>HYPERLINK("https://klasma.github.io/Logging_1290/kartor/A 30526-2024 karta.png", "A 30526-2024")</f>
        <v/>
      </c>
      <c r="Y300">
        <f>HYPERLINK("https://klasma.github.io/Logging_1290/kartor_geotiff/A 30526-2024 georefererad karta.tif", "A 30526-2024")</f>
        <v/>
      </c>
      <c r="AA300">
        <f>HYPERLINK("https://klasma.github.io/Logging_1290/klagomål/A 30526-2024 FSC-klagomål.docx", "A 30526-2024")</f>
        <v/>
      </c>
      <c r="AB300">
        <f>HYPERLINK("https://klasma.github.io/Logging_1290/klagomålsmail/A 30526-2024 FSC-klagomål mail.docx", "A 30526-2024")</f>
        <v/>
      </c>
      <c r="AC300">
        <f>HYPERLINK("https://klasma.github.io/Logging_1290/tillsyn/A 30526-2024 tillsynsbegäran.docx", "A 30526-2024")</f>
        <v/>
      </c>
      <c r="AD300">
        <f>HYPERLINK("https://klasma.github.io/Logging_1290/tillsynsmail/A 30526-2024 tillsynsbegäran mail.docx", "A 30526-2024")</f>
        <v/>
      </c>
    </row>
    <row r="301" ht="15" customHeight="1">
      <c r="A301" t="inlineStr">
        <is>
          <t>A 38522-2025</t>
        </is>
      </c>
      <c r="B301" t="inlineStr">
        <is>
          <t>avverkningsanmälan</t>
        </is>
      </c>
      <c r="C301" t="inlineStr">
        <is>
          <t>Föryngringsavverkning</t>
        </is>
      </c>
      <c r="D301" s="1" t="n">
        <v>45884</v>
      </c>
      <c r="E301" s="1" t="n">
        <v>46312</v>
      </c>
      <c r="F301" t="inlineStr">
        <is>
          <t>SKÅNE LÄN</t>
        </is>
      </c>
      <c r="G301" t="inlineStr">
        <is>
          <t>SVALÖV</t>
        </is>
      </c>
      <c r="I301" t="n">
        <v>2.6</v>
      </c>
      <c r="J301" t="n">
        <v>1</v>
      </c>
      <c r="K301" t="n">
        <v>2</v>
      </c>
      <c r="L301" t="n">
        <v>0</v>
      </c>
      <c r="M301" t="n">
        <v>0</v>
      </c>
      <c r="N301" t="n">
        <v>0</v>
      </c>
      <c r="O301" t="n">
        <v>0</v>
      </c>
      <c r="P301" t="n">
        <v>0</v>
      </c>
      <c r="Q301" t="n">
        <v>0</v>
      </c>
      <c r="R301" t="n">
        <v>0</v>
      </c>
      <c r="S301" t="n">
        <v>2</v>
      </c>
      <c r="T301" t="n">
        <v>2</v>
      </c>
      <c r="U301" t="n">
        <v>0</v>
      </c>
      <c r="V301" s="2" t="inlineStr">
        <is>
          <t>Skogsknipprot
Stor häxört</t>
        </is>
      </c>
      <c r="W301">
        <f>HYPERLINK("https://klasma.github.io/Logging_1214/artfynd/A 38522-2025 artfynd.xlsx", "A 38522-2025")</f>
        <v/>
      </c>
      <c r="X301">
        <f>HYPERLINK("https://klasma.github.io/Logging_1214/kartor/A 38522-2025 karta.png", "A 38522-2025")</f>
        <v/>
      </c>
      <c r="Y301">
        <f>HYPERLINK("https://klasma.github.io/Logging_1214/kartor_geotiff/A 38522-2025 georefererad karta.tif", "A 38522-2025")</f>
        <v/>
      </c>
      <c r="AA301">
        <f>HYPERLINK("https://klasma.github.io/Logging_1214/klagomål/A 38522-2025 FSC-klagomål.docx", "A 38522-2025")</f>
        <v/>
      </c>
      <c r="AB301">
        <f>HYPERLINK("https://klasma.github.io/Logging_1214/klagomålsmail/A 38522-2025 FSC-klagomål mail.docx", "A 38522-2025")</f>
        <v/>
      </c>
      <c r="AC301">
        <f>HYPERLINK("https://klasma.github.io/Logging_1214/tillsyn/A 38522-2025 tillsynsbegäran.docx", "A 38522-2025")</f>
        <v/>
      </c>
      <c r="AD301">
        <f>HYPERLINK("https://klasma.github.io/Logging_1214/tillsynsmail/A 38522-2025 tillsynsbegäran mail.docx", "A 38522-2025")</f>
        <v/>
      </c>
    </row>
    <row r="302" ht="15" customHeight="1">
      <c r="A302" t="inlineStr">
        <is>
          <t>A 11673-2022</t>
        </is>
      </c>
      <c r="B302" t="inlineStr">
        <is>
          <t>avverkningsanmälan</t>
        </is>
      </c>
      <c r="C302" t="inlineStr">
        <is>
          <t>Föryngringsavverkning</t>
        </is>
      </c>
      <c r="D302" s="1" t="n">
        <v>44633</v>
      </c>
      <c r="E302" s="1" t="n">
        <v>46312</v>
      </c>
      <c r="F302" t="inlineStr">
        <is>
          <t>SKÅNE LÄN</t>
        </is>
      </c>
      <c r="G302" t="inlineStr">
        <is>
          <t>KLIPPAN</t>
        </is>
      </c>
      <c r="I302" t="n">
        <v>1.8</v>
      </c>
      <c r="J302" t="n">
        <v>2</v>
      </c>
      <c r="K302" t="n">
        <v>0</v>
      </c>
      <c r="L302" t="n">
        <v>1</v>
      </c>
      <c r="M302" t="n">
        <v>0</v>
      </c>
      <c r="N302" t="n">
        <v>0</v>
      </c>
      <c r="O302" t="n">
        <v>0</v>
      </c>
      <c r="P302" t="n">
        <v>0</v>
      </c>
      <c r="Q302" t="n">
        <v>1</v>
      </c>
      <c r="R302" t="n">
        <v>0</v>
      </c>
      <c r="S302" t="n">
        <v>2</v>
      </c>
      <c r="T302" t="n">
        <v>2</v>
      </c>
      <c r="U302" t="n">
        <v>2</v>
      </c>
      <c r="V302" s="2" t="inlineStr">
        <is>
          <t>Talltita
Vanlig groda</t>
        </is>
      </c>
      <c r="W302">
        <f>HYPERLINK("https://klasma.github.io/Logging_1276/artfynd/A 11673-2022 artfynd.xlsx", "A 11673-2022")</f>
        <v/>
      </c>
      <c r="X302">
        <f>HYPERLINK("https://klasma.github.io/Logging_1276/kartor/A 11673-2022 karta.png", "A 11673-2022")</f>
        <v/>
      </c>
      <c r="Y302">
        <f>HYPERLINK("https://klasma.github.io/Logging_1276/kartor_geotiff/A 11673-2022 georefererad karta.tif", "A 11673-2022")</f>
        <v/>
      </c>
      <c r="AA302">
        <f>HYPERLINK("https://klasma.github.io/Logging_1276/klagomål/A 11673-2022 FSC-klagomål.docx", "A 11673-2022")</f>
        <v/>
      </c>
      <c r="AB302">
        <f>HYPERLINK("https://klasma.github.io/Logging_1276/klagomålsmail/A 11673-2022 FSC-klagomål mail.docx", "A 11673-2022")</f>
        <v/>
      </c>
      <c r="AC302">
        <f>HYPERLINK("https://klasma.github.io/Logging_1276/tillsyn/A 11673-2022 tillsynsbegäran.docx", "A 11673-2022")</f>
        <v/>
      </c>
      <c r="AD302">
        <f>HYPERLINK("https://klasma.github.io/Logging_1276/tillsynsmail/A 11673-2022 tillsynsbegäran mail.docx", "A 11673-2022")</f>
        <v/>
      </c>
      <c r="AE302">
        <f>HYPERLINK("https://klasma.github.io/Logging_1276/fåglar/A 11673-2022 prioriterade fågelarter.docx", "A 11673-2022")</f>
        <v/>
      </c>
    </row>
    <row r="303" ht="15" customHeight="1">
      <c r="A303" t="inlineStr">
        <is>
          <t>A 33520-2025</t>
        </is>
      </c>
      <c r="B303" t="inlineStr">
        <is>
          <t>avverkningsanmälan</t>
        </is>
      </c>
      <c r="C303" t="inlineStr">
        <is>
          <t>Föryngringsavverkning</t>
        </is>
      </c>
      <c r="D303" s="1" t="n">
        <v>45841</v>
      </c>
      <c r="E303" s="1" t="n">
        <v>46312</v>
      </c>
      <c r="F303" t="inlineStr">
        <is>
          <t>SKÅNE LÄN</t>
        </is>
      </c>
      <c r="G303" t="inlineStr">
        <is>
          <t>ÄNGELHOLM</t>
        </is>
      </c>
      <c r="I303" t="n">
        <v>2.4</v>
      </c>
      <c r="J303" t="n">
        <v>1</v>
      </c>
      <c r="K303" t="n">
        <v>0</v>
      </c>
      <c r="L303" t="n">
        <v>1</v>
      </c>
      <c r="M303" t="n">
        <v>1</v>
      </c>
      <c r="N303" t="n">
        <v>0</v>
      </c>
      <c r="O303" t="n">
        <v>0</v>
      </c>
      <c r="P303" t="n">
        <v>0</v>
      </c>
      <c r="Q303" t="n">
        <v>2</v>
      </c>
      <c r="R303" t="n">
        <v>1</v>
      </c>
      <c r="S303" t="n">
        <v>2</v>
      </c>
      <c r="T303" t="n">
        <v>2</v>
      </c>
      <c r="U303" t="n">
        <v>2</v>
      </c>
      <c r="V303" s="2" t="inlineStr">
        <is>
          <t>Småvänderot
Entita</t>
        </is>
      </c>
      <c r="W303">
        <f>HYPERLINK("https://klasma.github.io/Logging_1292/artfynd/A 33520-2025 artfynd.xlsx", "A 33520-2025")</f>
        <v/>
      </c>
      <c r="X303">
        <f>HYPERLINK("https://klasma.github.io/Logging_1292/kartor/A 33520-2025 karta.png", "A 33520-2025")</f>
        <v/>
      </c>
      <c r="Y303">
        <f>HYPERLINK("https://klasma.github.io/Logging_1292/kartor_geotiff/A 33520-2025 georefererad karta.tif", "A 33520-2025")</f>
        <v/>
      </c>
      <c r="AA303">
        <f>HYPERLINK("https://klasma.github.io/Logging_1292/klagomål/A 33520-2025 FSC-klagomål.docx", "A 33520-2025")</f>
        <v/>
      </c>
      <c r="AB303">
        <f>HYPERLINK("https://klasma.github.io/Logging_1292/klagomålsmail/A 33520-2025 FSC-klagomål mail.docx", "A 33520-2025")</f>
        <v/>
      </c>
      <c r="AC303">
        <f>HYPERLINK("https://klasma.github.io/Logging_1292/tillsyn/A 33520-2025 tillsynsbegäran.docx", "A 33520-2025")</f>
        <v/>
      </c>
      <c r="AD303">
        <f>HYPERLINK("https://klasma.github.io/Logging_1292/tillsynsmail/A 33520-2025 tillsynsbegäran mail.docx", "A 33520-2025")</f>
        <v/>
      </c>
      <c r="AE303">
        <f>HYPERLINK("https://klasma.github.io/Logging_1292/fåglar/A 33520-2025 prioriterade fågelarter.docx", "A 33520-2025")</f>
        <v/>
      </c>
    </row>
    <row r="304" ht="15" customHeight="1">
      <c r="A304" t="inlineStr">
        <is>
          <t>A 30306-2025</t>
        </is>
      </c>
      <c r="B304" t="inlineStr">
        <is>
          <t>avverkningsanmälan</t>
        </is>
      </c>
      <c r="C304" t="inlineStr">
        <is>
          <t>Föryngringsavverkning</t>
        </is>
      </c>
      <c r="D304" s="1" t="n">
        <v>45827</v>
      </c>
      <c r="E304" s="1" t="n">
        <v>46312</v>
      </c>
      <c r="F304" t="inlineStr">
        <is>
          <t>SKÅNE LÄN</t>
        </is>
      </c>
      <c r="G304" t="inlineStr">
        <is>
          <t>ÖSTRA GÖINGE</t>
        </is>
      </c>
      <c r="I304" t="n">
        <v>3.6</v>
      </c>
      <c r="J304" t="n">
        <v>1</v>
      </c>
      <c r="K304" t="n">
        <v>0</v>
      </c>
      <c r="L304" t="n">
        <v>1</v>
      </c>
      <c r="M304" t="n">
        <v>1</v>
      </c>
      <c r="N304" t="n">
        <v>0</v>
      </c>
      <c r="O304" t="n">
        <v>0</v>
      </c>
      <c r="P304" t="n">
        <v>0</v>
      </c>
      <c r="Q304" t="n">
        <v>2</v>
      </c>
      <c r="R304" t="n">
        <v>1</v>
      </c>
      <c r="S304" t="n">
        <v>2</v>
      </c>
      <c r="T304" t="n">
        <v>2</v>
      </c>
      <c r="U304" t="n">
        <v>1</v>
      </c>
      <c r="V304" s="2" t="inlineStr">
        <is>
          <t>Dvärglin
Järnsparv</t>
        </is>
      </c>
      <c r="W304">
        <f>HYPERLINK("https://klasma.github.io/Logging_1256/artfynd/A 30306-2025 artfynd.xlsx", "A 30306-2025")</f>
        <v/>
      </c>
      <c r="X304">
        <f>HYPERLINK("https://klasma.github.io/Logging_1256/kartor/A 30306-2025 karta.png", "A 30306-2025")</f>
        <v/>
      </c>
      <c r="Y304">
        <f>HYPERLINK("https://klasma.github.io/Logging_1256/kartor_geotiff/A 30306-2025 georefererad karta.tif", "A 30306-2025")</f>
        <v/>
      </c>
      <c r="AA304">
        <f>HYPERLINK("https://klasma.github.io/Logging_1256/klagomål/A 30306-2025 FSC-klagomål.docx", "A 30306-2025")</f>
        <v/>
      </c>
      <c r="AB304">
        <f>HYPERLINK("https://klasma.github.io/Logging_1256/klagomålsmail/A 30306-2025 FSC-klagomål mail.docx", "A 30306-2025")</f>
        <v/>
      </c>
      <c r="AC304">
        <f>HYPERLINK("https://klasma.github.io/Logging_1256/tillsyn/A 30306-2025 tillsynsbegäran.docx", "A 30306-2025")</f>
        <v/>
      </c>
      <c r="AD304">
        <f>HYPERLINK("https://klasma.github.io/Logging_1256/tillsynsmail/A 30306-2025 tillsynsbegäran mail.docx", "A 30306-2025")</f>
        <v/>
      </c>
      <c r="AE304">
        <f>HYPERLINK("https://klasma.github.io/Logging_1256/fåglar/A 30306-2025 prioriterade fågelarter.docx", "A 30306-2025")</f>
        <v/>
      </c>
    </row>
    <row r="305" ht="15" customHeight="1">
      <c r="A305" t="inlineStr">
        <is>
          <t>A 32367-2024</t>
        </is>
      </c>
      <c r="B305" t="inlineStr">
        <is>
          <t>avverkningsanmälan</t>
        </is>
      </c>
      <c r="C305" t="inlineStr">
        <is>
          <t>Föryngringsavverkning</t>
        </is>
      </c>
      <c r="D305" s="1" t="n">
        <v>45512</v>
      </c>
      <c r="E305" s="1" t="n">
        <v>46312</v>
      </c>
      <c r="F305" t="inlineStr">
        <is>
          <t>SKÅNE LÄN</t>
        </is>
      </c>
      <c r="G305" t="inlineStr">
        <is>
          <t>ÖSTRA GÖINGE</t>
        </is>
      </c>
      <c r="I305" t="n">
        <v>5.4</v>
      </c>
      <c r="J305" t="n">
        <v>0</v>
      </c>
      <c r="K305" t="n">
        <v>2</v>
      </c>
      <c r="L305" t="n">
        <v>0</v>
      </c>
      <c r="M305" t="n">
        <v>0</v>
      </c>
      <c r="N305" t="n">
        <v>0</v>
      </c>
      <c r="O305" t="n">
        <v>0</v>
      </c>
      <c r="P305" t="n">
        <v>0</v>
      </c>
      <c r="Q305" t="n">
        <v>0</v>
      </c>
      <c r="R305" t="n">
        <v>0</v>
      </c>
      <c r="S305" t="n">
        <v>2</v>
      </c>
      <c r="T305" t="n">
        <v>2</v>
      </c>
      <c r="U305" t="n">
        <v>0</v>
      </c>
      <c r="V305" s="2" t="inlineStr">
        <is>
          <t>Blomkålssvamp
Västlig hakmossa</t>
        </is>
      </c>
      <c r="W305">
        <f>HYPERLINK("https://klasma.github.io/Logging_1256/artfynd/A 32367-2024 artfynd.xlsx", "A 32367-2024")</f>
        <v/>
      </c>
      <c r="X305">
        <f>HYPERLINK("https://klasma.github.io/Logging_1256/kartor/A 32367-2024 karta.png", "A 32367-2024")</f>
        <v/>
      </c>
      <c r="Y305">
        <f>HYPERLINK("https://klasma.github.io/Logging_1256/kartor_geotiff/A 32367-2024 georefererad karta.tif", "A 32367-2024")</f>
        <v/>
      </c>
      <c r="AA305">
        <f>HYPERLINK("https://klasma.github.io/Logging_1256/klagomål/A 32367-2024 FSC-klagomål.docx", "A 32367-2024")</f>
        <v/>
      </c>
      <c r="AB305">
        <f>HYPERLINK("https://klasma.github.io/Logging_1256/klagomålsmail/A 32367-2024 FSC-klagomål mail.docx", "A 32367-2024")</f>
        <v/>
      </c>
      <c r="AC305">
        <f>HYPERLINK("https://klasma.github.io/Logging_1256/tillsyn/A 32367-2024 tillsynsbegäran.docx", "A 32367-2024")</f>
        <v/>
      </c>
      <c r="AD305">
        <f>HYPERLINK("https://klasma.github.io/Logging_1256/tillsynsmail/A 32367-2024 tillsynsbegäran mail.docx", "A 32367-2024")</f>
        <v/>
      </c>
    </row>
    <row r="306" ht="15" customHeight="1">
      <c r="A306" t="inlineStr">
        <is>
          <t>A 25762-2024</t>
        </is>
      </c>
      <c r="B306" t="inlineStr">
        <is>
          <t>avverkningsanmälan</t>
        </is>
      </c>
      <c r="C306" t="inlineStr">
        <is>
          <t>Föryngringsavverkning</t>
        </is>
      </c>
      <c r="D306" s="1" t="n">
        <v>45465</v>
      </c>
      <c r="E306" s="1" t="n">
        <v>46312</v>
      </c>
      <c r="F306" t="inlineStr">
        <is>
          <t>SKÅNE LÄN</t>
        </is>
      </c>
      <c r="G306" t="inlineStr">
        <is>
          <t>KRISTIANSTAD</t>
        </is>
      </c>
      <c r="I306" t="n">
        <v>0.6</v>
      </c>
      <c r="J306" t="n">
        <v>1</v>
      </c>
      <c r="K306" t="n">
        <v>1</v>
      </c>
      <c r="L306" t="n">
        <v>0</v>
      </c>
      <c r="M306" t="n">
        <v>0</v>
      </c>
      <c r="N306" t="n">
        <v>0</v>
      </c>
      <c r="O306" t="n">
        <v>0</v>
      </c>
      <c r="P306" t="n">
        <v>0</v>
      </c>
      <c r="Q306" t="n">
        <v>0</v>
      </c>
      <c r="R306" t="n">
        <v>0</v>
      </c>
      <c r="S306" t="n">
        <v>2</v>
      </c>
      <c r="T306" t="n">
        <v>6</v>
      </c>
      <c r="U306" t="n">
        <v>1</v>
      </c>
      <c r="V306" s="2" t="inlineStr">
        <is>
          <t>Blomkålssvamp
Gullviva</t>
        </is>
      </c>
      <c r="W306">
        <f>HYPERLINK("https://klasma.github.io/Logging_1290/artfynd/A 25762-2024 artfynd.xlsx", "A 25762-2024")</f>
        <v/>
      </c>
      <c r="X306">
        <f>HYPERLINK("https://klasma.github.io/Logging_1290/kartor/A 25762-2024 karta.png", "A 25762-2024")</f>
        <v/>
      </c>
      <c r="Y306">
        <f>HYPERLINK("https://klasma.github.io/Logging_1290/kartor_geotiff/A 25762-2024 georefererad karta.tif", "A 25762-2024")</f>
        <v/>
      </c>
      <c r="AA306">
        <f>HYPERLINK("https://klasma.github.io/Logging_1290/klagomål/A 25762-2024 FSC-klagomål.docx", "A 25762-2024")</f>
        <v/>
      </c>
      <c r="AB306">
        <f>HYPERLINK("https://klasma.github.io/Logging_1290/klagomålsmail/A 25762-2024 FSC-klagomål mail.docx", "A 25762-2024")</f>
        <v/>
      </c>
      <c r="AC306">
        <f>HYPERLINK("https://klasma.github.io/Logging_1290/tillsyn/A 25762-2024 tillsynsbegäran.docx", "A 25762-2024")</f>
        <v/>
      </c>
      <c r="AD306">
        <f>HYPERLINK("https://klasma.github.io/Logging_1290/tillsynsmail/A 25762-2024 tillsynsbegäran mail.docx", "A 25762-2024")</f>
        <v/>
      </c>
    </row>
    <row r="307" ht="15" customHeight="1">
      <c r="A307" t="inlineStr">
        <is>
          <t>A 44788-2025</t>
        </is>
      </c>
      <c r="B307" t="inlineStr">
        <is>
          <t>avverkningsanmälan</t>
        </is>
      </c>
      <c r="C307" t="inlineStr">
        <is>
          <t>Föryngringsavverkning</t>
        </is>
      </c>
      <c r="D307" s="1" t="n">
        <v>45918</v>
      </c>
      <c r="E307" s="1" t="n">
        <v>46312</v>
      </c>
      <c r="F307" t="inlineStr">
        <is>
          <t>SKÅNE LÄN</t>
        </is>
      </c>
      <c r="G307" t="inlineStr">
        <is>
          <t>ÖSTRA GÖINGE</t>
        </is>
      </c>
      <c r="I307" t="n">
        <v>1.1</v>
      </c>
      <c r="J307" t="n">
        <v>1</v>
      </c>
      <c r="K307" t="n">
        <v>1</v>
      </c>
      <c r="L307" t="n">
        <v>1</v>
      </c>
      <c r="M307" t="n">
        <v>0</v>
      </c>
      <c r="N307" t="n">
        <v>0</v>
      </c>
      <c r="O307" t="n">
        <v>0</v>
      </c>
      <c r="P307" t="n">
        <v>0</v>
      </c>
      <c r="Q307" t="n">
        <v>1</v>
      </c>
      <c r="R307" t="n">
        <v>0</v>
      </c>
      <c r="S307" t="n">
        <v>2</v>
      </c>
      <c r="T307" t="n">
        <v>2</v>
      </c>
      <c r="U307" t="n">
        <v>1</v>
      </c>
      <c r="V307" s="2" t="inlineStr">
        <is>
          <t>Grönsångare
Havstulpanlav</t>
        </is>
      </c>
      <c r="W307">
        <f>HYPERLINK("https://klasma.github.io/Logging_1256/artfynd/A 44788-2025 artfynd.xlsx", "A 44788-2025")</f>
        <v/>
      </c>
      <c r="X307">
        <f>HYPERLINK("https://klasma.github.io/Logging_1256/kartor/A 44788-2025 karta.png", "A 44788-2025")</f>
        <v/>
      </c>
      <c r="Y307">
        <f>HYPERLINK("https://klasma.github.io/Logging_1256/kartor_geotiff/A 44788-2025 georefererad karta.tif", "A 44788-2025")</f>
        <v/>
      </c>
      <c r="AA307">
        <f>HYPERLINK("https://klasma.github.io/Logging_1256/klagomål/A 44788-2025 FSC-klagomål.docx", "A 44788-2025")</f>
        <v/>
      </c>
      <c r="AB307">
        <f>HYPERLINK("https://klasma.github.io/Logging_1256/klagomålsmail/A 44788-2025 FSC-klagomål mail.docx", "A 44788-2025")</f>
        <v/>
      </c>
      <c r="AC307">
        <f>HYPERLINK("https://klasma.github.io/Logging_1256/tillsyn/A 44788-2025 tillsynsbegäran.docx", "A 44788-2025")</f>
        <v/>
      </c>
      <c r="AD307">
        <f>HYPERLINK("https://klasma.github.io/Logging_1256/tillsynsmail/A 44788-2025 tillsynsbegäran mail.docx", "A 44788-2025")</f>
        <v/>
      </c>
      <c r="AE307">
        <f>HYPERLINK("https://klasma.github.io/Logging_1256/fåglar/A 44788-2025 prioriterade fågelarter.docx", "A 44788-2025")</f>
        <v/>
      </c>
    </row>
    <row r="308" ht="15" customHeight="1">
      <c r="A308" t="inlineStr">
        <is>
          <t>A 62142-2023</t>
        </is>
      </c>
      <c r="B308" t="inlineStr">
        <is>
          <t>avverkningsanmälan</t>
        </is>
      </c>
      <c r="C308" t="inlineStr">
        <is>
          <t>Föryngringsavverkning</t>
        </is>
      </c>
      <c r="D308" s="1" t="n">
        <v>45267</v>
      </c>
      <c r="E308" s="1" t="n">
        <v>46312</v>
      </c>
      <c r="F308" t="inlineStr">
        <is>
          <t>SKÅNE LÄN</t>
        </is>
      </c>
      <c r="G308" t="inlineStr">
        <is>
          <t>ÖSTRA GÖINGE</t>
        </is>
      </c>
      <c r="I308" t="n">
        <v>8.1</v>
      </c>
      <c r="J308" t="n">
        <v>1</v>
      </c>
      <c r="K308" t="n">
        <v>1</v>
      </c>
      <c r="L308" t="n">
        <v>1</v>
      </c>
      <c r="M308" t="n">
        <v>0</v>
      </c>
      <c r="N308" t="n">
        <v>0</v>
      </c>
      <c r="O308" t="n">
        <v>0</v>
      </c>
      <c r="P308" t="n">
        <v>0</v>
      </c>
      <c r="Q308" t="n">
        <v>1</v>
      </c>
      <c r="R308" t="n">
        <v>0</v>
      </c>
      <c r="S308" t="n">
        <v>2</v>
      </c>
      <c r="T308" t="n">
        <v>2</v>
      </c>
      <c r="U308" t="n">
        <v>0</v>
      </c>
      <c r="V308" s="2" t="inlineStr">
        <is>
          <t>Mindre hackspett
Kornknutmossa</t>
        </is>
      </c>
      <c r="W308">
        <f>HYPERLINK("https://klasma.github.io/Logging_1256/artfynd/A 62142-2023 artfynd.xlsx", "A 62142-2023")</f>
        <v/>
      </c>
      <c r="X308">
        <f>HYPERLINK("https://klasma.github.io/Logging_1256/kartor/A 62142-2023 karta.png", "A 62142-2023")</f>
        <v/>
      </c>
      <c r="Y308">
        <f>HYPERLINK("https://klasma.github.io/Logging_1256/kartor_geotiff/A 62142-2023 georefererad karta.tif", "A 62142-2023")</f>
        <v/>
      </c>
      <c r="AA308">
        <f>HYPERLINK("https://klasma.github.io/Logging_1256/klagomål/A 62142-2023 FSC-klagomål.docx", "A 62142-2023")</f>
        <v/>
      </c>
      <c r="AB308">
        <f>HYPERLINK("https://klasma.github.io/Logging_1256/klagomålsmail/A 62142-2023 FSC-klagomål mail.docx", "A 62142-2023")</f>
        <v/>
      </c>
      <c r="AC308">
        <f>HYPERLINK("https://klasma.github.io/Logging_1256/tillsyn/A 62142-2023 tillsynsbegäran.docx", "A 62142-2023")</f>
        <v/>
      </c>
      <c r="AD308">
        <f>HYPERLINK("https://klasma.github.io/Logging_1256/tillsynsmail/A 62142-2023 tillsynsbegäran mail.docx", "A 62142-2023")</f>
        <v/>
      </c>
      <c r="AE308">
        <f>HYPERLINK("https://klasma.github.io/Logging_1256/fåglar/A 62142-2023 prioriterade fågelarter.docx", "A 62142-2023")</f>
        <v/>
      </c>
    </row>
    <row r="309" ht="15" customHeight="1">
      <c r="A309" t="inlineStr">
        <is>
          <t>A 47029-2025</t>
        </is>
      </c>
      <c r="B309" t="inlineStr">
        <is>
          <t>avverkningsanmälan</t>
        </is>
      </c>
      <c r="C309" t="inlineStr">
        <is>
          <t>Föryngringsavverkning</t>
        </is>
      </c>
      <c r="D309" s="1" t="n">
        <v>45929</v>
      </c>
      <c r="E309" s="1" t="n">
        <v>46312</v>
      </c>
      <c r="F309" t="inlineStr">
        <is>
          <t>SKÅNE LÄN</t>
        </is>
      </c>
      <c r="G309" t="inlineStr">
        <is>
          <t>KRISTIANSTAD</t>
        </is>
      </c>
      <c r="I309" t="n">
        <v>13.5</v>
      </c>
      <c r="J309" t="n">
        <v>1</v>
      </c>
      <c r="K309" t="n">
        <v>0</v>
      </c>
      <c r="L309" t="n">
        <v>1</v>
      </c>
      <c r="M309" t="n">
        <v>0</v>
      </c>
      <c r="N309" t="n">
        <v>0</v>
      </c>
      <c r="O309" t="n">
        <v>0</v>
      </c>
      <c r="P309" t="n">
        <v>0</v>
      </c>
      <c r="Q309" t="n">
        <v>1</v>
      </c>
      <c r="R309" t="n">
        <v>0</v>
      </c>
      <c r="S309" t="n">
        <v>2</v>
      </c>
      <c r="T309" t="n">
        <v>2</v>
      </c>
      <c r="U309" t="n">
        <v>0</v>
      </c>
      <c r="V309" s="2" t="inlineStr">
        <is>
          <t>Jungfrulin
Kopparödla</t>
        </is>
      </c>
      <c r="W309">
        <f>HYPERLINK("https://klasma.github.io/Logging_1290/artfynd/A 47029-2025 artfynd.xlsx", "A 47029-2025")</f>
        <v/>
      </c>
      <c r="X309">
        <f>HYPERLINK("https://klasma.github.io/Logging_1290/kartor/A 47029-2025 karta.png", "A 47029-2025")</f>
        <v/>
      </c>
      <c r="Y309">
        <f>HYPERLINK("https://klasma.github.io/Logging_1290/kartor_geotiff/A 47029-2025 georefererad karta.tif", "A 47029-2025")</f>
        <v/>
      </c>
      <c r="AA309">
        <f>HYPERLINK("https://klasma.github.io/Logging_1290/klagomål/A 47029-2025 FSC-klagomål.docx", "A 47029-2025")</f>
        <v/>
      </c>
      <c r="AB309">
        <f>HYPERLINK("https://klasma.github.io/Logging_1290/klagomålsmail/A 47029-2025 FSC-klagomål mail.docx", "A 47029-2025")</f>
        <v/>
      </c>
      <c r="AC309">
        <f>HYPERLINK("https://klasma.github.io/Logging_1290/tillsyn/A 47029-2025 tillsynsbegäran.docx", "A 47029-2025")</f>
        <v/>
      </c>
      <c r="AD309">
        <f>HYPERLINK("https://klasma.github.io/Logging_1290/tillsynsmail/A 47029-2025 tillsynsbegäran mail.docx", "A 47029-2025")</f>
        <v/>
      </c>
    </row>
    <row r="310" ht="15" customHeight="1">
      <c r="A310" t="inlineStr">
        <is>
          <t>A 21659-2026</t>
        </is>
      </c>
      <c r="B310" t="inlineStr">
        <is>
          <t>avverkningsanmälan</t>
        </is>
      </c>
      <c r="C310" t="inlineStr">
        <is>
          <t>Föryngringsavverkning</t>
        </is>
      </c>
      <c r="D310" s="1" t="n">
        <v>46149</v>
      </c>
      <c r="E310" s="1" t="n">
        <v>46312</v>
      </c>
      <c r="F310" t="inlineStr">
        <is>
          <t>SKÅNE LÄN</t>
        </is>
      </c>
      <c r="G310" t="inlineStr">
        <is>
          <t>HÄSSLEHOLM</t>
        </is>
      </c>
      <c r="I310" t="n">
        <v>1.8</v>
      </c>
      <c r="J310" t="n">
        <v>2</v>
      </c>
      <c r="K310" t="n">
        <v>0</v>
      </c>
      <c r="L310" t="n">
        <v>1</v>
      </c>
      <c r="M310" t="n">
        <v>0</v>
      </c>
      <c r="N310" t="n">
        <v>0</v>
      </c>
      <c r="O310" t="n">
        <v>0</v>
      </c>
      <c r="P310" t="n">
        <v>0</v>
      </c>
      <c r="Q310" t="n">
        <v>1</v>
      </c>
      <c r="R310" t="n">
        <v>0</v>
      </c>
      <c r="S310" t="n">
        <v>2</v>
      </c>
      <c r="T310" t="n">
        <v>2</v>
      </c>
      <c r="U310" t="n">
        <v>2</v>
      </c>
      <c r="V310" s="2" t="inlineStr">
        <is>
          <t>Göktyta
Skogsduva</t>
        </is>
      </c>
      <c r="W310">
        <f>HYPERLINK("https://klasma.github.io/Logging_1293/artfynd/A 21659-2026 artfynd.xlsx", "A 21659-2026")</f>
        <v/>
      </c>
      <c r="X310">
        <f>HYPERLINK("https://klasma.github.io/Logging_1293/kartor/A 21659-2026 karta.png", "A 21659-2026")</f>
        <v/>
      </c>
      <c r="Y310">
        <f>HYPERLINK("https://klasma.github.io/Logging_1293/kartor_geotiff/A 21659-2026 georefererad karta.tif", "A 21659-2026")</f>
        <v/>
      </c>
      <c r="AA310">
        <f>HYPERLINK("https://klasma.github.io/Logging_1293/klagomål/A 21659-2026 FSC-klagomål.docx", "A 21659-2026")</f>
        <v/>
      </c>
      <c r="AB310">
        <f>HYPERLINK("https://klasma.github.io/Logging_1293/klagomålsmail/A 21659-2026 FSC-klagomål mail.docx", "A 21659-2026")</f>
        <v/>
      </c>
      <c r="AC310">
        <f>HYPERLINK("https://klasma.github.io/Logging_1293/tillsyn/A 21659-2026 tillsynsbegäran.docx", "A 21659-2026")</f>
        <v/>
      </c>
      <c r="AD310">
        <f>HYPERLINK("https://klasma.github.io/Logging_1293/tillsynsmail/A 21659-2026 tillsynsbegäran mail.docx", "A 21659-2026")</f>
        <v/>
      </c>
      <c r="AE310">
        <f>HYPERLINK("https://klasma.github.io/Logging_1293/fåglar/A 21659-2026 prioriterade fågelarter.docx", "A 21659-2026")</f>
        <v/>
      </c>
    </row>
    <row r="311" ht="15" customHeight="1">
      <c r="A311" t="inlineStr">
        <is>
          <t>A 22036-2026</t>
        </is>
      </c>
      <c r="B311" t="inlineStr">
        <is>
          <t>avverkningsanmälan</t>
        </is>
      </c>
      <c r="C311" t="inlineStr">
        <is>
          <t>Föryngringsavverkning</t>
        </is>
      </c>
      <c r="D311" s="1" t="n">
        <v>46153</v>
      </c>
      <c r="E311" s="1" t="n">
        <v>46312</v>
      </c>
      <c r="F311" t="inlineStr">
        <is>
          <t>SKÅNE LÄN</t>
        </is>
      </c>
      <c r="G311" t="inlineStr">
        <is>
          <t>OSBY</t>
        </is>
      </c>
      <c r="H311" t="inlineStr">
        <is>
          <t>Sveaskog</t>
        </is>
      </c>
      <c r="I311" t="n">
        <v>5.4</v>
      </c>
      <c r="J311" t="n">
        <v>2</v>
      </c>
      <c r="K311" t="n">
        <v>0</v>
      </c>
      <c r="L311" t="n">
        <v>1</v>
      </c>
      <c r="M311" t="n">
        <v>0</v>
      </c>
      <c r="N311" t="n">
        <v>0</v>
      </c>
      <c r="O311" t="n">
        <v>0</v>
      </c>
      <c r="P311" t="n">
        <v>0</v>
      </c>
      <c r="Q311" t="n">
        <v>1</v>
      </c>
      <c r="R311" t="n">
        <v>0</v>
      </c>
      <c r="S311" t="n">
        <v>2</v>
      </c>
      <c r="T311" t="n">
        <v>3</v>
      </c>
      <c r="U311" t="n">
        <v>3</v>
      </c>
      <c r="V311" s="2" t="inlineStr">
        <is>
          <t>Entita
Spillkråka</t>
        </is>
      </c>
      <c r="W311">
        <f>HYPERLINK("https://klasma.github.io/Logging_1273/artfynd/A 22036-2026 artfynd.xlsx", "A 22036-2026")</f>
        <v/>
      </c>
      <c r="X311">
        <f>HYPERLINK("https://klasma.github.io/Logging_1273/kartor/A 22036-2026 karta.png", "A 22036-2026")</f>
        <v/>
      </c>
      <c r="Y311">
        <f>HYPERLINK("https://klasma.github.io/Logging_1273/kartor_geotiff/A 22036-2026 georefererad karta.tif", "A 22036-2026")</f>
        <v/>
      </c>
      <c r="AA311">
        <f>HYPERLINK("https://klasma.github.io/Logging_1273/klagomål/A 22036-2026 FSC-klagomål.docx", "A 22036-2026")</f>
        <v/>
      </c>
      <c r="AB311">
        <f>HYPERLINK("https://klasma.github.io/Logging_1273/klagomålsmail/A 22036-2026 FSC-klagomål mail.docx", "A 22036-2026")</f>
        <v/>
      </c>
      <c r="AC311">
        <f>HYPERLINK("https://klasma.github.io/Logging_1273/tillsyn/A 22036-2026 tillsynsbegäran.docx", "A 22036-2026")</f>
        <v/>
      </c>
      <c r="AD311">
        <f>HYPERLINK("https://klasma.github.io/Logging_1273/tillsynsmail/A 22036-2026 tillsynsbegäran mail.docx", "A 22036-2026")</f>
        <v/>
      </c>
      <c r="AE311">
        <f>HYPERLINK("https://klasma.github.io/Logging_1273/fåglar/A 22036-2026 prioriterade fågelarter.docx", "A 22036-2026")</f>
        <v/>
      </c>
    </row>
    <row r="312" ht="15" customHeight="1">
      <c r="A312" t="inlineStr">
        <is>
          <t>A 56102-2022</t>
        </is>
      </c>
      <c r="B312" t="inlineStr">
        <is>
          <t>avverkningsanmälan</t>
        </is>
      </c>
      <c r="C312" t="inlineStr">
        <is>
          <t>Föryngringsavverkning</t>
        </is>
      </c>
      <c r="D312" s="1" t="n">
        <v>44889</v>
      </c>
      <c r="E312" s="1" t="n">
        <v>46312</v>
      </c>
      <c r="F312" t="inlineStr">
        <is>
          <t>SKÅNE LÄN</t>
        </is>
      </c>
      <c r="G312" t="inlineStr">
        <is>
          <t>ÖSTRA GÖINGE</t>
        </is>
      </c>
      <c r="I312" t="n">
        <v>2.5</v>
      </c>
      <c r="J312" t="n">
        <v>1</v>
      </c>
      <c r="K312" t="n">
        <v>1</v>
      </c>
      <c r="L312" t="n">
        <v>1</v>
      </c>
      <c r="M312" t="n">
        <v>0</v>
      </c>
      <c r="N312" t="n">
        <v>0</v>
      </c>
      <c r="O312" t="n">
        <v>0</v>
      </c>
      <c r="P312" t="n">
        <v>0</v>
      </c>
      <c r="Q312" t="n">
        <v>1</v>
      </c>
      <c r="R312" t="n">
        <v>0</v>
      </c>
      <c r="S312" t="n">
        <v>2</v>
      </c>
      <c r="T312" t="n">
        <v>2</v>
      </c>
      <c r="U312" t="n">
        <v>0</v>
      </c>
      <c r="V312" s="2" t="inlineStr">
        <is>
          <t>Mindre hackspett
Kornknutmossa</t>
        </is>
      </c>
      <c r="W312">
        <f>HYPERLINK("https://klasma.github.io/Logging_1256/artfynd/A 56102-2022 artfynd.xlsx", "A 56102-2022")</f>
        <v/>
      </c>
      <c r="X312">
        <f>HYPERLINK("https://klasma.github.io/Logging_1256/kartor/A 56102-2022 karta.png", "A 56102-2022")</f>
        <v/>
      </c>
      <c r="Y312">
        <f>HYPERLINK("https://klasma.github.io/Logging_1256/kartor_geotiff/A 56102-2022 georefererad karta.tif", "A 56102-2022")</f>
        <v/>
      </c>
      <c r="AA312">
        <f>HYPERLINK("https://klasma.github.io/Logging_1256/klagomål/A 56102-2022 FSC-klagomål.docx", "A 56102-2022")</f>
        <v/>
      </c>
      <c r="AB312">
        <f>HYPERLINK("https://klasma.github.io/Logging_1256/klagomålsmail/A 56102-2022 FSC-klagomål mail.docx", "A 56102-2022")</f>
        <v/>
      </c>
      <c r="AC312">
        <f>HYPERLINK("https://klasma.github.io/Logging_1256/tillsyn/A 56102-2022 tillsynsbegäran.docx", "A 56102-2022")</f>
        <v/>
      </c>
      <c r="AD312">
        <f>HYPERLINK("https://klasma.github.io/Logging_1256/tillsynsmail/A 56102-2022 tillsynsbegäran mail.docx", "A 56102-2022")</f>
        <v/>
      </c>
      <c r="AE312">
        <f>HYPERLINK("https://klasma.github.io/Logging_1256/fåglar/A 56102-2022 prioriterade fågelarter.docx", "A 56102-2022")</f>
        <v/>
      </c>
    </row>
    <row r="313" ht="15" customHeight="1">
      <c r="A313" t="inlineStr">
        <is>
          <t>A 15475-2024</t>
        </is>
      </c>
      <c r="B313" t="inlineStr">
        <is>
          <t>avverkningsanmälan</t>
        </is>
      </c>
      <c r="C313" t="inlineStr">
        <is>
          <t>Föryngringsavverkning</t>
        </is>
      </c>
      <c r="D313" s="1" t="n">
        <v>45401</v>
      </c>
      <c r="E313" s="1" t="n">
        <v>46312</v>
      </c>
      <c r="F313" t="inlineStr">
        <is>
          <t>SKÅNE LÄN</t>
        </is>
      </c>
      <c r="G313" t="inlineStr">
        <is>
          <t>SVALÖV</t>
        </is>
      </c>
      <c r="I313" t="n">
        <v>4.7</v>
      </c>
      <c r="J313" t="n">
        <v>0</v>
      </c>
      <c r="K313" t="n">
        <v>1</v>
      </c>
      <c r="L313" t="n">
        <v>0</v>
      </c>
      <c r="M313" t="n">
        <v>0</v>
      </c>
      <c r="N313" t="n">
        <v>1</v>
      </c>
      <c r="O313" t="n">
        <v>0</v>
      </c>
      <c r="P313" t="n">
        <v>0</v>
      </c>
      <c r="Q313" t="n">
        <v>1</v>
      </c>
      <c r="R313" t="n">
        <v>1</v>
      </c>
      <c r="S313" t="n">
        <v>2</v>
      </c>
      <c r="T313" t="n">
        <v>2</v>
      </c>
      <c r="U313" t="n">
        <v>1</v>
      </c>
      <c r="V313" s="2" t="inlineStr">
        <is>
          <t>Ask
Strutbräken</t>
        </is>
      </c>
      <c r="W313">
        <f>HYPERLINK("https://klasma.github.io/Logging_1214/artfynd/A 15475-2024 artfynd.xlsx", "A 15475-2024")</f>
        <v/>
      </c>
      <c r="X313">
        <f>HYPERLINK("https://klasma.github.io/Logging_1214/kartor/A 15475-2024 karta.png", "A 15475-2024")</f>
        <v/>
      </c>
      <c r="Y313">
        <f>HYPERLINK("https://klasma.github.io/Logging_1214/kartor_geotiff/A 15475-2024 georefererad karta.tif", "A 15475-2024")</f>
        <v/>
      </c>
      <c r="AA313">
        <f>HYPERLINK("https://klasma.github.io/Logging_1214/klagomål/A 15475-2024 FSC-klagomål.docx", "A 15475-2024")</f>
        <v/>
      </c>
      <c r="AB313">
        <f>HYPERLINK("https://klasma.github.io/Logging_1214/klagomålsmail/A 15475-2024 FSC-klagomål mail.docx", "A 15475-2024")</f>
        <v/>
      </c>
      <c r="AC313">
        <f>HYPERLINK("https://klasma.github.io/Logging_1214/tillsyn/A 15475-2024 tillsynsbegäran.docx", "A 15475-2024")</f>
        <v/>
      </c>
      <c r="AD313">
        <f>HYPERLINK("https://klasma.github.io/Logging_1214/tillsynsmail/A 15475-2024 tillsynsbegäran mail.docx", "A 15475-2024")</f>
        <v/>
      </c>
    </row>
    <row r="314" ht="15" customHeight="1">
      <c r="A314" t="inlineStr">
        <is>
          <t>A 50759-2025</t>
        </is>
      </c>
      <c r="B314" t="inlineStr">
        <is>
          <t>avverkningsanmälan</t>
        </is>
      </c>
      <c r="C314" t="inlineStr">
        <is>
          <t>Föryngringsavverkning</t>
        </is>
      </c>
      <c r="D314" s="1" t="n">
        <v>45946</v>
      </c>
      <c r="E314" s="1" t="n">
        <v>46312</v>
      </c>
      <c r="F314" t="inlineStr">
        <is>
          <t>SKÅNE LÄN</t>
        </is>
      </c>
      <c r="G314" t="inlineStr">
        <is>
          <t>BJUV</t>
        </is>
      </c>
      <c r="I314" t="n">
        <v>14.4</v>
      </c>
      <c r="J314" t="n">
        <v>1</v>
      </c>
      <c r="K314" t="n">
        <v>1</v>
      </c>
      <c r="L314" t="n">
        <v>1</v>
      </c>
      <c r="M314" t="n">
        <v>0</v>
      </c>
      <c r="N314" t="n">
        <v>0</v>
      </c>
      <c r="O314" t="n">
        <v>0</v>
      </c>
      <c r="P314" t="n">
        <v>0</v>
      </c>
      <c r="Q314" t="n">
        <v>1</v>
      </c>
      <c r="R314" t="n">
        <v>0</v>
      </c>
      <c r="S314" t="n">
        <v>2</v>
      </c>
      <c r="T314" t="n">
        <v>2</v>
      </c>
      <c r="U314" t="n">
        <v>0</v>
      </c>
      <c r="V314" s="2" t="inlineStr">
        <is>
          <t>Gulsparv
Dvärghäxört</t>
        </is>
      </c>
      <c r="W314">
        <f>HYPERLINK("https://klasma.github.io/Logging_1260/artfynd/A 50759-2025 artfynd.xlsx", "A 50759-2025")</f>
        <v/>
      </c>
      <c r="X314">
        <f>HYPERLINK("https://klasma.github.io/Logging_1260/kartor/A 50759-2025 karta.png", "A 50759-2025")</f>
        <v/>
      </c>
      <c r="Y314">
        <f>HYPERLINK("https://klasma.github.io/Logging_1260/kartor_geotiff/A 50759-2025 georefererad karta.tif", "A 50759-2025")</f>
        <v/>
      </c>
      <c r="AA314">
        <f>HYPERLINK("https://klasma.github.io/Logging_1260/klagomål/A 50759-2025 FSC-klagomål.docx", "A 50759-2025")</f>
        <v/>
      </c>
      <c r="AB314">
        <f>HYPERLINK("https://klasma.github.io/Logging_1260/klagomålsmail/A 50759-2025 FSC-klagomål mail.docx", "A 50759-2025")</f>
        <v/>
      </c>
      <c r="AC314">
        <f>HYPERLINK("https://klasma.github.io/Logging_1260/tillsyn/A 50759-2025 tillsynsbegäran.docx", "A 50759-2025")</f>
        <v/>
      </c>
      <c r="AD314">
        <f>HYPERLINK("https://klasma.github.io/Logging_1260/tillsynsmail/A 50759-2025 tillsynsbegäran mail.docx", "A 50759-2025")</f>
        <v/>
      </c>
      <c r="AE314">
        <f>HYPERLINK("https://klasma.github.io/Logging_1260/fåglar/A 50759-2025 prioriterade fågelarter.docx", "A 50759-2025")</f>
        <v/>
      </c>
    </row>
    <row r="315" ht="15" customHeight="1">
      <c r="A315" t="inlineStr">
        <is>
          <t>A 50151-2025</t>
        </is>
      </c>
      <c r="B315" t="inlineStr">
        <is>
          <t>avverkningsanmälan</t>
        </is>
      </c>
      <c r="C315" t="inlineStr">
        <is>
          <t>Föryngringsavverkning</t>
        </is>
      </c>
      <c r="D315" s="1" t="n">
        <v>45943</v>
      </c>
      <c r="E315" s="1" t="n">
        <v>46312</v>
      </c>
      <c r="F315" t="inlineStr">
        <is>
          <t>SKÅNE LÄN</t>
        </is>
      </c>
      <c r="G315" t="inlineStr">
        <is>
          <t>KRISTIANSTAD</t>
        </is>
      </c>
      <c r="I315" t="n">
        <v>2.5</v>
      </c>
      <c r="J315" t="n">
        <v>1</v>
      </c>
      <c r="K315" t="n">
        <v>0</v>
      </c>
      <c r="L315" t="n">
        <v>0</v>
      </c>
      <c r="M315" t="n">
        <v>1</v>
      </c>
      <c r="N315" t="n">
        <v>0</v>
      </c>
      <c r="O315" t="n">
        <v>0</v>
      </c>
      <c r="P315" t="n">
        <v>0</v>
      </c>
      <c r="Q315" t="n">
        <v>1</v>
      </c>
      <c r="R315" t="n">
        <v>1</v>
      </c>
      <c r="S315" t="n">
        <v>2</v>
      </c>
      <c r="T315" t="n">
        <v>2</v>
      </c>
      <c r="U315" t="n">
        <v>2</v>
      </c>
      <c r="V315" s="2" t="inlineStr">
        <is>
          <t>Slåttergubbe
Grönvit nattviol</t>
        </is>
      </c>
      <c r="W315">
        <f>HYPERLINK("https://klasma.github.io/Logging_1290/artfynd/A 50151-2025 artfynd.xlsx", "A 50151-2025")</f>
        <v/>
      </c>
      <c r="X315">
        <f>HYPERLINK("https://klasma.github.io/Logging_1290/kartor/A 50151-2025 karta.png", "A 50151-2025")</f>
        <v/>
      </c>
      <c r="Y315">
        <f>HYPERLINK("https://klasma.github.io/Logging_1290/kartor_geotiff/A 50151-2025 georefererad karta.tif", "A 50151-2025")</f>
        <v/>
      </c>
      <c r="AA315">
        <f>HYPERLINK("https://klasma.github.io/Logging_1290/klagomål/A 50151-2025 FSC-klagomål.docx", "A 50151-2025")</f>
        <v/>
      </c>
      <c r="AB315">
        <f>HYPERLINK("https://klasma.github.io/Logging_1290/klagomålsmail/A 50151-2025 FSC-klagomål mail.docx", "A 50151-2025")</f>
        <v/>
      </c>
      <c r="AC315">
        <f>HYPERLINK("https://klasma.github.io/Logging_1290/tillsyn/A 50151-2025 tillsynsbegäran.docx", "A 50151-2025")</f>
        <v/>
      </c>
      <c r="AD315">
        <f>HYPERLINK("https://klasma.github.io/Logging_1290/tillsynsmail/A 50151-2025 tillsynsbegäran mail.docx", "A 50151-2025")</f>
        <v/>
      </c>
    </row>
    <row r="316" ht="15" customHeight="1">
      <c r="A316" t="inlineStr">
        <is>
          <t>A 10617-2025</t>
        </is>
      </c>
      <c r="B316" t="inlineStr">
        <is>
          <t>avverkningsanmälan</t>
        </is>
      </c>
      <c r="C316" t="inlineStr">
        <is>
          <t>Föryngringsavverkning</t>
        </is>
      </c>
      <c r="D316" s="1" t="n">
        <v>45721</v>
      </c>
      <c r="E316" s="1" t="n">
        <v>46312</v>
      </c>
      <c r="F316" t="inlineStr">
        <is>
          <t>SKÅNE LÄN</t>
        </is>
      </c>
      <c r="G316" t="inlineStr">
        <is>
          <t>LUND</t>
        </is>
      </c>
      <c r="I316" t="n">
        <v>1.9</v>
      </c>
      <c r="J316" t="n">
        <v>2</v>
      </c>
      <c r="K316" t="n">
        <v>0</v>
      </c>
      <c r="L316" t="n">
        <v>2</v>
      </c>
      <c r="M316" t="n">
        <v>0</v>
      </c>
      <c r="N316" t="n">
        <v>0</v>
      </c>
      <c r="O316" t="n">
        <v>0</v>
      </c>
      <c r="P316" t="n">
        <v>0</v>
      </c>
      <c r="Q316" t="n">
        <v>2</v>
      </c>
      <c r="R316" t="n">
        <v>0</v>
      </c>
      <c r="S316" t="n">
        <v>2</v>
      </c>
      <c r="T316" t="n">
        <v>2</v>
      </c>
      <c r="U316" t="n">
        <v>0</v>
      </c>
      <c r="V316" s="2" t="inlineStr">
        <is>
          <t>Lökgroda
Strandpadda</t>
        </is>
      </c>
      <c r="W316">
        <f>HYPERLINK("https://klasma.github.io/Logging_1281/artfynd/A 10617-2025 artfynd.xlsx", "A 10617-2025")</f>
        <v/>
      </c>
      <c r="X316">
        <f>HYPERLINK("https://klasma.github.io/Logging_1281/kartor/A 10617-2025 karta.png", "A 10617-2025")</f>
        <v/>
      </c>
      <c r="Y316">
        <f>HYPERLINK("https://klasma.github.io/Logging_1281/kartor_geotiff/A 10617-2025 georefererad karta.tif", "A 10617-2025")</f>
        <v/>
      </c>
      <c r="AA316">
        <f>HYPERLINK("https://klasma.github.io/Logging_1281/klagomål/A 10617-2025 FSC-klagomål.docx", "A 10617-2025")</f>
        <v/>
      </c>
      <c r="AB316">
        <f>HYPERLINK("https://klasma.github.io/Logging_1281/klagomålsmail/A 10617-2025 FSC-klagomål mail.docx", "A 10617-2025")</f>
        <v/>
      </c>
      <c r="AC316">
        <f>HYPERLINK("https://klasma.github.io/Logging_1281/tillsyn/A 10617-2025 tillsynsbegäran.docx", "A 10617-2025")</f>
        <v/>
      </c>
      <c r="AD316">
        <f>HYPERLINK("https://klasma.github.io/Logging_1281/tillsynsmail/A 10617-2025 tillsynsbegäran mail.docx", "A 10617-2025")</f>
        <v/>
      </c>
    </row>
    <row r="317" ht="15" customHeight="1">
      <c r="A317" t="inlineStr">
        <is>
          <t>A 61064-2024</t>
        </is>
      </c>
      <c r="B317" t="inlineStr">
        <is>
          <t>avverkningsanmälan</t>
        </is>
      </c>
      <c r="C317" t="inlineStr">
        <is>
          <t>Föryngringsavverkning</t>
        </is>
      </c>
      <c r="D317" s="1" t="n">
        <v>45645</v>
      </c>
      <c r="E317" s="1" t="n">
        <v>46312</v>
      </c>
      <c r="F317" t="inlineStr">
        <is>
          <t>SKÅNE LÄN</t>
        </is>
      </c>
      <c r="G317" t="inlineStr">
        <is>
          <t>SVALÖV</t>
        </is>
      </c>
      <c r="I317" t="n">
        <v>5.6</v>
      </c>
      <c r="J317" t="n">
        <v>1</v>
      </c>
      <c r="K317" t="n">
        <v>1</v>
      </c>
      <c r="L317" t="n">
        <v>0</v>
      </c>
      <c r="M317" t="n">
        <v>0</v>
      </c>
      <c r="N317" t="n">
        <v>1</v>
      </c>
      <c r="O317" t="n">
        <v>0</v>
      </c>
      <c r="P317" t="n">
        <v>0</v>
      </c>
      <c r="Q317" t="n">
        <v>1</v>
      </c>
      <c r="R317" t="n">
        <v>1</v>
      </c>
      <c r="S317" t="n">
        <v>2</v>
      </c>
      <c r="T317" t="n">
        <v>2</v>
      </c>
      <c r="U317" t="n">
        <v>0</v>
      </c>
      <c r="V317" s="2" t="inlineStr">
        <is>
          <t>Ask
Skogsknipprot</t>
        </is>
      </c>
      <c r="W317">
        <f>HYPERLINK("https://klasma.github.io/Logging_1214/artfynd/A 61064-2024 artfynd.xlsx", "A 61064-2024")</f>
        <v/>
      </c>
      <c r="X317">
        <f>HYPERLINK("https://klasma.github.io/Logging_1214/kartor/A 61064-2024 karta.png", "A 61064-2024")</f>
        <v/>
      </c>
      <c r="Y317">
        <f>HYPERLINK("https://klasma.github.io/Logging_1214/kartor_geotiff/A 61064-2024 georefererad karta.tif", "A 61064-2024")</f>
        <v/>
      </c>
      <c r="AA317">
        <f>HYPERLINK("https://klasma.github.io/Logging_1214/klagomål/A 61064-2024 FSC-klagomål.docx", "A 61064-2024")</f>
        <v/>
      </c>
      <c r="AB317">
        <f>HYPERLINK("https://klasma.github.io/Logging_1214/klagomålsmail/A 61064-2024 FSC-klagomål mail.docx", "A 61064-2024")</f>
        <v/>
      </c>
      <c r="AC317">
        <f>HYPERLINK("https://klasma.github.io/Logging_1214/tillsyn/A 61064-2024 tillsynsbegäran.docx", "A 61064-2024")</f>
        <v/>
      </c>
      <c r="AD317">
        <f>HYPERLINK("https://klasma.github.io/Logging_1214/tillsynsmail/A 61064-2024 tillsynsbegäran mail.docx", "A 61064-2024")</f>
        <v/>
      </c>
    </row>
    <row r="318" ht="15" customHeight="1">
      <c r="A318" t="inlineStr">
        <is>
          <t>A 2888-2024</t>
        </is>
      </c>
      <c r="B318" t="inlineStr">
        <is>
          <t>avverkningsanmälan</t>
        </is>
      </c>
      <c r="C318" t="inlineStr">
        <is>
          <t>Föryngringsavverkning</t>
        </is>
      </c>
      <c r="D318" s="1" t="n">
        <v>45315</v>
      </c>
      <c r="E318" s="1" t="n">
        <v>46312</v>
      </c>
      <c r="F318" t="inlineStr">
        <is>
          <t>SKÅNE LÄN</t>
        </is>
      </c>
      <c r="G318" t="inlineStr">
        <is>
          <t>KRISTIANSTAD</t>
        </is>
      </c>
      <c r="I318" t="n">
        <v>10</v>
      </c>
      <c r="J318" t="n">
        <v>0</v>
      </c>
      <c r="K318" t="n">
        <v>2</v>
      </c>
      <c r="L318" t="n">
        <v>0</v>
      </c>
      <c r="M318" t="n">
        <v>0</v>
      </c>
      <c r="N318" t="n">
        <v>0</v>
      </c>
      <c r="O318" t="n">
        <v>0</v>
      </c>
      <c r="P318" t="n">
        <v>0</v>
      </c>
      <c r="Q318" t="n">
        <v>0</v>
      </c>
      <c r="R318" t="n">
        <v>0</v>
      </c>
      <c r="S318" t="n">
        <v>2</v>
      </c>
      <c r="T318" t="n">
        <v>2</v>
      </c>
      <c r="U318" t="n">
        <v>0</v>
      </c>
      <c r="V318" s="2" t="inlineStr">
        <is>
          <t>Kransrams
Stor häxört</t>
        </is>
      </c>
      <c r="W318">
        <f>HYPERLINK("https://klasma.github.io/Logging_1290/artfynd/A 2888-2024 artfynd.xlsx", "A 2888-2024")</f>
        <v/>
      </c>
      <c r="X318">
        <f>HYPERLINK("https://klasma.github.io/Logging_1290/kartor/A 2888-2024 karta.png", "A 2888-2024")</f>
        <v/>
      </c>
      <c r="Y318">
        <f>HYPERLINK("https://klasma.github.io/Logging_1290/kartor_geotiff/A 2888-2024 georefererad karta.tif", "A 2888-2024")</f>
        <v/>
      </c>
      <c r="AA318">
        <f>HYPERLINK("https://klasma.github.io/Logging_1290/klagomål/A 2888-2024 FSC-klagomål.docx", "A 2888-2024")</f>
        <v/>
      </c>
      <c r="AB318">
        <f>HYPERLINK("https://klasma.github.io/Logging_1290/klagomålsmail/A 2888-2024 FSC-klagomål mail.docx", "A 2888-2024")</f>
        <v/>
      </c>
      <c r="AC318">
        <f>HYPERLINK("https://klasma.github.io/Logging_1290/tillsyn/A 2888-2024 tillsynsbegäran.docx", "A 2888-2024")</f>
        <v/>
      </c>
      <c r="AD318">
        <f>HYPERLINK("https://klasma.github.io/Logging_1290/tillsynsmail/A 2888-2024 tillsynsbegäran mail.docx", "A 2888-2024")</f>
        <v/>
      </c>
    </row>
    <row r="319" ht="15" customHeight="1">
      <c r="A319" t="inlineStr">
        <is>
          <t>A 1418-2024</t>
        </is>
      </c>
      <c r="B319" t="inlineStr">
        <is>
          <t>avverkningsanmälan</t>
        </is>
      </c>
      <c r="C319" t="inlineStr">
        <is>
          <t>Föryngringsavverkning</t>
        </is>
      </c>
      <c r="D319" s="1" t="n">
        <v>45303</v>
      </c>
      <c r="E319" s="1" t="n">
        <v>46312</v>
      </c>
      <c r="F319" t="inlineStr">
        <is>
          <t>SKÅNE LÄN</t>
        </is>
      </c>
      <c r="G319" t="inlineStr">
        <is>
          <t>KRISTIANSTAD</t>
        </is>
      </c>
      <c r="H319" t="inlineStr">
        <is>
          <t>Övriga Aktiebolag</t>
        </is>
      </c>
      <c r="I319" t="n">
        <v>0.7</v>
      </c>
      <c r="J319" t="n">
        <v>0</v>
      </c>
      <c r="K319" t="n">
        <v>0</v>
      </c>
      <c r="L319" t="n">
        <v>2</v>
      </c>
      <c r="M319" t="n">
        <v>0</v>
      </c>
      <c r="N319" t="n">
        <v>0</v>
      </c>
      <c r="O319" t="n">
        <v>0</v>
      </c>
      <c r="P319" t="n">
        <v>0</v>
      </c>
      <c r="Q319" t="n">
        <v>2</v>
      </c>
      <c r="R319" t="n">
        <v>0</v>
      </c>
      <c r="S319" t="n">
        <v>2</v>
      </c>
      <c r="T319" t="n">
        <v>2</v>
      </c>
      <c r="U319" t="n">
        <v>0</v>
      </c>
      <c r="V319" s="2" t="inlineStr">
        <is>
          <t>Gropticka
Stenticka</t>
        </is>
      </c>
      <c r="W319">
        <f>HYPERLINK("https://klasma.github.io/Logging_1290/artfynd/A 1418-2024 artfynd.xlsx", "A 1418-2024")</f>
        <v/>
      </c>
      <c r="X319">
        <f>HYPERLINK("https://klasma.github.io/Logging_1290/kartor/A 1418-2024 karta.png", "A 1418-2024")</f>
        <v/>
      </c>
      <c r="Y319">
        <f>HYPERLINK("https://klasma.github.io/Logging_1290/kartor_geotiff/A 1418-2024 georefererad karta.tif", "A 1418-2024")</f>
        <v/>
      </c>
      <c r="AA319">
        <f>HYPERLINK("https://klasma.github.io/Logging_1290/klagomål/A 1418-2024 FSC-klagomål.docx", "A 1418-2024")</f>
        <v/>
      </c>
      <c r="AB319">
        <f>HYPERLINK("https://klasma.github.io/Logging_1290/klagomålsmail/A 1418-2024 FSC-klagomål mail.docx", "A 1418-2024")</f>
        <v/>
      </c>
      <c r="AC319">
        <f>HYPERLINK("https://klasma.github.io/Logging_1290/tillsyn/A 1418-2024 tillsynsbegäran.docx", "A 1418-2024")</f>
        <v/>
      </c>
      <c r="AD319">
        <f>HYPERLINK("https://klasma.github.io/Logging_1290/tillsynsmail/A 1418-2024 tillsynsbegäran mail.docx", "A 1418-2024")</f>
        <v/>
      </c>
    </row>
    <row r="320" ht="15" customHeight="1">
      <c r="A320" t="inlineStr">
        <is>
          <t>A 44567-2025</t>
        </is>
      </c>
      <c r="B320" t="inlineStr">
        <is>
          <t>avverkningsanmälan</t>
        </is>
      </c>
      <c r="C320" t="inlineStr">
        <is>
          <t>Föryngringsavverkning</t>
        </is>
      </c>
      <c r="D320" s="1" t="n">
        <v>45917</v>
      </c>
      <c r="E320" s="1" t="n">
        <v>46312</v>
      </c>
      <c r="F320" t="inlineStr">
        <is>
          <t>SKÅNE LÄN</t>
        </is>
      </c>
      <c r="G320" t="inlineStr">
        <is>
          <t>KLIPPAN</t>
        </is>
      </c>
      <c r="I320" t="n">
        <v>17.3</v>
      </c>
      <c r="J320" t="n">
        <v>2</v>
      </c>
      <c r="K320" t="n">
        <v>0</v>
      </c>
      <c r="L320" t="n">
        <v>0</v>
      </c>
      <c r="M320" t="n">
        <v>0</v>
      </c>
      <c r="N320" t="n">
        <v>0</v>
      </c>
      <c r="O320" t="n">
        <v>0</v>
      </c>
      <c r="P320" t="n">
        <v>0</v>
      </c>
      <c r="Q320" t="n">
        <v>0</v>
      </c>
      <c r="R320" t="n">
        <v>0</v>
      </c>
      <c r="S320" t="n">
        <v>2</v>
      </c>
      <c r="T320" t="n">
        <v>2</v>
      </c>
      <c r="U320" t="n">
        <v>2</v>
      </c>
      <c r="V320" s="2" t="inlineStr">
        <is>
          <t>Grönsiska
Kråka</t>
        </is>
      </c>
      <c r="W320">
        <f>HYPERLINK("https://klasma.github.io/Logging_1276/artfynd/A 44567-2025 artfynd.xlsx", "A 44567-2025")</f>
        <v/>
      </c>
      <c r="X320">
        <f>HYPERLINK("https://klasma.github.io/Logging_1276/kartor/A 44567-2025 karta.png", "A 44567-2025")</f>
        <v/>
      </c>
      <c r="Y320">
        <f>HYPERLINK("https://klasma.github.io/Logging_1276/kartor_geotiff/A 44567-2025 georefererad karta.tif", "A 44567-2025")</f>
        <v/>
      </c>
      <c r="AA320">
        <f>HYPERLINK("https://klasma.github.io/Logging_1276/klagomål/A 44567-2025 FSC-klagomål.docx", "A 44567-2025")</f>
        <v/>
      </c>
      <c r="AB320">
        <f>HYPERLINK("https://klasma.github.io/Logging_1276/klagomålsmail/A 44567-2025 FSC-klagomål mail.docx", "A 44567-2025")</f>
        <v/>
      </c>
      <c r="AC320">
        <f>HYPERLINK("https://klasma.github.io/Logging_1276/tillsyn/A 44567-2025 tillsynsbegäran.docx", "A 44567-2025")</f>
        <v/>
      </c>
      <c r="AD320">
        <f>HYPERLINK("https://klasma.github.io/Logging_1276/tillsynsmail/A 44567-2025 tillsynsbegäran mail.docx", "A 44567-2025")</f>
        <v/>
      </c>
    </row>
    <row r="321" ht="15" customHeight="1">
      <c r="A321" t="inlineStr">
        <is>
          <t>A 34340-2025</t>
        </is>
      </c>
      <c r="B321" t="inlineStr">
        <is>
          <t>avverkningsanmälan</t>
        </is>
      </c>
      <c r="C321" t="inlineStr">
        <is>
          <t>Föryngringsavverkning</t>
        </is>
      </c>
      <c r="D321" s="1" t="n">
        <v>45846</v>
      </c>
      <c r="E321" s="1" t="n">
        <v>46312</v>
      </c>
      <c r="F321" t="inlineStr">
        <is>
          <t>SKÅNE LÄN</t>
        </is>
      </c>
      <c r="G321" t="inlineStr">
        <is>
          <t>ÖSTRA GÖINGE</t>
        </is>
      </c>
      <c r="I321" t="n">
        <v>1.3</v>
      </c>
      <c r="J321" t="n">
        <v>2</v>
      </c>
      <c r="K321" t="n">
        <v>0</v>
      </c>
      <c r="L321" t="n">
        <v>1</v>
      </c>
      <c r="M321" t="n">
        <v>0</v>
      </c>
      <c r="N321" t="n">
        <v>0</v>
      </c>
      <c r="O321" t="n">
        <v>0</v>
      </c>
      <c r="P321" t="n">
        <v>0</v>
      </c>
      <c r="Q321" t="n">
        <v>1</v>
      </c>
      <c r="R321" t="n">
        <v>0</v>
      </c>
      <c r="S321" t="n">
        <v>2</v>
      </c>
      <c r="T321" t="n">
        <v>2</v>
      </c>
      <c r="U321" t="n">
        <v>2</v>
      </c>
      <c r="V321" s="2" t="inlineStr">
        <is>
          <t>Grönsångare
Svartvit flugsnappare</t>
        </is>
      </c>
      <c r="W321">
        <f>HYPERLINK("https://klasma.github.io/Logging_1256/artfynd/A 34340-2025 artfynd.xlsx", "A 34340-2025")</f>
        <v/>
      </c>
      <c r="X321">
        <f>HYPERLINK("https://klasma.github.io/Logging_1256/kartor/A 34340-2025 karta.png", "A 34340-2025")</f>
        <v/>
      </c>
      <c r="Y321">
        <f>HYPERLINK("https://klasma.github.io/Logging_1256/kartor_geotiff/A 34340-2025 georefererad karta.tif", "A 34340-2025")</f>
        <v/>
      </c>
      <c r="AA321">
        <f>HYPERLINK("https://klasma.github.io/Logging_1256/klagomål/A 34340-2025 FSC-klagomål.docx", "A 34340-2025")</f>
        <v/>
      </c>
      <c r="AB321">
        <f>HYPERLINK("https://klasma.github.io/Logging_1256/klagomålsmail/A 34340-2025 FSC-klagomål mail.docx", "A 34340-2025")</f>
        <v/>
      </c>
      <c r="AC321">
        <f>HYPERLINK("https://klasma.github.io/Logging_1256/tillsyn/A 34340-2025 tillsynsbegäran.docx", "A 34340-2025")</f>
        <v/>
      </c>
      <c r="AD321">
        <f>HYPERLINK("https://klasma.github.io/Logging_1256/tillsynsmail/A 34340-2025 tillsynsbegäran mail.docx", "A 34340-2025")</f>
        <v/>
      </c>
      <c r="AE321">
        <f>HYPERLINK("https://klasma.github.io/Logging_1256/fåglar/A 34340-2025 prioriterade fågelarter.docx", "A 34340-2025")</f>
        <v/>
      </c>
    </row>
    <row r="322" ht="15" customHeight="1">
      <c r="A322" t="inlineStr">
        <is>
          <t>A 25456-2023</t>
        </is>
      </c>
      <c r="B322" t="inlineStr">
        <is>
          <t>avverkningsanmälan</t>
        </is>
      </c>
      <c r="C322" t="inlineStr">
        <is>
          <t>Föryngringsavverkning</t>
        </is>
      </c>
      <c r="D322" s="1" t="n">
        <v>45089</v>
      </c>
      <c r="E322" s="1" t="n">
        <v>46312</v>
      </c>
      <c r="F322" t="inlineStr">
        <is>
          <t>SKÅNE LÄN</t>
        </is>
      </c>
      <c r="G322" t="inlineStr">
        <is>
          <t>KRISTIANSTAD</t>
        </is>
      </c>
      <c r="I322" t="n">
        <v>1</v>
      </c>
      <c r="J322" t="n">
        <v>0</v>
      </c>
      <c r="K322" t="n">
        <v>0</v>
      </c>
      <c r="L322" t="n">
        <v>2</v>
      </c>
      <c r="M322" t="n">
        <v>0</v>
      </c>
      <c r="N322" t="n">
        <v>0</v>
      </c>
      <c r="O322" t="n">
        <v>0</v>
      </c>
      <c r="P322" t="n">
        <v>0</v>
      </c>
      <c r="Q322" t="n">
        <v>2</v>
      </c>
      <c r="R322" t="n">
        <v>0</v>
      </c>
      <c r="S322" t="n">
        <v>2</v>
      </c>
      <c r="T322" t="n">
        <v>3</v>
      </c>
      <c r="U322" t="n">
        <v>3</v>
      </c>
      <c r="V322" s="2" t="inlineStr">
        <is>
          <t>Fläckig glansspinnare
Krattsnabbvinge</t>
        </is>
      </c>
      <c r="W322">
        <f>HYPERLINK("https://klasma.github.io/Logging_1290/artfynd/A 25456-2023 artfynd.xlsx", "A 25456-2023")</f>
        <v/>
      </c>
      <c r="X322">
        <f>HYPERLINK("https://klasma.github.io/Logging_1290/kartor/A 25456-2023 karta.png", "A 25456-2023")</f>
        <v/>
      </c>
      <c r="Y322">
        <f>HYPERLINK("https://klasma.github.io/Logging_1290/kartor_geotiff/A 25456-2023 georefererad karta.tif", "A 25456-2023")</f>
        <v/>
      </c>
      <c r="AA322">
        <f>HYPERLINK("https://klasma.github.io/Logging_1290/klagomål/A 25456-2023 FSC-klagomål.docx", "A 25456-2023")</f>
        <v/>
      </c>
      <c r="AB322">
        <f>HYPERLINK("https://klasma.github.io/Logging_1290/klagomålsmail/A 25456-2023 FSC-klagomål mail.docx", "A 25456-2023")</f>
        <v/>
      </c>
      <c r="AC322">
        <f>HYPERLINK("https://klasma.github.io/Logging_1290/tillsyn/A 25456-2023 tillsynsbegäran.docx", "A 25456-2023")</f>
        <v/>
      </c>
      <c r="AD322">
        <f>HYPERLINK("https://klasma.github.io/Logging_1290/tillsynsmail/A 25456-2023 tillsynsbegäran mail.docx", "A 25456-2023")</f>
        <v/>
      </c>
    </row>
    <row r="323" ht="15" customHeight="1">
      <c r="A323" t="inlineStr">
        <is>
          <t>A 46813-2024</t>
        </is>
      </c>
      <c r="B323" t="inlineStr">
        <is>
          <t>avverkningsanmälan</t>
        </is>
      </c>
      <c r="C323" t="inlineStr">
        <is>
          <t>Föryngringsavverkning</t>
        </is>
      </c>
      <c r="D323" s="1" t="n">
        <v>45583</v>
      </c>
      <c r="E323" s="1" t="n">
        <v>46312</v>
      </c>
      <c r="F323" t="inlineStr">
        <is>
          <t>SKÅNE LÄN</t>
        </is>
      </c>
      <c r="G323" t="inlineStr">
        <is>
          <t>HÄSSLEHOLM</t>
        </is>
      </c>
      <c r="I323" t="n">
        <v>14.9</v>
      </c>
      <c r="J323" t="n">
        <v>2</v>
      </c>
      <c r="K323" t="n">
        <v>0</v>
      </c>
      <c r="L323" t="n">
        <v>0</v>
      </c>
      <c r="M323" t="n">
        <v>0</v>
      </c>
      <c r="N323" t="n">
        <v>0</v>
      </c>
      <c r="O323" t="n">
        <v>0</v>
      </c>
      <c r="P323" t="n">
        <v>0</v>
      </c>
      <c r="Q323" t="n">
        <v>0</v>
      </c>
      <c r="R323" t="n">
        <v>0</v>
      </c>
      <c r="S323" t="n">
        <v>2</v>
      </c>
      <c r="T323" t="n">
        <v>2</v>
      </c>
      <c r="U323" t="n">
        <v>0</v>
      </c>
      <c r="V323" s="2" t="inlineStr">
        <is>
          <t>Spillkråka
Gröngöling</t>
        </is>
      </c>
      <c r="W323">
        <f>HYPERLINK("https://klasma.github.io/Logging_1293/artfynd/A 46813-2024 artfynd.xlsx", "A 46813-2024")</f>
        <v/>
      </c>
      <c r="X323">
        <f>HYPERLINK("https://klasma.github.io/Logging_1293/kartor/A 46813-2024 karta.png", "A 46813-2024")</f>
        <v/>
      </c>
      <c r="Y323">
        <f>HYPERLINK("https://klasma.github.io/Logging_1293/kartor_geotiff/A 46813-2024 georefererad karta.tif", "A 46813-2024")</f>
        <v/>
      </c>
      <c r="AA323">
        <f>HYPERLINK("https://klasma.github.io/Logging_1293/klagomål/A 46813-2024 FSC-klagomål.docx", "A 46813-2024")</f>
        <v/>
      </c>
      <c r="AB323">
        <f>HYPERLINK("https://klasma.github.io/Logging_1293/klagomålsmail/A 46813-2024 FSC-klagomål mail.docx", "A 46813-2024")</f>
        <v/>
      </c>
      <c r="AC323">
        <f>HYPERLINK("https://klasma.github.io/Logging_1293/tillsyn/A 46813-2024 tillsynsbegäran.docx", "A 46813-2024")</f>
        <v/>
      </c>
      <c r="AD323">
        <f>HYPERLINK("https://klasma.github.io/Logging_1293/tillsynsmail/A 46813-2024 tillsynsbegäran mail.docx", "A 46813-2024")</f>
        <v/>
      </c>
      <c r="AE323">
        <f>HYPERLINK("https://klasma.github.io/Logging_1293/fåglar/A 46813-2024 prioriterade fågelarter.docx", "A 46813-2024")</f>
        <v/>
      </c>
    </row>
    <row r="324" ht="15" customHeight="1">
      <c r="A324" t="inlineStr">
        <is>
          <t>A 59769-2025</t>
        </is>
      </c>
      <c r="B324" t="inlineStr">
        <is>
          <t>avverkningsanmälan</t>
        </is>
      </c>
      <c r="C324" t="inlineStr">
        <is>
          <t>Avverkning för att bevara och utveckla /försöksver</t>
        </is>
      </c>
      <c r="D324" s="1" t="n">
        <v>45992</v>
      </c>
      <c r="E324" s="1" t="n">
        <v>46312</v>
      </c>
      <c r="F324" t="inlineStr">
        <is>
          <t>SKÅNE LÄN</t>
        </is>
      </c>
      <c r="G324" t="inlineStr">
        <is>
          <t>KLIPPAN</t>
        </is>
      </c>
      <c r="H324" t="inlineStr">
        <is>
          <t>Sveaskog</t>
        </is>
      </c>
      <c r="I324" t="n">
        <v>1.4</v>
      </c>
      <c r="J324" t="n">
        <v>2</v>
      </c>
      <c r="K324" t="n">
        <v>0</v>
      </c>
      <c r="L324" t="n">
        <v>1</v>
      </c>
      <c r="M324" t="n">
        <v>0</v>
      </c>
      <c r="N324" t="n">
        <v>0</v>
      </c>
      <c r="O324" t="n">
        <v>0</v>
      </c>
      <c r="P324" t="n">
        <v>0</v>
      </c>
      <c r="Q324" t="n">
        <v>1</v>
      </c>
      <c r="R324" t="n">
        <v>0</v>
      </c>
      <c r="S324" t="n">
        <v>2</v>
      </c>
      <c r="T324" t="n">
        <v>4</v>
      </c>
      <c r="U324" t="n">
        <v>4</v>
      </c>
      <c r="V324" s="2" t="inlineStr">
        <is>
          <t>Entita
Kungsfågel</t>
        </is>
      </c>
      <c r="W324">
        <f>HYPERLINK("https://klasma.github.io/Logging_1276/artfynd/A 59769-2025 artfynd.xlsx", "A 59769-2025")</f>
        <v/>
      </c>
      <c r="X324">
        <f>HYPERLINK("https://klasma.github.io/Logging_1276/kartor/A 59769-2025 karta.png", "A 59769-2025")</f>
        <v/>
      </c>
      <c r="Y324">
        <f>HYPERLINK("https://klasma.github.io/Logging_1276/kartor_geotiff/A 59769-2025 georefererad karta.tif", "A 59769-2025")</f>
        <v/>
      </c>
      <c r="AA324">
        <f>HYPERLINK("https://klasma.github.io/Logging_1276/klagomål/A 59769-2025 FSC-klagomål.docx", "A 59769-2025")</f>
        <v/>
      </c>
      <c r="AB324">
        <f>HYPERLINK("https://klasma.github.io/Logging_1276/klagomålsmail/A 59769-2025 FSC-klagomål mail.docx", "A 59769-2025")</f>
        <v/>
      </c>
      <c r="AC324">
        <f>HYPERLINK("https://klasma.github.io/Logging_1276/tillsyn/A 59769-2025 tillsynsbegäran.docx", "A 59769-2025")</f>
        <v/>
      </c>
      <c r="AD324">
        <f>HYPERLINK("https://klasma.github.io/Logging_1276/tillsynsmail/A 59769-2025 tillsynsbegäran mail.docx", "A 59769-2025")</f>
        <v/>
      </c>
      <c r="AE324">
        <f>HYPERLINK("https://klasma.github.io/Logging_1276/fåglar/A 59769-2025 prioriterade fågelarter.docx", "A 59769-2025")</f>
        <v/>
      </c>
    </row>
    <row r="325" ht="15" customHeight="1">
      <c r="A325" t="inlineStr">
        <is>
          <t>A 42724-2023</t>
        </is>
      </c>
      <c r="B325" t="inlineStr">
        <is>
          <t>avverkningsanmälan</t>
        </is>
      </c>
      <c r="C325" t="inlineStr">
        <is>
          <t>Föryngringsavverkning</t>
        </is>
      </c>
      <c r="D325" s="1" t="n">
        <v>45176</v>
      </c>
      <c r="E325" s="1" t="n">
        <v>46312</v>
      </c>
      <c r="F325" t="inlineStr">
        <is>
          <t>SKÅNE LÄN</t>
        </is>
      </c>
      <c r="G325" t="inlineStr">
        <is>
          <t>HÖRBY</t>
        </is>
      </c>
      <c r="I325" t="n">
        <v>2.8</v>
      </c>
      <c r="J325" t="n">
        <v>1</v>
      </c>
      <c r="K325" t="n">
        <v>0</v>
      </c>
      <c r="L325" t="n">
        <v>0</v>
      </c>
      <c r="M325" t="n">
        <v>0</v>
      </c>
      <c r="N325" t="n">
        <v>1</v>
      </c>
      <c r="O325" t="n">
        <v>0</v>
      </c>
      <c r="P325" t="n">
        <v>0</v>
      </c>
      <c r="Q325" t="n">
        <v>1</v>
      </c>
      <c r="R325" t="n">
        <v>1</v>
      </c>
      <c r="S325" t="n">
        <v>2</v>
      </c>
      <c r="T325" t="n">
        <v>4</v>
      </c>
      <c r="U325" t="n">
        <v>0</v>
      </c>
      <c r="V325" s="2" t="inlineStr">
        <is>
          <t>Ask
Grönvit nattviol</t>
        </is>
      </c>
      <c r="W325">
        <f>HYPERLINK("https://klasma.github.io/Logging_1266/artfynd/A 42724-2023 artfynd.xlsx", "A 42724-2023")</f>
        <v/>
      </c>
      <c r="X325">
        <f>HYPERLINK("https://klasma.github.io/Logging_1266/kartor/A 42724-2023 karta.png", "A 42724-2023")</f>
        <v/>
      </c>
      <c r="Y325">
        <f>HYPERLINK("https://klasma.github.io/Logging_1266/kartor_geotiff/A 42724-2023 georefererad karta.tif", "A 42724-2023")</f>
        <v/>
      </c>
      <c r="AA325">
        <f>HYPERLINK("https://klasma.github.io/Logging_1266/klagomål/A 42724-2023 FSC-klagomål.docx", "A 42724-2023")</f>
        <v/>
      </c>
      <c r="AB325">
        <f>HYPERLINK("https://klasma.github.io/Logging_1266/klagomålsmail/A 42724-2023 FSC-klagomål mail.docx", "A 42724-2023")</f>
        <v/>
      </c>
      <c r="AC325">
        <f>HYPERLINK("https://klasma.github.io/Logging_1266/tillsyn/A 42724-2023 tillsynsbegäran.docx", "A 42724-2023")</f>
        <v/>
      </c>
      <c r="AD325">
        <f>HYPERLINK("https://klasma.github.io/Logging_1266/tillsynsmail/A 42724-2023 tillsynsbegäran mail.docx", "A 42724-2023")</f>
        <v/>
      </c>
    </row>
    <row r="326" ht="15" customHeight="1">
      <c r="A326" t="inlineStr">
        <is>
          <t>A 59876-2025</t>
        </is>
      </c>
      <c r="B326" t="inlineStr">
        <is>
          <t>avverkningsanmälan</t>
        </is>
      </c>
      <c r="C326" t="inlineStr">
        <is>
          <t>Föryngringsavverkning</t>
        </is>
      </c>
      <c r="D326" s="1" t="n">
        <v>45993</v>
      </c>
      <c r="E326" s="1" t="n">
        <v>46312</v>
      </c>
      <c r="F326" t="inlineStr">
        <is>
          <t>SKÅNE LÄN</t>
        </is>
      </c>
      <c r="G326" t="inlineStr">
        <is>
          <t>BJUV</t>
        </is>
      </c>
      <c r="I326" t="n">
        <v>4.2</v>
      </c>
      <c r="J326" t="n">
        <v>2</v>
      </c>
      <c r="K326" t="n">
        <v>0</v>
      </c>
      <c r="L326" t="n">
        <v>1</v>
      </c>
      <c r="M326" t="n">
        <v>0</v>
      </c>
      <c r="N326" t="n">
        <v>0</v>
      </c>
      <c r="O326" t="n">
        <v>0</v>
      </c>
      <c r="P326" t="n">
        <v>0</v>
      </c>
      <c r="Q326" t="n">
        <v>1</v>
      </c>
      <c r="R326" t="n">
        <v>0</v>
      </c>
      <c r="S326" t="n">
        <v>2</v>
      </c>
      <c r="T326" t="n">
        <v>2</v>
      </c>
      <c r="U326" t="n">
        <v>2</v>
      </c>
      <c r="V326" s="2" t="inlineStr">
        <is>
          <t>Entita
Röd glada</t>
        </is>
      </c>
      <c r="W326">
        <f>HYPERLINK("https://klasma.github.io/Logging_1260/artfynd/A 59876-2025 artfynd.xlsx", "A 59876-2025")</f>
        <v/>
      </c>
      <c r="X326">
        <f>HYPERLINK("https://klasma.github.io/Logging_1260/kartor/A 59876-2025 karta.png", "A 59876-2025")</f>
        <v/>
      </c>
      <c r="Y326">
        <f>HYPERLINK("https://klasma.github.io/Logging_1260/kartor_geotiff/A 59876-2025 georefererad karta.tif", "A 59876-2025")</f>
        <v/>
      </c>
      <c r="AA326">
        <f>HYPERLINK("https://klasma.github.io/Logging_1260/klagomål/A 59876-2025 FSC-klagomål.docx", "A 59876-2025")</f>
        <v/>
      </c>
      <c r="AB326">
        <f>HYPERLINK("https://klasma.github.io/Logging_1260/klagomålsmail/A 59876-2025 FSC-klagomål mail.docx", "A 59876-2025")</f>
        <v/>
      </c>
      <c r="AC326">
        <f>HYPERLINK("https://klasma.github.io/Logging_1260/tillsyn/A 59876-2025 tillsynsbegäran.docx", "A 59876-2025")</f>
        <v/>
      </c>
      <c r="AD326">
        <f>HYPERLINK("https://klasma.github.io/Logging_1260/tillsynsmail/A 59876-2025 tillsynsbegäran mail.docx", "A 59876-2025")</f>
        <v/>
      </c>
      <c r="AE326">
        <f>HYPERLINK("https://klasma.github.io/Logging_1260/fåglar/A 59876-2025 prioriterade fågelarter.docx", "A 59876-2025")</f>
        <v/>
      </c>
    </row>
    <row r="327" ht="15" customHeight="1">
      <c r="A327" t="inlineStr">
        <is>
          <t>A 824-2026</t>
        </is>
      </c>
      <c r="B327" t="inlineStr">
        <is>
          <t>avverkningsanmälan</t>
        </is>
      </c>
      <c r="C327" t="inlineStr">
        <is>
          <t>Föryngringsavverkning</t>
        </is>
      </c>
      <c r="D327" s="1" t="n">
        <v>46030</v>
      </c>
      <c r="E327" s="1" t="n">
        <v>46312</v>
      </c>
      <c r="F327" t="inlineStr">
        <is>
          <t>SKÅNE LÄN</t>
        </is>
      </c>
      <c r="G327" t="inlineStr">
        <is>
          <t>HÖRBY</t>
        </is>
      </c>
      <c r="H327" t="inlineStr">
        <is>
          <t>Sveaskog</t>
        </is>
      </c>
      <c r="I327" t="n">
        <v>3.1</v>
      </c>
      <c r="J327" t="n">
        <v>1</v>
      </c>
      <c r="K327" t="n">
        <v>0</v>
      </c>
      <c r="L327" t="n">
        <v>1</v>
      </c>
      <c r="M327" t="n">
        <v>1</v>
      </c>
      <c r="N327" t="n">
        <v>0</v>
      </c>
      <c r="O327" t="n">
        <v>0</v>
      </c>
      <c r="P327" t="n">
        <v>0</v>
      </c>
      <c r="Q327" t="n">
        <v>2</v>
      </c>
      <c r="R327" t="n">
        <v>1</v>
      </c>
      <c r="S327" t="n">
        <v>2</v>
      </c>
      <c r="T327" t="n">
        <v>3</v>
      </c>
      <c r="U327" t="n">
        <v>0</v>
      </c>
      <c r="V327" s="2" t="inlineStr">
        <is>
          <t>Hedblomster
Skogslysing</t>
        </is>
      </c>
      <c r="W327">
        <f>HYPERLINK("https://klasma.github.io/Logging_1266/artfynd/A 824-2026 artfynd.xlsx", "A 824-2026")</f>
        <v/>
      </c>
      <c r="X327">
        <f>HYPERLINK("https://klasma.github.io/Logging_1266/kartor/A 824-2026 karta.png", "A 824-2026")</f>
        <v/>
      </c>
      <c r="Y327">
        <f>HYPERLINK("https://klasma.github.io/Logging_1266/kartor_geotiff/A 824-2026 georefererad karta.tif", "A 824-2026")</f>
        <v/>
      </c>
      <c r="AA327">
        <f>HYPERLINK("https://klasma.github.io/Logging_1266/klagomål/A 824-2026 FSC-klagomål.docx", "A 824-2026")</f>
        <v/>
      </c>
      <c r="AB327">
        <f>HYPERLINK("https://klasma.github.io/Logging_1266/klagomålsmail/A 824-2026 FSC-klagomål mail.docx", "A 824-2026")</f>
        <v/>
      </c>
      <c r="AC327">
        <f>HYPERLINK("https://klasma.github.io/Logging_1266/tillsyn/A 824-2026 tillsynsbegäran.docx", "A 824-2026")</f>
        <v/>
      </c>
      <c r="AD327">
        <f>HYPERLINK("https://klasma.github.io/Logging_1266/tillsynsmail/A 824-2026 tillsynsbegäran mail.docx", "A 824-2026")</f>
        <v/>
      </c>
    </row>
    <row r="328" ht="15" customHeight="1">
      <c r="A328" t="inlineStr">
        <is>
          <t>A 20702-2023</t>
        </is>
      </c>
      <c r="B328" t="inlineStr">
        <is>
          <t>avverkningsanmälan</t>
        </is>
      </c>
      <c r="C328" t="inlineStr">
        <is>
          <t>Föryngringsavverkning</t>
        </is>
      </c>
      <c r="D328" s="1" t="n">
        <v>45058</v>
      </c>
      <c r="E328" s="1" t="n">
        <v>46312</v>
      </c>
      <c r="F328" t="inlineStr">
        <is>
          <t>SKÅNE LÄN</t>
        </is>
      </c>
      <c r="G328" t="inlineStr">
        <is>
          <t>KLIPPAN</t>
        </is>
      </c>
      <c r="I328" t="n">
        <v>5.9</v>
      </c>
      <c r="J328" t="n">
        <v>1</v>
      </c>
      <c r="K328" t="n">
        <v>0</v>
      </c>
      <c r="L328" t="n">
        <v>1</v>
      </c>
      <c r="M328" t="n">
        <v>0</v>
      </c>
      <c r="N328" t="n">
        <v>0</v>
      </c>
      <c r="O328" t="n">
        <v>0</v>
      </c>
      <c r="P328" t="n">
        <v>0</v>
      </c>
      <c r="Q328" t="n">
        <v>1</v>
      </c>
      <c r="R328" t="n">
        <v>0</v>
      </c>
      <c r="S328" t="n">
        <v>2</v>
      </c>
      <c r="T328" t="n">
        <v>2</v>
      </c>
      <c r="U328" t="n">
        <v>0</v>
      </c>
      <c r="V328" s="2" t="inlineStr">
        <is>
          <t>Svinrot
Grönvit nattviol</t>
        </is>
      </c>
      <c r="W328">
        <f>HYPERLINK("https://klasma.github.io/Logging_1276/artfynd/A 20702-2023 artfynd.xlsx", "A 20702-2023")</f>
        <v/>
      </c>
      <c r="X328">
        <f>HYPERLINK("https://klasma.github.io/Logging_1276/kartor/A 20702-2023 karta.png", "A 20702-2023")</f>
        <v/>
      </c>
      <c r="Y328">
        <f>HYPERLINK("https://klasma.github.io/Logging_1276/kartor_geotiff/A 20702-2023 georefererad karta.tif", "A 20702-2023")</f>
        <v/>
      </c>
      <c r="AA328">
        <f>HYPERLINK("https://klasma.github.io/Logging_1276/klagomål/A 20702-2023 FSC-klagomål.docx", "A 20702-2023")</f>
        <v/>
      </c>
      <c r="AB328">
        <f>HYPERLINK("https://klasma.github.io/Logging_1276/klagomålsmail/A 20702-2023 FSC-klagomål mail.docx", "A 20702-2023")</f>
        <v/>
      </c>
      <c r="AC328">
        <f>HYPERLINK("https://klasma.github.io/Logging_1276/tillsyn/A 20702-2023 tillsynsbegäran.docx", "A 20702-2023")</f>
        <v/>
      </c>
      <c r="AD328">
        <f>HYPERLINK("https://klasma.github.io/Logging_1276/tillsynsmail/A 20702-2023 tillsynsbegäran mail.docx", "A 20702-2023")</f>
        <v/>
      </c>
    </row>
    <row r="329" ht="15" customHeight="1">
      <c r="A329" t="inlineStr">
        <is>
          <t>A 5166-2026</t>
        </is>
      </c>
      <c r="B329" t="inlineStr">
        <is>
          <t>avverkningsanmälan</t>
        </is>
      </c>
      <c r="C329" t="inlineStr">
        <is>
          <t>Föryngringsavverkning</t>
        </is>
      </c>
      <c r="D329" s="1" t="n">
        <v>46049</v>
      </c>
      <c r="E329" s="1" t="n">
        <v>46312</v>
      </c>
      <c r="F329" t="inlineStr">
        <is>
          <t>SKÅNE LÄN</t>
        </is>
      </c>
      <c r="G329" t="inlineStr">
        <is>
          <t>SJÖBO</t>
        </is>
      </c>
      <c r="H329" t="inlineStr">
        <is>
          <t>Övriga Aktiebolag</t>
        </is>
      </c>
      <c r="I329" t="n">
        <v>8.5</v>
      </c>
      <c r="J329" t="n">
        <v>1</v>
      </c>
      <c r="K329" t="n">
        <v>1</v>
      </c>
      <c r="L329" t="n">
        <v>1</v>
      </c>
      <c r="M329" t="n">
        <v>0</v>
      </c>
      <c r="N329" t="n">
        <v>0</v>
      </c>
      <c r="O329" t="n">
        <v>0</v>
      </c>
      <c r="P329" t="n">
        <v>0</v>
      </c>
      <c r="Q329" t="n">
        <v>1</v>
      </c>
      <c r="R329" t="n">
        <v>0</v>
      </c>
      <c r="S329" t="n">
        <v>2</v>
      </c>
      <c r="T329" t="n">
        <v>2</v>
      </c>
      <c r="U329" t="n">
        <v>1</v>
      </c>
      <c r="V329" s="2" t="inlineStr">
        <is>
          <t>Entita
Blomkålssvamp</t>
        </is>
      </c>
      <c r="W329">
        <f>HYPERLINK("https://klasma.github.io/Logging_1265/artfynd/A 5166-2026 artfynd.xlsx", "A 5166-2026")</f>
        <v/>
      </c>
      <c r="X329">
        <f>HYPERLINK("https://klasma.github.io/Logging_1265/kartor/A 5166-2026 karta.png", "A 5166-2026")</f>
        <v/>
      </c>
      <c r="Y329">
        <f>HYPERLINK("https://klasma.github.io/Logging_1265/kartor_geotiff/A 5166-2026 georefererad karta.tif", "A 5166-2026")</f>
        <v/>
      </c>
      <c r="AA329">
        <f>HYPERLINK("https://klasma.github.io/Logging_1265/klagomål/A 5166-2026 FSC-klagomål.docx", "A 5166-2026")</f>
        <v/>
      </c>
      <c r="AB329">
        <f>HYPERLINK("https://klasma.github.io/Logging_1265/klagomålsmail/A 5166-2026 FSC-klagomål mail.docx", "A 5166-2026")</f>
        <v/>
      </c>
      <c r="AC329">
        <f>HYPERLINK("https://klasma.github.io/Logging_1265/tillsyn/A 5166-2026 tillsynsbegäran.docx", "A 5166-2026")</f>
        <v/>
      </c>
      <c r="AD329">
        <f>HYPERLINK("https://klasma.github.io/Logging_1265/tillsynsmail/A 5166-2026 tillsynsbegäran mail.docx", "A 5166-2026")</f>
        <v/>
      </c>
      <c r="AE329">
        <f>HYPERLINK("https://klasma.github.io/Logging_1265/fåglar/A 5166-2026 prioriterade fågelarter.docx", "A 5166-2026")</f>
        <v/>
      </c>
    </row>
    <row r="330" ht="15" customHeight="1">
      <c r="A330" t="inlineStr">
        <is>
          <t>A 20426-2023</t>
        </is>
      </c>
      <c r="B330" t="inlineStr">
        <is>
          <t>avverkningsanmälan</t>
        </is>
      </c>
      <c r="C330" t="inlineStr">
        <is>
          <t>Föryngringsavverkning</t>
        </is>
      </c>
      <c r="D330" s="1" t="n">
        <v>45056</v>
      </c>
      <c r="E330" s="1" t="n">
        <v>46312</v>
      </c>
      <c r="F330" t="inlineStr">
        <is>
          <t>SKÅNE LÄN</t>
        </is>
      </c>
      <c r="G330" t="inlineStr">
        <is>
          <t>BROMÖLLA</t>
        </is>
      </c>
      <c r="I330" t="n">
        <v>5.2</v>
      </c>
      <c r="J330" t="n">
        <v>0</v>
      </c>
      <c r="K330" t="n">
        <v>0</v>
      </c>
      <c r="L330" t="n">
        <v>2</v>
      </c>
      <c r="M330" t="n">
        <v>0</v>
      </c>
      <c r="N330" t="n">
        <v>0</v>
      </c>
      <c r="O330" t="n">
        <v>0</v>
      </c>
      <c r="P330" t="n">
        <v>0</v>
      </c>
      <c r="Q330" t="n">
        <v>2</v>
      </c>
      <c r="R330" t="n">
        <v>0</v>
      </c>
      <c r="S330" t="n">
        <v>2</v>
      </c>
      <c r="T330" t="n">
        <v>2</v>
      </c>
      <c r="U330" t="n">
        <v>2</v>
      </c>
      <c r="V330" s="2" t="inlineStr">
        <is>
          <t>Bokvårtlav
Hålnunneört</t>
        </is>
      </c>
      <c r="W330">
        <f>HYPERLINK("https://klasma.github.io/Logging_1272/artfynd/A 20426-2023 artfynd.xlsx", "A 20426-2023")</f>
        <v/>
      </c>
      <c r="X330">
        <f>HYPERLINK("https://klasma.github.io/Logging_1272/kartor/A 20426-2023 karta.png", "A 20426-2023")</f>
        <v/>
      </c>
      <c r="Y330">
        <f>HYPERLINK("https://klasma.github.io/Logging_1272/kartor_geotiff/A 20426-2023 georefererad karta.tif", "A 20426-2023")</f>
        <v/>
      </c>
      <c r="AA330">
        <f>HYPERLINK("https://klasma.github.io/Logging_1272/klagomål/A 20426-2023 FSC-klagomål.docx", "A 20426-2023")</f>
        <v/>
      </c>
      <c r="AB330">
        <f>HYPERLINK("https://klasma.github.io/Logging_1272/klagomålsmail/A 20426-2023 FSC-klagomål mail.docx", "A 20426-2023")</f>
        <v/>
      </c>
      <c r="AC330">
        <f>HYPERLINK("https://klasma.github.io/Logging_1272/tillsyn/A 20426-2023 tillsynsbegäran.docx", "A 20426-2023")</f>
        <v/>
      </c>
      <c r="AD330">
        <f>HYPERLINK("https://klasma.github.io/Logging_1272/tillsynsmail/A 20426-2023 tillsynsbegäran mail.docx", "A 20426-2023")</f>
        <v/>
      </c>
    </row>
    <row r="331" ht="15" customHeight="1">
      <c r="A331" t="inlineStr">
        <is>
          <t>A 16340-2024</t>
        </is>
      </c>
      <c r="B331" t="inlineStr">
        <is>
          <t>avverkningsanmälan</t>
        </is>
      </c>
      <c r="C331" t="inlineStr">
        <is>
          <t>Föryngringsavverkning</t>
        </is>
      </c>
      <c r="D331" s="1" t="n">
        <v>45407</v>
      </c>
      <c r="E331" s="1" t="n">
        <v>46312</v>
      </c>
      <c r="F331" t="inlineStr">
        <is>
          <t>SKÅNE LÄN</t>
        </is>
      </c>
      <c r="G331" t="inlineStr">
        <is>
          <t>SJÖBO</t>
        </is>
      </c>
      <c r="I331" t="n">
        <v>1.9</v>
      </c>
      <c r="J331" t="n">
        <v>2</v>
      </c>
      <c r="K331" t="n">
        <v>0</v>
      </c>
      <c r="L331" t="n">
        <v>0</v>
      </c>
      <c r="M331" t="n">
        <v>0</v>
      </c>
      <c r="N331" t="n">
        <v>0</v>
      </c>
      <c r="O331" t="n">
        <v>0</v>
      </c>
      <c r="P331" t="n">
        <v>0</v>
      </c>
      <c r="Q331" t="n">
        <v>0</v>
      </c>
      <c r="R331" t="n">
        <v>0</v>
      </c>
      <c r="S331" t="n">
        <v>2</v>
      </c>
      <c r="T331" t="n">
        <v>2</v>
      </c>
      <c r="U331" t="n">
        <v>0</v>
      </c>
      <c r="V331" s="2" t="inlineStr">
        <is>
          <t>Lövgroda
Större vattensalamander</t>
        </is>
      </c>
      <c r="W331">
        <f>HYPERLINK("https://klasma.github.io/Logging_1265/artfynd/A 16340-2024 artfynd.xlsx", "A 16340-2024")</f>
        <v/>
      </c>
      <c r="X331">
        <f>HYPERLINK("https://klasma.github.io/Logging_1265/kartor/A 16340-2024 karta.png", "A 16340-2024")</f>
        <v/>
      </c>
      <c r="Y331">
        <f>HYPERLINK("https://klasma.github.io/Logging_1265/kartor_geotiff/A 16340-2024 georefererad karta.tif", "A 16340-2024")</f>
        <v/>
      </c>
      <c r="AA331">
        <f>HYPERLINK("https://klasma.github.io/Logging_1265/klagomål/A 16340-2024 FSC-klagomål.docx", "A 16340-2024")</f>
        <v/>
      </c>
      <c r="AB331">
        <f>HYPERLINK("https://klasma.github.io/Logging_1265/klagomålsmail/A 16340-2024 FSC-klagomål mail.docx", "A 16340-2024")</f>
        <v/>
      </c>
      <c r="AC331">
        <f>HYPERLINK("https://klasma.github.io/Logging_1265/tillsyn/A 16340-2024 tillsynsbegäran.docx", "A 16340-2024")</f>
        <v/>
      </c>
      <c r="AD331">
        <f>HYPERLINK("https://klasma.github.io/Logging_1265/tillsynsmail/A 16340-2024 tillsynsbegäran mail.docx", "A 16340-2024")</f>
        <v/>
      </c>
    </row>
    <row r="332" ht="15" customHeight="1">
      <c r="A332" t="inlineStr">
        <is>
          <t>A 26585-2026</t>
        </is>
      </c>
      <c r="B332" t="inlineStr">
        <is>
          <t>avverkningsanmälan</t>
        </is>
      </c>
      <c r="C332" t="inlineStr">
        <is>
          <t>Föryngringsavverkning</t>
        </is>
      </c>
      <c r="D332" s="1" t="n">
        <v>46183</v>
      </c>
      <c r="E332" s="1" t="n">
        <v>46312</v>
      </c>
      <c r="F332" t="inlineStr">
        <is>
          <t>SKÅNE LÄN</t>
        </is>
      </c>
      <c r="G332" t="inlineStr">
        <is>
          <t>ÖRKELLJUNGA</t>
        </is>
      </c>
      <c r="I332" t="n">
        <v>1.4</v>
      </c>
      <c r="J332" t="n">
        <v>2</v>
      </c>
      <c r="K332" t="n">
        <v>0</v>
      </c>
      <c r="L332" t="n">
        <v>0</v>
      </c>
      <c r="M332" t="n">
        <v>0</v>
      </c>
      <c r="N332" t="n">
        <v>0</v>
      </c>
      <c r="O332" t="n">
        <v>0</v>
      </c>
      <c r="P332" t="n">
        <v>0</v>
      </c>
      <c r="Q332" t="n">
        <v>0</v>
      </c>
      <c r="R332" t="n">
        <v>0</v>
      </c>
      <c r="S332" t="n">
        <v>2</v>
      </c>
      <c r="T332" t="n">
        <v>2</v>
      </c>
      <c r="U332" t="n">
        <v>0</v>
      </c>
      <c r="V332" s="2" t="inlineStr">
        <is>
          <t>Spillkråka
Röd glada</t>
        </is>
      </c>
      <c r="W332">
        <f>HYPERLINK("https://klasma.github.io/Logging_1257/artfynd/A 26585-2026 artfynd.xlsx", "A 26585-2026")</f>
        <v/>
      </c>
      <c r="X332">
        <f>HYPERLINK("https://klasma.github.io/Logging_1257/kartor/A 26585-2026 karta.png", "A 26585-2026")</f>
        <v/>
      </c>
      <c r="Y332">
        <f>HYPERLINK("https://klasma.github.io/Logging_1257/kartor_geotiff/A 26585-2026 georefererad karta.tif", "A 26585-2026")</f>
        <v/>
      </c>
      <c r="AA332">
        <f>HYPERLINK("https://klasma.github.io/Logging_1257/klagomål/A 26585-2026 FSC-klagomål.docx", "A 26585-2026")</f>
        <v/>
      </c>
      <c r="AB332">
        <f>HYPERLINK("https://klasma.github.io/Logging_1257/klagomålsmail/A 26585-2026 FSC-klagomål mail.docx", "A 26585-2026")</f>
        <v/>
      </c>
      <c r="AC332">
        <f>HYPERLINK("https://klasma.github.io/Logging_1257/tillsyn/A 26585-2026 tillsynsbegäran.docx", "A 26585-2026")</f>
        <v/>
      </c>
      <c r="AD332">
        <f>HYPERLINK("https://klasma.github.io/Logging_1257/tillsynsmail/A 26585-2026 tillsynsbegäran mail.docx", "A 26585-2026")</f>
        <v/>
      </c>
      <c r="AE332">
        <f>HYPERLINK("https://klasma.github.io/Logging_1257/fåglar/A 26585-2026 prioriterade fågelarter.docx", "A 26585-2026")</f>
        <v/>
      </c>
    </row>
    <row r="333" ht="15" customHeight="1">
      <c r="A333" t="inlineStr">
        <is>
          <t>A 14395-2026</t>
        </is>
      </c>
      <c r="B333" t="inlineStr">
        <is>
          <t>avverkningsanmälan</t>
        </is>
      </c>
      <c r="C333" t="inlineStr">
        <is>
          <t>Föryngringsavverkning</t>
        </is>
      </c>
      <c r="D333" s="1" t="n">
        <v>46100</v>
      </c>
      <c r="E333" s="1" t="n">
        <v>46312</v>
      </c>
      <c r="F333" t="inlineStr">
        <is>
          <t>SKÅNE LÄN</t>
        </is>
      </c>
      <c r="G333" t="inlineStr">
        <is>
          <t>ESLÖV</t>
        </is>
      </c>
      <c r="I333" t="n">
        <v>4.9</v>
      </c>
      <c r="J333" t="n">
        <v>0</v>
      </c>
      <c r="K333" t="n">
        <v>1</v>
      </c>
      <c r="L333" t="n">
        <v>0</v>
      </c>
      <c r="M333" t="n">
        <v>0</v>
      </c>
      <c r="N333" t="n">
        <v>1</v>
      </c>
      <c r="O333" t="n">
        <v>0</v>
      </c>
      <c r="P333" t="n">
        <v>0</v>
      </c>
      <c r="Q333" t="n">
        <v>1</v>
      </c>
      <c r="R333" t="n">
        <v>1</v>
      </c>
      <c r="S333" t="n">
        <v>2</v>
      </c>
      <c r="T333" t="n">
        <v>4</v>
      </c>
      <c r="U333" t="n">
        <v>0</v>
      </c>
      <c r="V333" s="2" t="inlineStr">
        <is>
          <t>Ask
Kransrams</t>
        </is>
      </c>
      <c r="W333">
        <f>HYPERLINK("https://klasma.github.io/Logging_1285/artfynd/A 14395-2026 artfynd.xlsx", "A 14395-2026")</f>
        <v/>
      </c>
      <c r="X333">
        <f>HYPERLINK("https://klasma.github.io/Logging_1285/kartor/A 14395-2026 karta.png", "A 14395-2026")</f>
        <v/>
      </c>
      <c r="Y333">
        <f>HYPERLINK("https://klasma.github.io/Logging_1285/kartor_geotiff/A 14395-2026 georefererad karta.tif", "A 14395-2026")</f>
        <v/>
      </c>
      <c r="AA333">
        <f>HYPERLINK("https://klasma.github.io/Logging_1285/klagomål/A 14395-2026 FSC-klagomål.docx", "A 14395-2026")</f>
        <v/>
      </c>
      <c r="AB333">
        <f>HYPERLINK("https://klasma.github.io/Logging_1285/klagomålsmail/A 14395-2026 FSC-klagomål mail.docx", "A 14395-2026")</f>
        <v/>
      </c>
      <c r="AC333">
        <f>HYPERLINK("https://klasma.github.io/Logging_1285/tillsyn/A 14395-2026 tillsynsbegäran.docx", "A 14395-2026")</f>
        <v/>
      </c>
      <c r="AD333">
        <f>HYPERLINK("https://klasma.github.io/Logging_1285/tillsynsmail/A 14395-2026 tillsynsbegäran mail.docx", "A 14395-2026")</f>
        <v/>
      </c>
    </row>
    <row r="334" ht="15" customHeight="1">
      <c r="A334" t="inlineStr">
        <is>
          <t>A 44135-2024</t>
        </is>
      </c>
      <c r="B334" t="inlineStr">
        <is>
          <t>avverkningsanmälan</t>
        </is>
      </c>
      <c r="C334" t="inlineStr">
        <is>
          <t>Föryngringsavverkning</t>
        </is>
      </c>
      <c r="D334" s="1" t="n">
        <v>45572</v>
      </c>
      <c r="E334" s="1" t="n">
        <v>46312</v>
      </c>
      <c r="F334" t="inlineStr">
        <is>
          <t>SKÅNE LÄN</t>
        </is>
      </c>
      <c r="G334" t="inlineStr">
        <is>
          <t>HÖRBY</t>
        </is>
      </c>
      <c r="I334" t="n">
        <v>0.6</v>
      </c>
      <c r="J334" t="n">
        <v>2</v>
      </c>
      <c r="K334" t="n">
        <v>0</v>
      </c>
      <c r="L334" t="n">
        <v>1</v>
      </c>
      <c r="M334" t="n">
        <v>0</v>
      </c>
      <c r="N334" t="n">
        <v>0</v>
      </c>
      <c r="O334" t="n">
        <v>0</v>
      </c>
      <c r="P334" t="n">
        <v>0</v>
      </c>
      <c r="Q334" t="n">
        <v>1</v>
      </c>
      <c r="R334" t="n">
        <v>0</v>
      </c>
      <c r="S334" t="n">
        <v>2</v>
      </c>
      <c r="T334" t="n">
        <v>2</v>
      </c>
      <c r="U334" t="n">
        <v>0</v>
      </c>
      <c r="V334" s="2" t="inlineStr">
        <is>
          <t>Ladusvala
Vanlig padda</t>
        </is>
      </c>
      <c r="W334">
        <f>HYPERLINK("https://klasma.github.io/Logging_1266/artfynd/A 44135-2024 artfynd.xlsx", "A 44135-2024")</f>
        <v/>
      </c>
      <c r="X334">
        <f>HYPERLINK("https://klasma.github.io/Logging_1266/kartor/A 44135-2024 karta.png", "A 44135-2024")</f>
        <v/>
      </c>
      <c r="Y334">
        <f>HYPERLINK("https://klasma.github.io/Logging_1266/kartor_geotiff/A 44135-2024 georefererad karta.tif", "A 44135-2024")</f>
        <v/>
      </c>
      <c r="AA334">
        <f>HYPERLINK("https://klasma.github.io/Logging_1266/klagomål/A 44135-2024 FSC-klagomål.docx", "A 44135-2024")</f>
        <v/>
      </c>
      <c r="AB334">
        <f>HYPERLINK("https://klasma.github.io/Logging_1266/klagomålsmail/A 44135-2024 FSC-klagomål mail.docx", "A 44135-2024")</f>
        <v/>
      </c>
      <c r="AC334">
        <f>HYPERLINK("https://klasma.github.io/Logging_1266/tillsyn/A 44135-2024 tillsynsbegäran.docx", "A 44135-2024")</f>
        <v/>
      </c>
      <c r="AD334">
        <f>HYPERLINK("https://klasma.github.io/Logging_1266/tillsynsmail/A 44135-2024 tillsynsbegäran mail.docx", "A 44135-2024")</f>
        <v/>
      </c>
    </row>
    <row r="335" ht="15" customHeight="1">
      <c r="A335" t="inlineStr">
        <is>
          <t>A 44851-2025</t>
        </is>
      </c>
      <c r="B335" t="inlineStr">
        <is>
          <t>avverkningsanmälan</t>
        </is>
      </c>
      <c r="C335" t="inlineStr">
        <is>
          <t>Föryngringsavverkning</t>
        </is>
      </c>
      <c r="D335" s="1" t="n">
        <v>45918</v>
      </c>
      <c r="E335" s="1" t="n">
        <v>46312</v>
      </c>
      <c r="F335" t="inlineStr">
        <is>
          <t>SKÅNE LÄN</t>
        </is>
      </c>
      <c r="G335" t="inlineStr">
        <is>
          <t>OSBY</t>
        </is>
      </c>
      <c r="I335" t="n">
        <v>5.7</v>
      </c>
      <c r="J335" t="n">
        <v>2</v>
      </c>
      <c r="K335" t="n">
        <v>0</v>
      </c>
      <c r="L335" t="n">
        <v>1</v>
      </c>
      <c r="M335" t="n">
        <v>0</v>
      </c>
      <c r="N335" t="n">
        <v>0</v>
      </c>
      <c r="O335" t="n">
        <v>0</v>
      </c>
      <c r="P335" t="n">
        <v>0</v>
      </c>
      <c r="Q335" t="n">
        <v>1</v>
      </c>
      <c r="R335" t="n">
        <v>0</v>
      </c>
      <c r="S335" t="n">
        <v>2</v>
      </c>
      <c r="T335" t="n">
        <v>3</v>
      </c>
      <c r="U335" t="n">
        <v>3</v>
      </c>
      <c r="V335" s="2" t="inlineStr">
        <is>
          <t>Talltita
Kungsfågel</t>
        </is>
      </c>
      <c r="W335">
        <f>HYPERLINK("https://klasma.github.io/Logging_1273/artfynd/A 44851-2025 artfynd.xlsx", "A 44851-2025")</f>
        <v/>
      </c>
      <c r="X335">
        <f>HYPERLINK("https://klasma.github.io/Logging_1273/kartor/A 44851-2025 karta.png", "A 44851-2025")</f>
        <v/>
      </c>
      <c r="Y335">
        <f>HYPERLINK("https://klasma.github.io/Logging_1273/kartor_geotiff/A 44851-2025 georefererad karta.tif", "A 44851-2025")</f>
        <v/>
      </c>
      <c r="AA335">
        <f>HYPERLINK("https://klasma.github.io/Logging_1273/klagomål/A 44851-2025 FSC-klagomål.docx", "A 44851-2025")</f>
        <v/>
      </c>
      <c r="AB335">
        <f>HYPERLINK("https://klasma.github.io/Logging_1273/klagomålsmail/A 44851-2025 FSC-klagomål mail.docx", "A 44851-2025")</f>
        <v/>
      </c>
      <c r="AC335">
        <f>HYPERLINK("https://klasma.github.io/Logging_1273/tillsyn/A 44851-2025 tillsynsbegäran.docx", "A 44851-2025")</f>
        <v/>
      </c>
      <c r="AD335">
        <f>HYPERLINK("https://klasma.github.io/Logging_1273/tillsynsmail/A 44851-2025 tillsynsbegäran mail.docx", "A 44851-2025")</f>
        <v/>
      </c>
      <c r="AE335">
        <f>HYPERLINK("https://klasma.github.io/Logging_1273/fåglar/A 44851-2025 prioriterade fågelarter.docx", "A 44851-2025")</f>
        <v/>
      </c>
    </row>
    <row r="336" ht="15" customHeight="1">
      <c r="A336" t="inlineStr">
        <is>
          <t>A 19500-2024</t>
        </is>
      </c>
      <c r="B336" t="inlineStr">
        <is>
          <t>avverkningsanmälan</t>
        </is>
      </c>
      <c r="C336" t="inlineStr">
        <is>
          <t>Föryngringsavverkning</t>
        </is>
      </c>
      <c r="D336" s="1" t="n">
        <v>45429</v>
      </c>
      <c r="E336" s="1" t="n">
        <v>46312</v>
      </c>
      <c r="F336" t="inlineStr">
        <is>
          <t>SKÅNE LÄN</t>
        </is>
      </c>
      <c r="G336" t="inlineStr">
        <is>
          <t>TOMELILLA</t>
        </is>
      </c>
      <c r="I336" t="n">
        <v>3.2</v>
      </c>
      <c r="J336" t="n">
        <v>0</v>
      </c>
      <c r="K336" t="n">
        <v>0</v>
      </c>
      <c r="L336" t="n">
        <v>0</v>
      </c>
      <c r="M336" t="n">
        <v>0</v>
      </c>
      <c r="N336" t="n">
        <v>0</v>
      </c>
      <c r="O336" t="n">
        <v>0</v>
      </c>
      <c r="P336" t="n">
        <v>0</v>
      </c>
      <c r="Q336" t="n">
        <v>0</v>
      </c>
      <c r="R336" t="n">
        <v>0</v>
      </c>
      <c r="S336" t="n">
        <v>2</v>
      </c>
      <c r="T336" t="n">
        <v>2</v>
      </c>
      <c r="U336" t="n">
        <v>2</v>
      </c>
      <c r="V336" s="2" t="inlineStr">
        <is>
          <t>Blåbär
Buskstjärnblomma</t>
        </is>
      </c>
      <c r="W336">
        <f>HYPERLINK("https://klasma.github.io/Logging_1270/artfynd/A 19500-2024 artfynd.xlsx", "A 19500-2024")</f>
        <v/>
      </c>
      <c r="X336">
        <f>HYPERLINK("https://klasma.github.io/Logging_1270/kartor/A 19500-2024 karta.png", "A 19500-2024")</f>
        <v/>
      </c>
      <c r="Y336">
        <f>HYPERLINK("https://klasma.github.io/Logging_1270/kartor_geotiff/A 19500-2024 georefererad karta.tif", "A 19500-2024")</f>
        <v/>
      </c>
      <c r="AA336">
        <f>HYPERLINK("https://klasma.github.io/Logging_1270/klagomål/A 19500-2024 FSC-klagomål.docx", "A 19500-2024")</f>
        <v/>
      </c>
      <c r="AB336">
        <f>HYPERLINK("https://klasma.github.io/Logging_1270/klagomålsmail/A 19500-2024 FSC-klagomål mail.docx", "A 19500-2024")</f>
        <v/>
      </c>
      <c r="AC336">
        <f>HYPERLINK("https://klasma.github.io/Logging_1270/tillsyn/A 19500-2024 tillsynsbegäran.docx", "A 19500-2024")</f>
        <v/>
      </c>
      <c r="AD336">
        <f>HYPERLINK("https://klasma.github.io/Logging_1270/tillsynsmail/A 19500-2024 tillsynsbegäran mail.docx", "A 19500-2024")</f>
        <v/>
      </c>
    </row>
    <row r="337" ht="15" customHeight="1">
      <c r="A337" t="inlineStr">
        <is>
          <t>A 6314-2023</t>
        </is>
      </c>
      <c r="B337" t="inlineStr">
        <is>
          <t>avverkningsanmälan</t>
        </is>
      </c>
      <c r="C337" t="inlineStr">
        <is>
          <t>Föryngringsavverkning</t>
        </is>
      </c>
      <c r="D337" s="1" t="n">
        <v>44965</v>
      </c>
      <c r="E337" s="1" t="n">
        <v>46312</v>
      </c>
      <c r="F337" t="inlineStr">
        <is>
          <t>SKÅNE LÄN</t>
        </is>
      </c>
      <c r="G337" t="inlineStr">
        <is>
          <t>ÖSTRA GÖINGE</t>
        </is>
      </c>
      <c r="I337" t="n">
        <v>2.1</v>
      </c>
      <c r="J337" t="n">
        <v>2</v>
      </c>
      <c r="K337" t="n">
        <v>0</v>
      </c>
      <c r="L337" t="n">
        <v>0</v>
      </c>
      <c r="M337" t="n">
        <v>0</v>
      </c>
      <c r="N337" t="n">
        <v>0</v>
      </c>
      <c r="O337" t="n">
        <v>0</v>
      </c>
      <c r="P337" t="n">
        <v>0</v>
      </c>
      <c r="Q337" t="n">
        <v>0</v>
      </c>
      <c r="R337" t="n">
        <v>0</v>
      </c>
      <c r="S337" t="n">
        <v>2</v>
      </c>
      <c r="T337" t="n">
        <v>2</v>
      </c>
      <c r="U337" t="n">
        <v>2</v>
      </c>
      <c r="V337" s="2" t="inlineStr">
        <is>
          <t>Skogsduva
Svartvit flugsnappare</t>
        </is>
      </c>
      <c r="W337">
        <f>HYPERLINK("https://klasma.github.io/Logging_1256/artfynd/A 6314-2023 artfynd.xlsx", "A 6314-2023")</f>
        <v/>
      </c>
      <c r="X337">
        <f>HYPERLINK("https://klasma.github.io/Logging_1256/kartor/A 6314-2023 karta.png", "A 6314-2023")</f>
        <v/>
      </c>
      <c r="Y337">
        <f>HYPERLINK("https://klasma.github.io/Logging_1256/kartor_geotiff/A 6314-2023 georefererad karta.tif", "A 6314-2023")</f>
        <v/>
      </c>
      <c r="AA337">
        <f>HYPERLINK("https://klasma.github.io/Logging_1256/klagomål/A 6314-2023 FSC-klagomål.docx", "A 6314-2023")</f>
        <v/>
      </c>
      <c r="AB337">
        <f>HYPERLINK("https://klasma.github.io/Logging_1256/klagomålsmail/A 6314-2023 FSC-klagomål mail.docx", "A 6314-2023")</f>
        <v/>
      </c>
      <c r="AC337">
        <f>HYPERLINK("https://klasma.github.io/Logging_1256/tillsyn/A 6314-2023 tillsynsbegäran.docx", "A 6314-2023")</f>
        <v/>
      </c>
      <c r="AD337">
        <f>HYPERLINK("https://klasma.github.io/Logging_1256/tillsynsmail/A 6314-2023 tillsynsbegäran mail.docx", "A 6314-2023")</f>
        <v/>
      </c>
    </row>
    <row r="338" ht="15" customHeight="1">
      <c r="A338" t="inlineStr">
        <is>
          <t>A 8329-2026</t>
        </is>
      </c>
      <c r="B338" t="inlineStr">
        <is>
          <t>avverkningsanmälan</t>
        </is>
      </c>
      <c r="C338" t="inlineStr">
        <is>
          <t>Föryngringsavverkning</t>
        </is>
      </c>
      <c r="D338" s="1" t="n">
        <v>46064</v>
      </c>
      <c r="E338" s="1" t="n">
        <v>46312</v>
      </c>
      <c r="F338" t="inlineStr">
        <is>
          <t>SKÅNE LÄN</t>
        </is>
      </c>
      <c r="G338" t="inlineStr">
        <is>
          <t>HÖÖR</t>
        </is>
      </c>
      <c r="I338" t="n">
        <v>2.2</v>
      </c>
      <c r="J338" t="n">
        <v>2</v>
      </c>
      <c r="K338" t="n">
        <v>0</v>
      </c>
      <c r="L338" t="n">
        <v>1</v>
      </c>
      <c r="M338" t="n">
        <v>0</v>
      </c>
      <c r="N338" t="n">
        <v>0</v>
      </c>
      <c r="O338" t="n">
        <v>0</v>
      </c>
      <c r="P338" t="n">
        <v>0</v>
      </c>
      <c r="Q338" t="n">
        <v>1</v>
      </c>
      <c r="R338" t="n">
        <v>0</v>
      </c>
      <c r="S338" t="n">
        <v>2</v>
      </c>
      <c r="T338" t="n">
        <v>2</v>
      </c>
      <c r="U338" t="n">
        <v>2</v>
      </c>
      <c r="V338" s="2" t="inlineStr">
        <is>
          <t>Grönsångare
Spillkråka</t>
        </is>
      </c>
      <c r="W338">
        <f>HYPERLINK("https://klasma.github.io/Logging_1267/artfynd/A 8329-2026 artfynd.xlsx", "A 8329-2026")</f>
        <v/>
      </c>
      <c r="X338">
        <f>HYPERLINK("https://klasma.github.io/Logging_1267/kartor/A 8329-2026 karta.png", "A 8329-2026")</f>
        <v/>
      </c>
      <c r="Y338">
        <f>HYPERLINK("https://klasma.github.io/Logging_1267/kartor_geotiff/A 8329-2026 georefererad karta.tif", "A 8329-2026")</f>
        <v/>
      </c>
      <c r="AA338">
        <f>HYPERLINK("https://klasma.github.io/Logging_1267/klagomål/A 8329-2026 FSC-klagomål.docx", "A 8329-2026")</f>
        <v/>
      </c>
      <c r="AB338">
        <f>HYPERLINK("https://klasma.github.io/Logging_1267/klagomålsmail/A 8329-2026 FSC-klagomål mail.docx", "A 8329-2026")</f>
        <v/>
      </c>
      <c r="AC338">
        <f>HYPERLINK("https://klasma.github.io/Logging_1267/tillsyn/A 8329-2026 tillsynsbegäran.docx", "A 8329-2026")</f>
        <v/>
      </c>
      <c r="AD338">
        <f>HYPERLINK("https://klasma.github.io/Logging_1267/tillsynsmail/A 8329-2026 tillsynsbegäran mail.docx", "A 8329-2026")</f>
        <v/>
      </c>
      <c r="AE338">
        <f>HYPERLINK("https://klasma.github.io/Logging_1267/fåglar/A 8329-2026 prioriterade fågelarter.docx", "A 8329-2026")</f>
        <v/>
      </c>
    </row>
    <row r="339" ht="15" customHeight="1">
      <c r="A339" t="inlineStr">
        <is>
          <t>A 27495-2026</t>
        </is>
      </c>
      <c r="B339" t="inlineStr">
        <is>
          <t>avverkningsanmälan</t>
        </is>
      </c>
      <c r="C339" t="inlineStr">
        <is>
          <t>Föryngringsavverkning</t>
        </is>
      </c>
      <c r="D339" s="1" t="n">
        <v>46189</v>
      </c>
      <c r="E339" s="1" t="n">
        <v>46312</v>
      </c>
      <c r="F339" t="inlineStr">
        <is>
          <t>SKÅNE LÄN</t>
        </is>
      </c>
      <c r="G339" t="inlineStr">
        <is>
          <t>OSBY</t>
        </is>
      </c>
      <c r="H339" t="inlineStr">
        <is>
          <t>Sveaskog</t>
        </is>
      </c>
      <c r="I339" t="n">
        <v>3</v>
      </c>
      <c r="J339" t="n">
        <v>2</v>
      </c>
      <c r="K339" t="n">
        <v>0</v>
      </c>
      <c r="L339" t="n">
        <v>1</v>
      </c>
      <c r="M339" t="n">
        <v>0</v>
      </c>
      <c r="N339" t="n">
        <v>0</v>
      </c>
      <c r="O339" t="n">
        <v>0</v>
      </c>
      <c r="P339" t="n">
        <v>0</v>
      </c>
      <c r="Q339" t="n">
        <v>1</v>
      </c>
      <c r="R339" t="n">
        <v>0</v>
      </c>
      <c r="S339" t="n">
        <v>2</v>
      </c>
      <c r="T339" t="n">
        <v>2</v>
      </c>
      <c r="U339" t="n">
        <v>2</v>
      </c>
      <c r="V339" s="2" t="inlineStr">
        <is>
          <t>Talltita
Tofsmes</t>
        </is>
      </c>
      <c r="W339">
        <f>HYPERLINK("https://klasma.github.io/Logging_1273/artfynd/A 27495-2026 artfynd.xlsx", "A 27495-2026")</f>
        <v/>
      </c>
      <c r="X339">
        <f>HYPERLINK("https://klasma.github.io/Logging_1273/kartor/A 27495-2026 karta.png", "A 27495-2026")</f>
        <v/>
      </c>
      <c r="Y339">
        <f>HYPERLINK("https://klasma.github.io/Logging_1273/kartor_geotiff/A 27495-2026 georefererad karta.tif", "A 27495-2026")</f>
        <v/>
      </c>
      <c r="AA339">
        <f>HYPERLINK("https://klasma.github.io/Logging_1273/klagomål/A 27495-2026 FSC-klagomål.docx", "A 27495-2026")</f>
        <v/>
      </c>
      <c r="AB339">
        <f>HYPERLINK("https://klasma.github.io/Logging_1273/klagomålsmail/A 27495-2026 FSC-klagomål mail.docx", "A 27495-2026")</f>
        <v/>
      </c>
      <c r="AC339">
        <f>HYPERLINK("https://klasma.github.io/Logging_1273/tillsyn/A 27495-2026 tillsynsbegäran.docx", "A 27495-2026")</f>
        <v/>
      </c>
      <c r="AD339">
        <f>HYPERLINK("https://klasma.github.io/Logging_1273/tillsynsmail/A 27495-2026 tillsynsbegäran mail.docx", "A 27495-2026")</f>
        <v/>
      </c>
      <c r="AE339">
        <f>HYPERLINK("https://klasma.github.io/Logging_1273/fåglar/A 27495-2026 prioriterade fågelarter.docx", "A 27495-2026")</f>
        <v/>
      </c>
    </row>
    <row r="340" ht="15" customHeight="1">
      <c r="A340" t="inlineStr">
        <is>
          <t>A 12744-2026</t>
        </is>
      </c>
      <c r="B340" t="inlineStr">
        <is>
          <t>avverkningsanmälan</t>
        </is>
      </c>
      <c r="C340" t="inlineStr">
        <is>
          <t>Föryngringsavverkning</t>
        </is>
      </c>
      <c r="D340" s="1" t="n">
        <v>46091</v>
      </c>
      <c r="E340" s="1" t="n">
        <v>46312</v>
      </c>
      <c r="F340" t="inlineStr">
        <is>
          <t>SKÅNE LÄN</t>
        </is>
      </c>
      <c r="G340" t="inlineStr">
        <is>
          <t>KRISTIANSTAD</t>
        </is>
      </c>
      <c r="I340" t="n">
        <v>3.7</v>
      </c>
      <c r="J340" t="n">
        <v>0</v>
      </c>
      <c r="K340" t="n">
        <v>0</v>
      </c>
      <c r="L340" t="n">
        <v>0</v>
      </c>
      <c r="M340" t="n">
        <v>0</v>
      </c>
      <c r="N340" t="n">
        <v>0</v>
      </c>
      <c r="O340" t="n">
        <v>0</v>
      </c>
      <c r="P340" t="n">
        <v>0</v>
      </c>
      <c r="Q340" t="n">
        <v>0</v>
      </c>
      <c r="R340" t="n">
        <v>0</v>
      </c>
      <c r="S340" t="n">
        <v>2</v>
      </c>
      <c r="T340" t="n">
        <v>2</v>
      </c>
      <c r="U340" t="n">
        <v>2</v>
      </c>
      <c r="V340" s="2" t="inlineStr">
        <is>
          <t>Glansfläck
Olivklotterlav</t>
        </is>
      </c>
      <c r="W340">
        <f>HYPERLINK("https://klasma.github.io/Logging_1290/artfynd/A 12744-2026 artfynd.xlsx", "A 12744-2026")</f>
        <v/>
      </c>
      <c r="X340">
        <f>HYPERLINK("https://klasma.github.io/Logging_1290/kartor/A 12744-2026 karta.png", "A 12744-2026")</f>
        <v/>
      </c>
      <c r="Y340">
        <f>HYPERLINK("https://klasma.github.io/Logging_1290/kartor_geotiff/A 12744-2026 georefererad karta.tif", "A 12744-2026")</f>
        <v/>
      </c>
      <c r="AA340">
        <f>HYPERLINK("https://klasma.github.io/Logging_1290/klagomål/A 12744-2026 FSC-klagomål.docx", "A 12744-2026")</f>
        <v/>
      </c>
      <c r="AB340">
        <f>HYPERLINK("https://klasma.github.io/Logging_1290/klagomålsmail/A 12744-2026 FSC-klagomål mail.docx", "A 12744-2026")</f>
        <v/>
      </c>
      <c r="AC340">
        <f>HYPERLINK("https://klasma.github.io/Logging_1290/tillsyn/A 12744-2026 tillsynsbegäran.docx", "A 12744-2026")</f>
        <v/>
      </c>
      <c r="AD340">
        <f>HYPERLINK("https://klasma.github.io/Logging_1290/tillsynsmail/A 12744-2026 tillsynsbegäran mail.docx", "A 12744-2026")</f>
        <v/>
      </c>
    </row>
    <row r="341" ht="15" customHeight="1">
      <c r="A341" t="inlineStr">
        <is>
          <t>A 23405-2023</t>
        </is>
      </c>
      <c r="B341" t="inlineStr">
        <is>
          <t>avverkningsanmälan</t>
        </is>
      </c>
      <c r="C341" t="inlineStr">
        <is>
          <t>Föryngringsavverkning</t>
        </is>
      </c>
      <c r="D341" s="1" t="n">
        <v>45076</v>
      </c>
      <c r="E341" s="1" t="n">
        <v>46312</v>
      </c>
      <c r="F341" t="inlineStr">
        <is>
          <t>SKÅNE LÄN</t>
        </is>
      </c>
      <c r="G341" t="inlineStr">
        <is>
          <t>ÖSTRA GÖINGE</t>
        </is>
      </c>
      <c r="I341" t="n">
        <v>2.2</v>
      </c>
      <c r="J341" t="n">
        <v>2</v>
      </c>
      <c r="K341" t="n">
        <v>0</v>
      </c>
      <c r="L341" t="n">
        <v>0</v>
      </c>
      <c r="M341" t="n">
        <v>0</v>
      </c>
      <c r="N341" t="n">
        <v>0</v>
      </c>
      <c r="O341" t="n">
        <v>0</v>
      </c>
      <c r="P341" t="n">
        <v>0</v>
      </c>
      <c r="Q341" t="n">
        <v>0</v>
      </c>
      <c r="R341" t="n">
        <v>0</v>
      </c>
      <c r="S341" t="n">
        <v>2</v>
      </c>
      <c r="T341" t="n">
        <v>2</v>
      </c>
      <c r="U341" t="n">
        <v>0</v>
      </c>
      <c r="V341" s="2" t="inlineStr">
        <is>
          <t>Vanlig groda
Vanlig padda</t>
        </is>
      </c>
      <c r="W341">
        <f>HYPERLINK("https://klasma.github.io/Logging_1256/artfynd/A 23405-2023 artfynd.xlsx", "A 23405-2023")</f>
        <v/>
      </c>
      <c r="X341">
        <f>HYPERLINK("https://klasma.github.io/Logging_1256/kartor/A 23405-2023 karta.png", "A 23405-2023")</f>
        <v/>
      </c>
      <c r="Y341">
        <f>HYPERLINK("https://klasma.github.io/Logging_1256/kartor_geotiff/A 23405-2023 georefererad karta.tif", "A 23405-2023")</f>
        <v/>
      </c>
      <c r="AA341">
        <f>HYPERLINK("https://klasma.github.io/Logging_1256/klagomål/A 23405-2023 FSC-klagomål.docx", "A 23405-2023")</f>
        <v/>
      </c>
      <c r="AB341">
        <f>HYPERLINK("https://klasma.github.io/Logging_1256/klagomålsmail/A 23405-2023 FSC-klagomål mail.docx", "A 23405-2023")</f>
        <v/>
      </c>
      <c r="AC341">
        <f>HYPERLINK("https://klasma.github.io/Logging_1256/tillsyn/A 23405-2023 tillsynsbegäran.docx", "A 23405-2023")</f>
        <v/>
      </c>
      <c r="AD341">
        <f>HYPERLINK("https://klasma.github.io/Logging_1256/tillsynsmail/A 23405-2023 tillsynsbegäran mail.docx", "A 23405-2023")</f>
        <v/>
      </c>
    </row>
    <row r="342" ht="15" customHeight="1">
      <c r="A342" t="inlineStr">
        <is>
          <t>A 23811-2023</t>
        </is>
      </c>
      <c r="B342" t="inlineStr">
        <is>
          <t>avverkningsanmälan</t>
        </is>
      </c>
      <c r="C342" t="inlineStr">
        <is>
          <t>Föryngringsavverkning</t>
        </is>
      </c>
      <c r="D342" s="1" t="n">
        <v>45078</v>
      </c>
      <c r="E342" s="1" t="n">
        <v>46312</v>
      </c>
      <c r="F342" t="inlineStr">
        <is>
          <t>SKÅNE LÄN</t>
        </is>
      </c>
      <c r="G342" t="inlineStr">
        <is>
          <t>OSBY</t>
        </is>
      </c>
      <c r="I342" t="n">
        <v>1.7</v>
      </c>
      <c r="J342" t="n">
        <v>0</v>
      </c>
      <c r="K342" t="n">
        <v>0</v>
      </c>
      <c r="L342" t="n">
        <v>1</v>
      </c>
      <c r="M342" t="n">
        <v>1</v>
      </c>
      <c r="N342" t="n">
        <v>0</v>
      </c>
      <c r="O342" t="n">
        <v>0</v>
      </c>
      <c r="P342" t="n">
        <v>0</v>
      </c>
      <c r="Q342" t="n">
        <v>2</v>
      </c>
      <c r="R342" t="n">
        <v>1</v>
      </c>
      <c r="S342" t="n">
        <v>2</v>
      </c>
      <c r="T342" t="n">
        <v>2</v>
      </c>
      <c r="U342" t="n">
        <v>0</v>
      </c>
      <c r="V342" s="2" t="inlineStr">
        <is>
          <t>Sjötåtel
Borsttåg</t>
        </is>
      </c>
      <c r="W342">
        <f>HYPERLINK("https://klasma.github.io/Logging_1273/artfynd/A 23811-2023 artfynd.xlsx", "A 23811-2023")</f>
        <v/>
      </c>
      <c r="X342">
        <f>HYPERLINK("https://klasma.github.io/Logging_1273/kartor/A 23811-2023 karta.png", "A 23811-2023")</f>
        <v/>
      </c>
      <c r="Y342">
        <f>HYPERLINK("https://klasma.github.io/Logging_1273/kartor_geotiff/A 23811-2023 georefererad karta.tif", "A 23811-2023")</f>
        <v/>
      </c>
      <c r="AA342">
        <f>HYPERLINK("https://klasma.github.io/Logging_1273/klagomål/A 23811-2023 FSC-klagomål.docx", "A 23811-2023")</f>
        <v/>
      </c>
      <c r="AB342">
        <f>HYPERLINK("https://klasma.github.io/Logging_1273/klagomålsmail/A 23811-2023 FSC-klagomål mail.docx", "A 23811-2023")</f>
        <v/>
      </c>
      <c r="AC342">
        <f>HYPERLINK("https://klasma.github.io/Logging_1273/tillsyn/A 23811-2023 tillsynsbegäran.docx", "A 23811-2023")</f>
        <v/>
      </c>
      <c r="AD342">
        <f>HYPERLINK("https://klasma.github.io/Logging_1273/tillsynsmail/A 23811-2023 tillsynsbegäran mail.docx", "A 23811-2023")</f>
        <v/>
      </c>
    </row>
    <row r="343" ht="15" customHeight="1">
      <c r="A343" t="inlineStr">
        <is>
          <t>A 49546-2025</t>
        </is>
      </c>
      <c r="B343" t="inlineStr">
        <is>
          <t>avverkningsanmälan</t>
        </is>
      </c>
      <c r="C343" t="inlineStr">
        <is>
          <t>Föryngringsavverkning</t>
        </is>
      </c>
      <c r="D343" s="1" t="n">
        <v>45939</v>
      </c>
      <c r="E343" s="1" t="n">
        <v>46312</v>
      </c>
      <c r="F343" t="inlineStr">
        <is>
          <t>SKÅNE LÄN</t>
        </is>
      </c>
      <c r="G343" t="inlineStr">
        <is>
          <t>YSTAD</t>
        </is>
      </c>
      <c r="I343" t="n">
        <v>4.4</v>
      </c>
      <c r="J343" t="n">
        <v>0</v>
      </c>
      <c r="K343" t="n">
        <v>1</v>
      </c>
      <c r="L343" t="n">
        <v>0</v>
      </c>
      <c r="M343" t="n">
        <v>0</v>
      </c>
      <c r="N343" t="n">
        <v>1</v>
      </c>
      <c r="O343" t="n">
        <v>0</v>
      </c>
      <c r="P343" t="n">
        <v>0</v>
      </c>
      <c r="Q343" t="n">
        <v>1</v>
      </c>
      <c r="R343" t="n">
        <v>1</v>
      </c>
      <c r="S343" t="n">
        <v>2</v>
      </c>
      <c r="T343" t="n">
        <v>2</v>
      </c>
      <c r="U343" t="n">
        <v>0</v>
      </c>
      <c r="V343" s="2" t="inlineStr">
        <is>
          <t>Skogsalm
Igelkottsröksvamp</t>
        </is>
      </c>
      <c r="W343">
        <f>HYPERLINK("https://klasma.github.io/Logging_1286/artfynd/A 49546-2025 artfynd.xlsx", "A 49546-2025")</f>
        <v/>
      </c>
      <c r="X343">
        <f>HYPERLINK("https://klasma.github.io/Logging_1286/kartor/A 49546-2025 karta.png", "A 49546-2025")</f>
        <v/>
      </c>
      <c r="Y343">
        <f>HYPERLINK("https://klasma.github.io/Logging_1286/kartor_geotiff/A 49546-2025 georefererad karta.tif", "A 49546-2025")</f>
        <v/>
      </c>
      <c r="AA343">
        <f>HYPERLINK("https://klasma.github.io/Logging_1286/klagomål/A 49546-2025 FSC-klagomål.docx", "A 49546-2025")</f>
        <v/>
      </c>
      <c r="AB343">
        <f>HYPERLINK("https://klasma.github.io/Logging_1286/klagomålsmail/A 49546-2025 FSC-klagomål mail.docx", "A 49546-2025")</f>
        <v/>
      </c>
      <c r="AC343">
        <f>HYPERLINK("https://klasma.github.io/Logging_1286/tillsyn/A 49546-2025 tillsynsbegäran.docx", "A 49546-2025")</f>
        <v/>
      </c>
      <c r="AD343">
        <f>HYPERLINK("https://klasma.github.io/Logging_1286/tillsynsmail/A 49546-2025 tillsynsbegäran mail.docx", "A 49546-2025")</f>
        <v/>
      </c>
    </row>
    <row r="344" ht="15" customHeight="1">
      <c r="A344" t="inlineStr">
        <is>
          <t>A 50629-2025</t>
        </is>
      </c>
      <c r="B344" t="inlineStr">
        <is>
          <t>avverkningsanmälan</t>
        </is>
      </c>
      <c r="C344" t="inlineStr">
        <is>
          <t>Föryngringsavverkning</t>
        </is>
      </c>
      <c r="D344" s="1" t="n">
        <v>45945</v>
      </c>
      <c r="E344" s="1" t="n">
        <v>46312</v>
      </c>
      <c r="F344" t="inlineStr">
        <is>
          <t>SKÅNE LÄN</t>
        </is>
      </c>
      <c r="G344" t="inlineStr">
        <is>
          <t>ÖRKELLJUNGA</t>
        </is>
      </c>
      <c r="I344" t="n">
        <v>6.3</v>
      </c>
      <c r="J344" t="n">
        <v>2</v>
      </c>
      <c r="K344" t="n">
        <v>0</v>
      </c>
      <c r="L344" t="n">
        <v>0</v>
      </c>
      <c r="M344" t="n">
        <v>0</v>
      </c>
      <c r="N344" t="n">
        <v>0</v>
      </c>
      <c r="O344" t="n">
        <v>0</v>
      </c>
      <c r="P344" t="n">
        <v>0</v>
      </c>
      <c r="Q344" t="n">
        <v>0</v>
      </c>
      <c r="R344" t="n">
        <v>0</v>
      </c>
      <c r="S344" t="n">
        <v>2</v>
      </c>
      <c r="T344" t="n">
        <v>2</v>
      </c>
      <c r="U344" t="n">
        <v>2</v>
      </c>
      <c r="V344" s="2" t="inlineStr">
        <is>
          <t>Spillkråka
Röd glada</t>
        </is>
      </c>
      <c r="W344">
        <f>HYPERLINK("https://klasma.github.io/Logging_1257/artfynd/A 50629-2025 artfynd.xlsx", "A 50629-2025")</f>
        <v/>
      </c>
      <c r="X344">
        <f>HYPERLINK("https://klasma.github.io/Logging_1257/kartor/A 50629-2025 karta.png", "A 50629-2025")</f>
        <v/>
      </c>
      <c r="Y344">
        <f>HYPERLINK("https://klasma.github.io/Logging_1257/kartor_geotiff/A 50629-2025 georefererad karta.tif", "A 50629-2025")</f>
        <v/>
      </c>
      <c r="AA344">
        <f>HYPERLINK("https://klasma.github.io/Logging_1257/klagomål/A 50629-2025 FSC-klagomål.docx", "A 50629-2025")</f>
        <v/>
      </c>
      <c r="AB344">
        <f>HYPERLINK("https://klasma.github.io/Logging_1257/klagomålsmail/A 50629-2025 FSC-klagomål mail.docx", "A 50629-2025")</f>
        <v/>
      </c>
      <c r="AC344">
        <f>HYPERLINK("https://klasma.github.io/Logging_1257/tillsyn/A 50629-2025 tillsynsbegäran.docx", "A 50629-2025")</f>
        <v/>
      </c>
      <c r="AD344">
        <f>HYPERLINK("https://klasma.github.io/Logging_1257/tillsynsmail/A 50629-2025 tillsynsbegäran mail.docx", "A 50629-2025")</f>
        <v/>
      </c>
      <c r="AE344">
        <f>HYPERLINK("https://klasma.github.io/Logging_1257/fåglar/A 50629-2025 prioriterade fågelarter.docx", "A 50629-2025")</f>
        <v/>
      </c>
    </row>
    <row r="345" ht="15" customHeight="1">
      <c r="A345" t="inlineStr">
        <is>
          <t>A 29157-2023</t>
        </is>
      </c>
      <c r="B345" t="inlineStr">
        <is>
          <t>avverkningsanmälan</t>
        </is>
      </c>
      <c r="C345" t="inlineStr">
        <is>
          <t>Föryngringsavverkning</t>
        </is>
      </c>
      <c r="D345" s="1" t="n">
        <v>45105</v>
      </c>
      <c r="E345" s="1" t="n">
        <v>46312</v>
      </c>
      <c r="F345" t="inlineStr">
        <is>
          <t>SKÅNE LÄN</t>
        </is>
      </c>
      <c r="G345" t="inlineStr">
        <is>
          <t>ÄNGELHOLM</t>
        </is>
      </c>
      <c r="I345" t="n">
        <v>6.9</v>
      </c>
      <c r="J345" t="n">
        <v>2</v>
      </c>
      <c r="K345" t="n">
        <v>0</v>
      </c>
      <c r="L345" t="n">
        <v>2</v>
      </c>
      <c r="M345" t="n">
        <v>0</v>
      </c>
      <c r="N345" t="n">
        <v>0</v>
      </c>
      <c r="O345" t="n">
        <v>0</v>
      </c>
      <c r="P345" t="n">
        <v>0</v>
      </c>
      <c r="Q345" t="n">
        <v>2</v>
      </c>
      <c r="R345" t="n">
        <v>0</v>
      </c>
      <c r="S345" t="n">
        <v>2</v>
      </c>
      <c r="T345" t="n">
        <v>2</v>
      </c>
      <c r="U345" t="n">
        <v>2</v>
      </c>
      <c r="V345" s="2" t="inlineStr">
        <is>
          <t>Entita
Talltita</t>
        </is>
      </c>
      <c r="W345">
        <f>HYPERLINK("https://klasma.github.io/Logging_1292/artfynd/A 29157-2023 artfynd.xlsx", "A 29157-2023")</f>
        <v/>
      </c>
      <c r="X345">
        <f>HYPERLINK("https://klasma.github.io/Logging_1292/kartor/A 29157-2023 karta.png", "A 29157-2023")</f>
        <v/>
      </c>
      <c r="Y345">
        <f>HYPERLINK("https://klasma.github.io/Logging_1292/kartor_geotiff/A 29157-2023 georefererad karta.tif", "A 29157-2023")</f>
        <v/>
      </c>
      <c r="AA345">
        <f>HYPERLINK("https://klasma.github.io/Logging_1292/klagomål/A 29157-2023 FSC-klagomål.docx", "A 29157-2023")</f>
        <v/>
      </c>
      <c r="AB345">
        <f>HYPERLINK("https://klasma.github.io/Logging_1292/klagomålsmail/A 29157-2023 FSC-klagomål mail.docx", "A 29157-2023")</f>
        <v/>
      </c>
      <c r="AC345">
        <f>HYPERLINK("https://klasma.github.io/Logging_1292/tillsyn/A 29157-2023 tillsynsbegäran.docx", "A 29157-2023")</f>
        <v/>
      </c>
      <c r="AD345">
        <f>HYPERLINK("https://klasma.github.io/Logging_1292/tillsynsmail/A 29157-2023 tillsynsbegäran mail.docx", "A 29157-2023")</f>
        <v/>
      </c>
      <c r="AE345">
        <f>HYPERLINK("https://klasma.github.io/Logging_1292/fåglar/A 29157-2023 prioriterade fågelarter.docx", "A 29157-2023")</f>
        <v/>
      </c>
    </row>
    <row r="346" ht="15" customHeight="1">
      <c r="A346" t="inlineStr">
        <is>
          <t>A 30240-2026</t>
        </is>
      </c>
      <c r="B346" t="inlineStr">
        <is>
          <t>avverkningsanmälan</t>
        </is>
      </c>
      <c r="C346" t="inlineStr">
        <is>
          <t>Föryngringsavverkning</t>
        </is>
      </c>
      <c r="D346" s="1" t="n">
        <v>46206</v>
      </c>
      <c r="E346" s="1" t="n">
        <v>46312</v>
      </c>
      <c r="F346" t="inlineStr">
        <is>
          <t>SKÅNE LÄN</t>
        </is>
      </c>
      <c r="G346" t="inlineStr">
        <is>
          <t>KLIPPAN</t>
        </is>
      </c>
      <c r="H346" t="inlineStr">
        <is>
          <t>Övriga Aktiebolag</t>
        </is>
      </c>
      <c r="I346" t="n">
        <v>10.9</v>
      </c>
      <c r="J346" t="n">
        <v>1</v>
      </c>
      <c r="K346" t="n">
        <v>0</v>
      </c>
      <c r="L346" t="n">
        <v>1</v>
      </c>
      <c r="M346" t="n">
        <v>0</v>
      </c>
      <c r="N346" t="n">
        <v>0</v>
      </c>
      <c r="O346" t="n">
        <v>0</v>
      </c>
      <c r="P346" t="n">
        <v>0</v>
      </c>
      <c r="Q346" t="n">
        <v>1</v>
      </c>
      <c r="R346" t="n">
        <v>0</v>
      </c>
      <c r="S346" t="n">
        <v>2</v>
      </c>
      <c r="T346" t="n">
        <v>2</v>
      </c>
      <c r="U346" t="n">
        <v>2</v>
      </c>
      <c r="V346" s="2" t="inlineStr">
        <is>
          <t>Entita
Ängskovall</t>
        </is>
      </c>
      <c r="W346">
        <f>HYPERLINK("https://klasma.github.io/Logging_1276/artfynd/A 30240-2026 artfynd.xlsx", "A 30240-2026")</f>
        <v/>
      </c>
      <c r="X346">
        <f>HYPERLINK("https://klasma.github.io/Logging_1276/kartor/A 30240-2026 karta.png", "A 30240-2026")</f>
        <v/>
      </c>
      <c r="Y346">
        <f>HYPERLINK("https://klasma.github.io/Logging_1276/kartor_geotiff/A 30240-2026 georefererad karta.tif", "A 30240-2026")</f>
        <v/>
      </c>
      <c r="AA346">
        <f>HYPERLINK("https://klasma.github.io/Logging_1276/klagomål/A 30240-2026 FSC-klagomål.docx", "A 30240-2026")</f>
        <v/>
      </c>
      <c r="AB346">
        <f>HYPERLINK("https://klasma.github.io/Logging_1276/klagomålsmail/A 30240-2026 FSC-klagomål mail.docx", "A 30240-2026")</f>
        <v/>
      </c>
      <c r="AC346">
        <f>HYPERLINK("https://klasma.github.io/Logging_1276/tillsyn/A 30240-2026 tillsynsbegäran.docx", "A 30240-2026")</f>
        <v/>
      </c>
      <c r="AD346">
        <f>HYPERLINK("https://klasma.github.io/Logging_1276/tillsynsmail/A 30240-2026 tillsynsbegäran mail.docx", "A 30240-2026")</f>
        <v/>
      </c>
      <c r="AE346">
        <f>HYPERLINK("https://klasma.github.io/Logging_1276/fåglar/A 30240-2026 prioriterade fågelarter.docx", "A 30240-2026")</f>
        <v/>
      </c>
    </row>
    <row r="347" ht="15" customHeight="1">
      <c r="A347" t="inlineStr">
        <is>
          <t>A 7716-2024</t>
        </is>
      </c>
      <c r="B347" t="inlineStr">
        <is>
          <t>avverkningsanmälan</t>
        </is>
      </c>
      <c r="C347" t="inlineStr">
        <is>
          <t>Föryngringsavverkning</t>
        </is>
      </c>
      <c r="D347" s="1" t="n">
        <v>45349</v>
      </c>
      <c r="E347" s="1" t="n">
        <v>46312</v>
      </c>
      <c r="F347" t="inlineStr">
        <is>
          <t>SKÅNE LÄN</t>
        </is>
      </c>
      <c r="G347" t="inlineStr">
        <is>
          <t>SIMRISHAMN</t>
        </is>
      </c>
      <c r="I347" t="n">
        <v>1.8</v>
      </c>
      <c r="J347" t="n">
        <v>1</v>
      </c>
      <c r="K347" t="n">
        <v>0</v>
      </c>
      <c r="L347" t="n">
        <v>1</v>
      </c>
      <c r="M347" t="n">
        <v>0</v>
      </c>
      <c r="N347" t="n">
        <v>0</v>
      </c>
      <c r="O347" t="n">
        <v>0</v>
      </c>
      <c r="P347" t="n">
        <v>0</v>
      </c>
      <c r="Q347" t="n">
        <v>1</v>
      </c>
      <c r="R347" t="n">
        <v>0</v>
      </c>
      <c r="S347" t="n">
        <v>2</v>
      </c>
      <c r="T347" t="n">
        <v>3</v>
      </c>
      <c r="U347" t="n">
        <v>3</v>
      </c>
      <c r="V347" s="2" t="inlineStr">
        <is>
          <t>Talltita
Ängskovall</t>
        </is>
      </c>
      <c r="W347">
        <f>HYPERLINK("https://klasma.github.io/Logging_1291/artfynd/A 7716-2024 artfynd.xlsx", "A 7716-2024")</f>
        <v/>
      </c>
      <c r="X347">
        <f>HYPERLINK("https://klasma.github.io/Logging_1291/kartor/A 7716-2024 karta.png", "A 7716-2024")</f>
        <v/>
      </c>
      <c r="Y347">
        <f>HYPERLINK("https://klasma.github.io/Logging_1291/kartor_geotiff/A 7716-2024 georefererad karta.tif", "A 7716-2024")</f>
        <v/>
      </c>
      <c r="AA347">
        <f>HYPERLINK("https://klasma.github.io/Logging_1291/klagomål/A 7716-2024 FSC-klagomål.docx", "A 7716-2024")</f>
        <v/>
      </c>
      <c r="AB347">
        <f>HYPERLINK("https://klasma.github.io/Logging_1291/klagomålsmail/A 7716-2024 FSC-klagomål mail.docx", "A 7716-2024")</f>
        <v/>
      </c>
      <c r="AC347">
        <f>HYPERLINK("https://klasma.github.io/Logging_1291/tillsyn/A 7716-2024 tillsynsbegäran.docx", "A 7716-2024")</f>
        <v/>
      </c>
      <c r="AD347">
        <f>HYPERLINK("https://klasma.github.io/Logging_1291/tillsynsmail/A 7716-2024 tillsynsbegäran mail.docx", "A 7716-2024")</f>
        <v/>
      </c>
      <c r="AE347">
        <f>HYPERLINK("https://klasma.github.io/Logging_1291/fåglar/A 7716-2024 prioriterade fågelarter.docx", "A 7716-2024")</f>
        <v/>
      </c>
    </row>
    <row r="348" ht="15" customHeight="1">
      <c r="A348" t="inlineStr">
        <is>
          <t>A 63500-2025</t>
        </is>
      </c>
      <c r="B348" t="inlineStr">
        <is>
          <t>avverkningsanmälan</t>
        </is>
      </c>
      <c r="C348" t="inlineStr">
        <is>
          <t>Föryngringsavverkning</t>
        </is>
      </c>
      <c r="D348" s="1" t="n">
        <v>46013</v>
      </c>
      <c r="E348" s="1" t="n">
        <v>46312</v>
      </c>
      <c r="F348" t="inlineStr">
        <is>
          <t>SKÅNE LÄN</t>
        </is>
      </c>
      <c r="G348" t="inlineStr">
        <is>
          <t>KRISTIANSTAD</t>
        </is>
      </c>
      <c r="H348" t="inlineStr">
        <is>
          <t>Sveaskog</t>
        </is>
      </c>
      <c r="I348" t="n">
        <v>8</v>
      </c>
      <c r="J348" t="n">
        <v>2</v>
      </c>
      <c r="K348" t="n">
        <v>0</v>
      </c>
      <c r="L348" t="n">
        <v>2</v>
      </c>
      <c r="M348" t="n">
        <v>0</v>
      </c>
      <c r="N348" t="n">
        <v>0</v>
      </c>
      <c r="O348" t="n">
        <v>0</v>
      </c>
      <c r="P348" t="n">
        <v>0</v>
      </c>
      <c r="Q348" t="n">
        <v>2</v>
      </c>
      <c r="R348" t="n">
        <v>0</v>
      </c>
      <c r="S348" t="n">
        <v>2</v>
      </c>
      <c r="T348" t="n">
        <v>2</v>
      </c>
      <c r="U348" t="n">
        <v>1</v>
      </c>
      <c r="V348" s="2" t="inlineStr">
        <is>
          <t>Entita
Talltita</t>
        </is>
      </c>
      <c r="W348">
        <f>HYPERLINK("https://klasma.github.io/Logging_1290/artfynd/A 63500-2025 artfynd.xlsx", "A 63500-2025")</f>
        <v/>
      </c>
      <c r="X348">
        <f>HYPERLINK("https://klasma.github.io/Logging_1290/kartor/A 63500-2025 karta.png", "A 63500-2025")</f>
        <v/>
      </c>
      <c r="Y348">
        <f>HYPERLINK("https://klasma.github.io/Logging_1290/kartor_geotiff/A 63500-2025 georefererad karta.tif", "A 63500-2025")</f>
        <v/>
      </c>
      <c r="AA348">
        <f>HYPERLINK("https://klasma.github.io/Logging_1290/klagomål/A 63500-2025 FSC-klagomål.docx", "A 63500-2025")</f>
        <v/>
      </c>
      <c r="AB348">
        <f>HYPERLINK("https://klasma.github.io/Logging_1290/klagomålsmail/A 63500-2025 FSC-klagomål mail.docx", "A 63500-2025")</f>
        <v/>
      </c>
      <c r="AC348">
        <f>HYPERLINK("https://klasma.github.io/Logging_1290/tillsyn/A 63500-2025 tillsynsbegäran.docx", "A 63500-2025")</f>
        <v/>
      </c>
      <c r="AD348">
        <f>HYPERLINK("https://klasma.github.io/Logging_1290/tillsynsmail/A 63500-2025 tillsynsbegäran mail.docx", "A 63500-2025")</f>
        <v/>
      </c>
      <c r="AE348">
        <f>HYPERLINK("https://klasma.github.io/Logging_1290/fåglar/A 63500-2025 prioriterade fågelarter.docx", "A 63500-2025")</f>
        <v/>
      </c>
    </row>
    <row r="349" ht="15" customHeight="1">
      <c r="A349" t="inlineStr">
        <is>
          <t>A 31697-2023</t>
        </is>
      </c>
      <c r="B349" t="inlineStr">
        <is>
          <t>avverkningsanmälan</t>
        </is>
      </c>
      <c r="C349" t="inlineStr">
        <is>
          <t>Föryngringsavverkning</t>
        </is>
      </c>
      <c r="D349" s="1" t="n">
        <v>45117</v>
      </c>
      <c r="E349" s="1" t="n">
        <v>46312</v>
      </c>
      <c r="F349" t="inlineStr">
        <is>
          <t>SKÅNE LÄN</t>
        </is>
      </c>
      <c r="G349" t="inlineStr">
        <is>
          <t>SVEDALA</t>
        </is>
      </c>
      <c r="I349" t="n">
        <v>2.2</v>
      </c>
      <c r="J349" t="n">
        <v>2</v>
      </c>
      <c r="K349" t="n">
        <v>0</v>
      </c>
      <c r="L349" t="n">
        <v>0</v>
      </c>
      <c r="M349" t="n">
        <v>0</v>
      </c>
      <c r="N349" t="n">
        <v>0</v>
      </c>
      <c r="O349" t="n">
        <v>0</v>
      </c>
      <c r="P349" t="n">
        <v>0</v>
      </c>
      <c r="Q349" t="n">
        <v>0</v>
      </c>
      <c r="R349" t="n">
        <v>0</v>
      </c>
      <c r="S349" t="n">
        <v>2</v>
      </c>
      <c r="T349" t="n">
        <v>2</v>
      </c>
      <c r="U349" t="n">
        <v>0</v>
      </c>
      <c r="V349" s="2" t="inlineStr">
        <is>
          <t>Lövgroda
Större vattensalamander</t>
        </is>
      </c>
      <c r="W349">
        <f>HYPERLINK("https://klasma.github.io/Logging_1263/artfynd/A 31697-2023 artfynd.xlsx", "A 31697-2023")</f>
        <v/>
      </c>
      <c r="X349">
        <f>HYPERLINK("https://klasma.github.io/Logging_1263/kartor/A 31697-2023 karta.png", "A 31697-2023")</f>
        <v/>
      </c>
      <c r="Y349">
        <f>HYPERLINK("https://klasma.github.io/Logging_1263/kartor_geotiff/A 31697-2023 georefererad karta.tif", "A 31697-2023")</f>
        <v/>
      </c>
      <c r="AA349">
        <f>HYPERLINK("https://klasma.github.io/Logging_1263/klagomål/A 31697-2023 FSC-klagomål.docx", "A 31697-2023")</f>
        <v/>
      </c>
      <c r="AB349">
        <f>HYPERLINK("https://klasma.github.io/Logging_1263/klagomålsmail/A 31697-2023 FSC-klagomål mail.docx", "A 31697-2023")</f>
        <v/>
      </c>
      <c r="AC349">
        <f>HYPERLINK("https://klasma.github.io/Logging_1263/tillsyn/A 31697-2023 tillsynsbegäran.docx", "A 31697-2023")</f>
        <v/>
      </c>
      <c r="AD349">
        <f>HYPERLINK("https://klasma.github.io/Logging_1263/tillsynsmail/A 31697-2023 tillsynsbegäran mail.docx", "A 31697-2023")</f>
        <v/>
      </c>
    </row>
    <row r="350" ht="15" customHeight="1">
      <c r="A350" t="inlineStr">
        <is>
          <t>A 49572-2022</t>
        </is>
      </c>
      <c r="B350" t="inlineStr">
        <is>
          <t>avverkningsanmälan</t>
        </is>
      </c>
      <c r="C350" t="inlineStr">
        <is>
          <t>Föryngringsavverkning</t>
        </is>
      </c>
      <c r="D350" s="1" t="n">
        <v>44862</v>
      </c>
      <c r="E350" s="1" t="n">
        <v>46312</v>
      </c>
      <c r="F350" t="inlineStr">
        <is>
          <t>SKÅNE LÄN</t>
        </is>
      </c>
      <c r="G350" t="inlineStr">
        <is>
          <t>HÄSSLEHOLM</t>
        </is>
      </c>
      <c r="I350" t="n">
        <v>1.4</v>
      </c>
      <c r="J350" t="n">
        <v>1</v>
      </c>
      <c r="K350" t="n">
        <v>1</v>
      </c>
      <c r="L350" t="n">
        <v>0</v>
      </c>
      <c r="M350" t="n">
        <v>0</v>
      </c>
      <c r="N350" t="n">
        <v>0</v>
      </c>
      <c r="O350" t="n">
        <v>0</v>
      </c>
      <c r="P350" t="n">
        <v>0</v>
      </c>
      <c r="Q350" t="n">
        <v>0</v>
      </c>
      <c r="R350" t="n">
        <v>0</v>
      </c>
      <c r="S350" t="n">
        <v>2</v>
      </c>
      <c r="T350" t="n">
        <v>3</v>
      </c>
      <c r="U350" t="n">
        <v>3</v>
      </c>
      <c r="V350" s="2" t="inlineStr">
        <is>
          <t>Blåmossa
Revlummer</t>
        </is>
      </c>
      <c r="W350">
        <f>HYPERLINK("https://klasma.github.io/Logging_1293/artfynd/A 49572-2022 artfynd.xlsx", "A 49572-2022")</f>
        <v/>
      </c>
      <c r="X350">
        <f>HYPERLINK("https://klasma.github.io/Logging_1293/kartor/A 49572-2022 karta.png", "A 49572-2022")</f>
        <v/>
      </c>
      <c r="Y350">
        <f>HYPERLINK("https://klasma.github.io/Logging_1293/kartor_geotiff/A 49572-2022 georefererad karta.tif", "A 49572-2022")</f>
        <v/>
      </c>
      <c r="AA350">
        <f>HYPERLINK("https://klasma.github.io/Logging_1293/klagomål/A 49572-2022 FSC-klagomål.docx", "A 49572-2022")</f>
        <v/>
      </c>
      <c r="AB350">
        <f>HYPERLINK("https://klasma.github.io/Logging_1293/klagomålsmail/A 49572-2022 FSC-klagomål mail.docx", "A 49572-2022")</f>
        <v/>
      </c>
      <c r="AC350">
        <f>HYPERLINK("https://klasma.github.io/Logging_1293/tillsyn/A 49572-2022 tillsynsbegäran.docx", "A 49572-2022")</f>
        <v/>
      </c>
      <c r="AD350">
        <f>HYPERLINK("https://klasma.github.io/Logging_1293/tillsynsmail/A 49572-2022 tillsynsbegäran mail.docx", "A 49572-2022")</f>
        <v/>
      </c>
    </row>
    <row r="351" ht="15" customHeight="1">
      <c r="A351" t="inlineStr">
        <is>
          <t>A 29275-2026</t>
        </is>
      </c>
      <c r="B351" t="inlineStr">
        <is>
          <t>avverkningsanmälan</t>
        </is>
      </c>
      <c r="C351" t="inlineStr">
        <is>
          <t>Föryngringsavverkning</t>
        </is>
      </c>
      <c r="D351" s="1" t="n">
        <v>46202</v>
      </c>
      <c r="E351" s="1" t="n">
        <v>46312</v>
      </c>
      <c r="F351" t="inlineStr">
        <is>
          <t>SKÅNE LÄN</t>
        </is>
      </c>
      <c r="G351" t="inlineStr">
        <is>
          <t>KLIPPAN</t>
        </is>
      </c>
      <c r="H351" t="inlineStr">
        <is>
          <t>Sveaskog</t>
        </is>
      </c>
      <c r="I351" t="n">
        <v>5.7</v>
      </c>
      <c r="J351" t="n">
        <v>1</v>
      </c>
      <c r="K351" t="n">
        <v>0</v>
      </c>
      <c r="L351" t="n">
        <v>1</v>
      </c>
      <c r="M351" t="n">
        <v>0</v>
      </c>
      <c r="N351" t="n">
        <v>0</v>
      </c>
      <c r="O351" t="n">
        <v>0</v>
      </c>
      <c r="P351" t="n">
        <v>0</v>
      </c>
      <c r="Q351" t="n">
        <v>2</v>
      </c>
      <c r="R351" t="n">
        <v>0</v>
      </c>
      <c r="S351" t="n">
        <v>2</v>
      </c>
      <c r="T351" t="n">
        <v>2</v>
      </c>
      <c r="U351" t="n">
        <v>1</v>
      </c>
      <c r="V351" s="2" t="inlineStr">
        <is>
          <t>Mindre hackspett
Blemlavsklotter</t>
        </is>
      </c>
      <c r="W351">
        <f>HYPERLINK("https://klasma.github.io/Logging_1276/artfynd/A 29275-2026 artfynd.xlsx", "A 29275-2026")</f>
        <v/>
      </c>
      <c r="X351">
        <f>HYPERLINK("https://klasma.github.io/Logging_1276/kartor/A 29275-2026 karta.png", "A 29275-2026")</f>
        <v/>
      </c>
      <c r="Y351">
        <f>HYPERLINK("https://klasma.github.io/Logging_1276/kartor_geotiff/A 29275-2026 georefererad karta.tif", "A 29275-2026")</f>
        <v/>
      </c>
      <c r="AA351">
        <f>HYPERLINK("https://klasma.github.io/Logging_1276/klagomål/A 29275-2026 FSC-klagomål.docx", "A 29275-2026")</f>
        <v/>
      </c>
      <c r="AB351">
        <f>HYPERLINK("https://klasma.github.io/Logging_1276/klagomålsmail/A 29275-2026 FSC-klagomål mail.docx", "A 29275-2026")</f>
        <v/>
      </c>
      <c r="AC351">
        <f>HYPERLINK("https://klasma.github.io/Logging_1276/tillsyn/A 29275-2026 tillsynsbegäran.docx", "A 29275-2026")</f>
        <v/>
      </c>
      <c r="AD351">
        <f>HYPERLINK("https://klasma.github.io/Logging_1276/tillsynsmail/A 29275-2026 tillsynsbegäran mail.docx", "A 29275-2026")</f>
        <v/>
      </c>
      <c r="AE351">
        <f>HYPERLINK("https://klasma.github.io/Logging_1276/fåglar/A 29275-2026 prioriterade fågelarter.docx", "A 29275-2026")</f>
        <v/>
      </c>
    </row>
    <row r="352" ht="15" customHeight="1">
      <c r="A352" t="inlineStr">
        <is>
          <t>A 31291-2026</t>
        </is>
      </c>
      <c r="B352" t="inlineStr">
        <is>
          <t>avverkningsanmälan</t>
        </is>
      </c>
      <c r="C352" t="inlineStr">
        <is>
          <t>Föryngringsavverkning</t>
        </is>
      </c>
      <c r="D352" s="1" t="n">
        <v>46218</v>
      </c>
      <c r="E352" s="1" t="n">
        <v>46312</v>
      </c>
      <c r="F352" t="inlineStr">
        <is>
          <t>SKÅNE LÄN</t>
        </is>
      </c>
      <c r="G352" t="inlineStr">
        <is>
          <t>SIMRISHAMN</t>
        </is>
      </c>
      <c r="I352" t="n">
        <v>3.3</v>
      </c>
      <c r="J352" t="n">
        <v>2</v>
      </c>
      <c r="K352" t="n">
        <v>0</v>
      </c>
      <c r="L352" t="n">
        <v>0</v>
      </c>
      <c r="M352" t="n">
        <v>1</v>
      </c>
      <c r="N352" t="n">
        <v>0</v>
      </c>
      <c r="O352" t="n">
        <v>0</v>
      </c>
      <c r="P352" t="n">
        <v>0</v>
      </c>
      <c r="Q352" t="n">
        <v>1</v>
      </c>
      <c r="R352" t="n">
        <v>1</v>
      </c>
      <c r="S352" t="n">
        <v>2</v>
      </c>
      <c r="T352" t="n">
        <v>3</v>
      </c>
      <c r="U352" t="n">
        <v>0</v>
      </c>
      <c r="V352" s="2" t="inlineStr">
        <is>
          <t>Sandödla
Hasselmus</t>
        </is>
      </c>
      <c r="W352">
        <f>HYPERLINK("https://klasma.github.io/Logging_1291/artfynd/A 31291-2026 artfynd.xlsx", "A 31291-2026")</f>
        <v/>
      </c>
      <c r="X352">
        <f>HYPERLINK("https://klasma.github.io/Logging_1291/kartor/A 31291-2026 karta.png", "A 31291-2026")</f>
        <v/>
      </c>
      <c r="Y352">
        <f>HYPERLINK("https://klasma.github.io/Logging_1291/kartor_geotiff/A 31291-2026 georefererad karta.tif", "A 31291-2026")</f>
        <v/>
      </c>
      <c r="AA352">
        <f>HYPERLINK("https://klasma.github.io/Logging_1291/klagomål/A 31291-2026 FSC-klagomål.docx", "A 31291-2026")</f>
        <v/>
      </c>
      <c r="AB352">
        <f>HYPERLINK("https://klasma.github.io/Logging_1291/klagomålsmail/A 31291-2026 FSC-klagomål mail.docx", "A 31291-2026")</f>
        <v/>
      </c>
      <c r="AC352">
        <f>HYPERLINK("https://klasma.github.io/Logging_1291/tillsyn/A 31291-2026 tillsynsbegäran.docx", "A 31291-2026")</f>
        <v/>
      </c>
      <c r="AD352">
        <f>HYPERLINK("https://klasma.github.io/Logging_1291/tillsynsmail/A 31291-2026 tillsynsbegäran mail.docx", "A 31291-2026")</f>
        <v/>
      </c>
    </row>
    <row r="353" ht="15" customHeight="1">
      <c r="A353" t="inlineStr">
        <is>
          <t>A 60295-2022</t>
        </is>
      </c>
      <c r="B353" t="inlineStr">
        <is>
          <t>avverkningsanmälan</t>
        </is>
      </c>
      <c r="C353" t="inlineStr">
        <is>
          <t>Avverkning för annat ändamål</t>
        </is>
      </c>
      <c r="D353" s="1" t="n">
        <v>44903</v>
      </c>
      <c r="E353" s="1" t="n">
        <v>46312</v>
      </c>
      <c r="F353" t="inlineStr">
        <is>
          <t>SKÅNE LÄN</t>
        </is>
      </c>
      <c r="G353" t="inlineStr">
        <is>
          <t>YSTAD</t>
        </is>
      </c>
      <c r="I353" t="n">
        <v>1.1</v>
      </c>
      <c r="J353" t="n">
        <v>2</v>
      </c>
      <c r="K353" t="n">
        <v>0</v>
      </c>
      <c r="L353" t="n">
        <v>0</v>
      </c>
      <c r="M353" t="n">
        <v>0</v>
      </c>
      <c r="N353" t="n">
        <v>0</v>
      </c>
      <c r="O353" t="n">
        <v>0</v>
      </c>
      <c r="P353" t="n">
        <v>0</v>
      </c>
      <c r="Q353" t="n">
        <v>0</v>
      </c>
      <c r="R353" t="n">
        <v>0</v>
      </c>
      <c r="S353" t="n">
        <v>2</v>
      </c>
      <c r="T353" t="n">
        <v>5</v>
      </c>
      <c r="U353" t="n">
        <v>5</v>
      </c>
      <c r="V353" s="2" t="inlineStr">
        <is>
          <t>Klockgroda
Ätlig groda</t>
        </is>
      </c>
      <c r="W353">
        <f>HYPERLINK("https://klasma.github.io/Logging_1286/artfynd/A 60295-2022 artfynd.xlsx", "A 60295-2022")</f>
        <v/>
      </c>
      <c r="X353">
        <f>HYPERLINK("https://klasma.github.io/Logging_1286/kartor/A 60295-2022 karta.png", "A 60295-2022")</f>
        <v/>
      </c>
      <c r="Y353">
        <f>HYPERLINK("https://klasma.github.io/Logging_1286/kartor_geotiff/A 60295-2022 georefererad karta.tif", "A 60295-2022")</f>
        <v/>
      </c>
      <c r="AA353">
        <f>HYPERLINK("https://klasma.github.io/Logging_1286/klagomål/A 60295-2022 FSC-klagomål.docx", "A 60295-2022")</f>
        <v/>
      </c>
      <c r="AB353">
        <f>HYPERLINK("https://klasma.github.io/Logging_1286/klagomålsmail/A 60295-2022 FSC-klagomål mail.docx", "A 60295-2022")</f>
        <v/>
      </c>
      <c r="AC353">
        <f>HYPERLINK("https://klasma.github.io/Logging_1286/tillsyn/A 60295-2022 tillsynsbegäran.docx", "A 60295-2022")</f>
        <v/>
      </c>
      <c r="AD353">
        <f>HYPERLINK("https://klasma.github.io/Logging_1286/tillsynsmail/A 60295-2022 tillsynsbegäran mail.docx", "A 60295-2022")</f>
        <v/>
      </c>
    </row>
    <row r="354" ht="15" customHeight="1">
      <c r="A354" t="inlineStr">
        <is>
          <t>A 11720-2025</t>
        </is>
      </c>
      <c r="B354" t="inlineStr">
        <is>
          <t>avverkningsanmälan</t>
        </is>
      </c>
      <c r="C354" t="inlineStr">
        <is>
          <t>Föryngringsavverkning</t>
        </is>
      </c>
      <c r="D354" s="1" t="n">
        <v>45727</v>
      </c>
      <c r="E354" s="1" t="n">
        <v>46312</v>
      </c>
      <c r="F354" t="inlineStr">
        <is>
          <t>SKÅNE LÄN</t>
        </is>
      </c>
      <c r="G354" t="inlineStr">
        <is>
          <t>KRISTIANSTAD</t>
        </is>
      </c>
      <c r="I354" t="n">
        <v>3.1</v>
      </c>
      <c r="J354" t="n">
        <v>1</v>
      </c>
      <c r="K354" t="n">
        <v>1</v>
      </c>
      <c r="L354" t="n">
        <v>0</v>
      </c>
      <c r="M354" t="n">
        <v>0</v>
      </c>
      <c r="N354" t="n">
        <v>0</v>
      </c>
      <c r="O354" t="n">
        <v>0</v>
      </c>
      <c r="P354" t="n">
        <v>0</v>
      </c>
      <c r="Q354" t="n">
        <v>0</v>
      </c>
      <c r="R354" t="n">
        <v>0</v>
      </c>
      <c r="S354" t="n">
        <v>2</v>
      </c>
      <c r="T354" t="n">
        <v>3</v>
      </c>
      <c r="U354" t="n">
        <v>0</v>
      </c>
      <c r="V354" s="2" t="inlineStr">
        <is>
          <t>Igelkottsröksvamp
Åkergroda</t>
        </is>
      </c>
      <c r="W354">
        <f>HYPERLINK("https://klasma.github.io/Logging_1290/artfynd/A 11720-2025 artfynd.xlsx", "A 11720-2025")</f>
        <v/>
      </c>
      <c r="X354">
        <f>HYPERLINK("https://klasma.github.io/Logging_1290/kartor/A 11720-2025 karta.png", "A 11720-2025")</f>
        <v/>
      </c>
      <c r="Y354">
        <f>HYPERLINK("https://klasma.github.io/Logging_1290/kartor_geotiff/A 11720-2025 georefererad karta.tif", "A 11720-2025")</f>
        <v/>
      </c>
      <c r="AA354">
        <f>HYPERLINK("https://klasma.github.io/Logging_1290/klagomål/A 11720-2025 FSC-klagomål.docx", "A 11720-2025")</f>
        <v/>
      </c>
      <c r="AB354">
        <f>HYPERLINK("https://klasma.github.io/Logging_1290/klagomålsmail/A 11720-2025 FSC-klagomål mail.docx", "A 11720-2025")</f>
        <v/>
      </c>
      <c r="AC354">
        <f>HYPERLINK("https://klasma.github.io/Logging_1290/tillsyn/A 11720-2025 tillsynsbegäran.docx", "A 11720-2025")</f>
        <v/>
      </c>
      <c r="AD354">
        <f>HYPERLINK("https://klasma.github.io/Logging_1290/tillsynsmail/A 11720-2025 tillsynsbegäran mail.docx", "A 11720-2025")</f>
        <v/>
      </c>
    </row>
    <row r="355" ht="15" customHeight="1">
      <c r="A355" t="inlineStr">
        <is>
          <t>A 31213-2023</t>
        </is>
      </c>
      <c r="B355" t="inlineStr">
        <is>
          <t>avverkningsanmälan</t>
        </is>
      </c>
      <c r="C355" t="inlineStr">
        <is>
          <t>Föryngringsavverkning</t>
        </is>
      </c>
      <c r="D355" s="1" t="n">
        <v>45113</v>
      </c>
      <c r="E355" s="1" t="n">
        <v>46312</v>
      </c>
      <c r="F355" t="inlineStr">
        <is>
          <t>SKÅNE LÄN</t>
        </is>
      </c>
      <c r="G355" t="inlineStr">
        <is>
          <t>YSTAD</t>
        </is>
      </c>
      <c r="I355" t="n">
        <v>6.5</v>
      </c>
      <c r="J355" t="n">
        <v>0</v>
      </c>
      <c r="K355" t="n">
        <v>0</v>
      </c>
      <c r="L355" t="n">
        <v>1</v>
      </c>
      <c r="M355" t="n">
        <v>0</v>
      </c>
      <c r="N355" t="n">
        <v>0</v>
      </c>
      <c r="O355" t="n">
        <v>0</v>
      </c>
      <c r="P355" t="n">
        <v>0</v>
      </c>
      <c r="Q355" t="n">
        <v>1</v>
      </c>
      <c r="R355" t="n">
        <v>0</v>
      </c>
      <c r="S355" t="n">
        <v>2</v>
      </c>
      <c r="T355" t="n">
        <v>3</v>
      </c>
      <c r="U355" t="n">
        <v>3</v>
      </c>
      <c r="V355" s="2" t="inlineStr">
        <is>
          <t>Skogsveronika
Skärmstarr</t>
        </is>
      </c>
      <c r="W355">
        <f>HYPERLINK("https://klasma.github.io/Logging_1286/artfynd/A 31213-2023 artfynd.xlsx", "A 31213-2023")</f>
        <v/>
      </c>
      <c r="X355">
        <f>HYPERLINK("https://klasma.github.io/Logging_1286/kartor/A 31213-2023 karta.png", "A 31213-2023")</f>
        <v/>
      </c>
      <c r="Y355">
        <f>HYPERLINK("https://klasma.github.io/Logging_1286/kartor_geotiff/A 31213-2023 georefererad karta.tif", "A 31213-2023")</f>
        <v/>
      </c>
      <c r="AA355">
        <f>HYPERLINK("https://klasma.github.io/Logging_1286/klagomål/A 31213-2023 FSC-klagomål.docx", "A 31213-2023")</f>
        <v/>
      </c>
      <c r="AB355">
        <f>HYPERLINK("https://klasma.github.io/Logging_1286/klagomålsmail/A 31213-2023 FSC-klagomål mail.docx", "A 31213-2023")</f>
        <v/>
      </c>
      <c r="AC355">
        <f>HYPERLINK("https://klasma.github.io/Logging_1286/tillsyn/A 31213-2023 tillsynsbegäran.docx", "A 31213-2023")</f>
        <v/>
      </c>
      <c r="AD355">
        <f>HYPERLINK("https://klasma.github.io/Logging_1286/tillsynsmail/A 31213-2023 tillsynsbegäran mail.docx", "A 31213-2023")</f>
        <v/>
      </c>
    </row>
    <row r="356" ht="15" customHeight="1">
      <c r="A356" t="inlineStr">
        <is>
          <t>A 38011-2023</t>
        </is>
      </c>
      <c r="B356" t="inlineStr">
        <is>
          <t>avverkningsanmälan</t>
        </is>
      </c>
      <c r="C356" t="inlineStr">
        <is>
          <t>Föryngringsavverkning</t>
        </is>
      </c>
      <c r="D356" s="1" t="n">
        <v>45160</v>
      </c>
      <c r="E356" s="1" t="n">
        <v>46312</v>
      </c>
      <c r="F356" t="inlineStr">
        <is>
          <t>SKÅNE LÄN</t>
        </is>
      </c>
      <c r="G356" t="inlineStr">
        <is>
          <t>SVEDALA</t>
        </is>
      </c>
      <c r="I356" t="n">
        <v>2.8</v>
      </c>
      <c r="J356" t="n">
        <v>2</v>
      </c>
      <c r="K356" t="n">
        <v>1</v>
      </c>
      <c r="L356" t="n">
        <v>1</v>
      </c>
      <c r="M356" t="n">
        <v>0</v>
      </c>
      <c r="N356" t="n">
        <v>0</v>
      </c>
      <c r="O356" t="n">
        <v>0</v>
      </c>
      <c r="P356" t="n">
        <v>0</v>
      </c>
      <c r="Q356" t="n">
        <v>1</v>
      </c>
      <c r="R356" t="n">
        <v>0</v>
      </c>
      <c r="S356" t="n">
        <v>2</v>
      </c>
      <c r="T356" t="n">
        <v>2</v>
      </c>
      <c r="U356" t="n">
        <v>0</v>
      </c>
      <c r="V356" s="2" t="inlineStr">
        <is>
          <t>Lökgroda
Skogsknipprot</t>
        </is>
      </c>
      <c r="W356">
        <f>HYPERLINK("https://klasma.github.io/Logging_1263/artfynd/A 38011-2023 artfynd.xlsx", "A 38011-2023")</f>
        <v/>
      </c>
      <c r="X356">
        <f>HYPERLINK("https://klasma.github.io/Logging_1263/kartor/A 38011-2023 karta.png", "A 38011-2023")</f>
        <v/>
      </c>
      <c r="Y356">
        <f>HYPERLINK("https://klasma.github.io/Logging_1263/kartor_geotiff/A 38011-2023 georefererad karta.tif", "A 38011-2023")</f>
        <v/>
      </c>
      <c r="AA356">
        <f>HYPERLINK("https://klasma.github.io/Logging_1263/klagomål/A 38011-2023 FSC-klagomål.docx", "A 38011-2023")</f>
        <v/>
      </c>
      <c r="AB356">
        <f>HYPERLINK("https://klasma.github.io/Logging_1263/klagomålsmail/A 38011-2023 FSC-klagomål mail.docx", "A 38011-2023")</f>
        <v/>
      </c>
      <c r="AC356">
        <f>HYPERLINK("https://klasma.github.io/Logging_1263/tillsyn/A 38011-2023 tillsynsbegäran.docx", "A 38011-2023")</f>
        <v/>
      </c>
      <c r="AD356">
        <f>HYPERLINK("https://klasma.github.io/Logging_1263/tillsynsmail/A 38011-2023 tillsynsbegäran mail.docx", "A 38011-2023")</f>
        <v/>
      </c>
    </row>
    <row r="357" ht="15" customHeight="1">
      <c r="A357" t="inlineStr">
        <is>
          <t>A 8257-2025</t>
        </is>
      </c>
      <c r="B357" t="inlineStr">
        <is>
          <t>avverkningsanmälan</t>
        </is>
      </c>
      <c r="C357" t="inlineStr">
        <is>
          <t>Föryngringsavverkning</t>
        </is>
      </c>
      <c r="D357" s="1" t="n">
        <v>45708</v>
      </c>
      <c r="E357" s="1" t="n">
        <v>46312</v>
      </c>
      <c r="F357" t="inlineStr">
        <is>
          <t>SKÅNE LÄN</t>
        </is>
      </c>
      <c r="G357" t="inlineStr">
        <is>
          <t>HÄSSLEHOLM</t>
        </is>
      </c>
      <c r="I357" t="n">
        <v>2.1</v>
      </c>
      <c r="J357" t="n">
        <v>2</v>
      </c>
      <c r="K357" t="n">
        <v>0</v>
      </c>
      <c r="L357" t="n">
        <v>1</v>
      </c>
      <c r="M357" t="n">
        <v>0</v>
      </c>
      <c r="N357" t="n">
        <v>0</v>
      </c>
      <c r="O357" t="n">
        <v>0</v>
      </c>
      <c r="P357" t="n">
        <v>0</v>
      </c>
      <c r="Q357" t="n">
        <v>1</v>
      </c>
      <c r="R357" t="n">
        <v>0</v>
      </c>
      <c r="S357" t="n">
        <v>2</v>
      </c>
      <c r="T357" t="n">
        <v>2</v>
      </c>
      <c r="U357" t="n">
        <v>2</v>
      </c>
      <c r="V357" s="2" t="inlineStr">
        <is>
          <t>Talltita
Grönsiska</t>
        </is>
      </c>
      <c r="W357">
        <f>HYPERLINK("https://klasma.github.io/Logging_1293/artfynd/A 8257-2025 artfynd.xlsx", "A 8257-2025")</f>
        <v/>
      </c>
      <c r="X357">
        <f>HYPERLINK("https://klasma.github.io/Logging_1293/kartor/A 8257-2025 karta.png", "A 8257-2025")</f>
        <v/>
      </c>
      <c r="Y357">
        <f>HYPERLINK("https://klasma.github.io/Logging_1293/kartor_geotiff/A 8257-2025 georefererad karta.tif", "A 8257-2025")</f>
        <v/>
      </c>
      <c r="AA357">
        <f>HYPERLINK("https://klasma.github.io/Logging_1293/klagomål/A 8257-2025 FSC-klagomål.docx", "A 8257-2025")</f>
        <v/>
      </c>
      <c r="AB357">
        <f>HYPERLINK("https://klasma.github.io/Logging_1293/klagomålsmail/A 8257-2025 FSC-klagomål mail.docx", "A 8257-2025")</f>
        <v/>
      </c>
      <c r="AC357">
        <f>HYPERLINK("https://klasma.github.io/Logging_1293/tillsyn/A 8257-2025 tillsynsbegäran.docx", "A 8257-2025")</f>
        <v/>
      </c>
      <c r="AD357">
        <f>HYPERLINK("https://klasma.github.io/Logging_1293/tillsynsmail/A 8257-2025 tillsynsbegäran mail.docx", "A 8257-2025")</f>
        <v/>
      </c>
      <c r="AE357">
        <f>HYPERLINK("https://klasma.github.io/Logging_1293/fåglar/A 8257-2025 prioriterade fågelarter.docx", "A 8257-2025")</f>
        <v/>
      </c>
    </row>
    <row r="358" ht="15" customHeight="1">
      <c r="A358" t="inlineStr">
        <is>
          <t>A 9898-2025</t>
        </is>
      </c>
      <c r="B358" t="inlineStr">
        <is>
          <t>avverkningsanmälan</t>
        </is>
      </c>
      <c r="C358" t="inlineStr">
        <is>
          <t>Föryngringsavverkning</t>
        </is>
      </c>
      <c r="D358" s="1" t="n">
        <v>45716</v>
      </c>
      <c r="E358" s="1" t="n">
        <v>46312</v>
      </c>
      <c r="F358" t="inlineStr">
        <is>
          <t>SKÅNE LÄN</t>
        </is>
      </c>
      <c r="G358" t="inlineStr">
        <is>
          <t>KRISTIANSTAD</t>
        </is>
      </c>
      <c r="I358" t="n">
        <v>1.5</v>
      </c>
      <c r="J358" t="n">
        <v>0</v>
      </c>
      <c r="K358" t="n">
        <v>2</v>
      </c>
      <c r="L358" t="n">
        <v>0</v>
      </c>
      <c r="M358" t="n">
        <v>0</v>
      </c>
      <c r="N358" t="n">
        <v>0</v>
      </c>
      <c r="O358" t="n">
        <v>0</v>
      </c>
      <c r="P358" t="n">
        <v>0</v>
      </c>
      <c r="Q358" t="n">
        <v>0</v>
      </c>
      <c r="R358" t="n">
        <v>0</v>
      </c>
      <c r="S358" t="n">
        <v>2</v>
      </c>
      <c r="T358" t="n">
        <v>2</v>
      </c>
      <c r="U358" t="n">
        <v>0</v>
      </c>
      <c r="V358" s="2" t="inlineStr">
        <is>
          <t>Fransig jordstjärna
Kantjordstjärna</t>
        </is>
      </c>
      <c r="W358">
        <f>HYPERLINK("https://klasma.github.io/Logging_1290/artfynd/A 9898-2025 artfynd.xlsx", "A 9898-2025")</f>
        <v/>
      </c>
      <c r="X358">
        <f>HYPERLINK("https://klasma.github.io/Logging_1290/kartor/A 9898-2025 karta.png", "A 9898-2025")</f>
        <v/>
      </c>
      <c r="Y358">
        <f>HYPERLINK("https://klasma.github.io/Logging_1290/kartor_geotiff/A 9898-2025 georefererad karta.tif", "A 9898-2025")</f>
        <v/>
      </c>
      <c r="AA358">
        <f>HYPERLINK("https://klasma.github.io/Logging_1290/klagomål/A 9898-2025 FSC-klagomål.docx", "A 9898-2025")</f>
        <v/>
      </c>
      <c r="AB358">
        <f>HYPERLINK("https://klasma.github.io/Logging_1290/klagomålsmail/A 9898-2025 FSC-klagomål mail.docx", "A 9898-2025")</f>
        <v/>
      </c>
      <c r="AC358">
        <f>HYPERLINK("https://klasma.github.io/Logging_1290/tillsyn/A 9898-2025 tillsynsbegäran.docx", "A 9898-2025")</f>
        <v/>
      </c>
      <c r="AD358">
        <f>HYPERLINK("https://klasma.github.io/Logging_1290/tillsynsmail/A 9898-2025 tillsynsbegäran mail.docx", "A 9898-2025")</f>
        <v/>
      </c>
    </row>
    <row r="359" ht="15" customHeight="1">
      <c r="A359" t="inlineStr">
        <is>
          <t>A 9487-2023</t>
        </is>
      </c>
      <c r="B359" t="inlineStr">
        <is>
          <t>avverkningsanmälan</t>
        </is>
      </c>
      <c r="C359" t="inlineStr">
        <is>
          <t>Föryngringsavverkning</t>
        </is>
      </c>
      <c r="D359" s="1" t="n">
        <v>44981</v>
      </c>
      <c r="E359" s="1" t="n">
        <v>46312</v>
      </c>
      <c r="F359" t="inlineStr">
        <is>
          <t>SKÅNE LÄN</t>
        </is>
      </c>
      <c r="G359" t="inlineStr">
        <is>
          <t>ESLÖV</t>
        </is>
      </c>
      <c r="I359" t="n">
        <v>1.9</v>
      </c>
      <c r="J359" t="n">
        <v>0</v>
      </c>
      <c r="K359" t="n">
        <v>1</v>
      </c>
      <c r="L359" t="n">
        <v>1</v>
      </c>
      <c r="M359" t="n">
        <v>0</v>
      </c>
      <c r="N359" t="n">
        <v>0</v>
      </c>
      <c r="O359" t="n">
        <v>0</v>
      </c>
      <c r="P359" t="n">
        <v>0</v>
      </c>
      <c r="Q359" t="n">
        <v>1</v>
      </c>
      <c r="R359" t="n">
        <v>0</v>
      </c>
      <c r="S359" t="n">
        <v>2</v>
      </c>
      <c r="T359" t="n">
        <v>2</v>
      </c>
      <c r="U359" t="n">
        <v>0</v>
      </c>
      <c r="V359" s="2" t="inlineStr">
        <is>
          <t>Älg
Kambräken</t>
        </is>
      </c>
      <c r="W359">
        <f>HYPERLINK("https://klasma.github.io/Logging_1285/artfynd/A 9487-2023 artfynd.xlsx", "A 9487-2023")</f>
        <v/>
      </c>
      <c r="X359">
        <f>HYPERLINK("https://klasma.github.io/Logging_1285/kartor/A 9487-2023 karta.png", "A 9487-2023")</f>
        <v/>
      </c>
      <c r="Y359">
        <f>HYPERLINK("https://klasma.github.io/Logging_1285/kartor_geotiff/A 9487-2023 georefererad karta.tif", "A 9487-2023")</f>
        <v/>
      </c>
      <c r="AA359">
        <f>HYPERLINK("https://klasma.github.io/Logging_1285/klagomål/A 9487-2023 FSC-klagomål.docx", "A 9487-2023")</f>
        <v/>
      </c>
      <c r="AB359">
        <f>HYPERLINK("https://klasma.github.io/Logging_1285/klagomålsmail/A 9487-2023 FSC-klagomål mail.docx", "A 9487-2023")</f>
        <v/>
      </c>
      <c r="AC359">
        <f>HYPERLINK("https://klasma.github.io/Logging_1285/tillsyn/A 9487-2023 tillsynsbegäran.docx", "A 9487-2023")</f>
        <v/>
      </c>
      <c r="AD359">
        <f>HYPERLINK("https://klasma.github.io/Logging_1285/tillsynsmail/A 9487-2023 tillsynsbegäran mail.docx", "A 9487-2023")</f>
        <v/>
      </c>
    </row>
    <row r="360" ht="15" customHeight="1">
      <c r="A360" t="inlineStr">
        <is>
          <t>A 38164-2026</t>
        </is>
      </c>
      <c r="B360" t="inlineStr">
        <is>
          <t>avverkningsanmälan</t>
        </is>
      </c>
      <c r="C360" t="inlineStr">
        <is>
          <t>Föryngringsavverkning</t>
        </is>
      </c>
      <c r="D360" s="1" t="n">
        <v>46281</v>
      </c>
      <c r="E360" s="1" t="n">
        <v>46312</v>
      </c>
      <c r="F360" t="inlineStr">
        <is>
          <t>SKÅNE LÄN</t>
        </is>
      </c>
      <c r="G360" t="inlineStr">
        <is>
          <t>BROMÖLLA</t>
        </is>
      </c>
      <c r="I360" t="n">
        <v>6.9</v>
      </c>
      <c r="J360" t="n">
        <v>2</v>
      </c>
      <c r="K360" t="n">
        <v>0</v>
      </c>
      <c r="L360" t="n">
        <v>1</v>
      </c>
      <c r="M360" t="n">
        <v>0</v>
      </c>
      <c r="N360" t="n">
        <v>0</v>
      </c>
      <c r="O360" t="n">
        <v>0</v>
      </c>
      <c r="P360" t="n">
        <v>0</v>
      </c>
      <c r="Q360" t="n">
        <v>1</v>
      </c>
      <c r="R360" t="n">
        <v>0</v>
      </c>
      <c r="S360" t="n">
        <v>2</v>
      </c>
      <c r="T360" t="n">
        <v>2</v>
      </c>
      <c r="U360" t="n">
        <v>2</v>
      </c>
      <c r="V360" s="2" t="inlineStr">
        <is>
          <t>Entita
Spillkråka</t>
        </is>
      </c>
      <c r="W360">
        <f>HYPERLINK("https://klasma.github.io/Logging_1272/artfynd/A 38164-2026 artfynd.xlsx", "A 38164-2026")</f>
        <v/>
      </c>
      <c r="X360">
        <f>HYPERLINK("https://klasma.github.io/Logging_1272/kartor/A 38164-2026 karta.png", "A 38164-2026")</f>
        <v/>
      </c>
      <c r="Y360">
        <f>HYPERLINK("https://klasma.github.io/Logging_1272/kartor_geotiff/A 38164-2026 georefererad karta.tif", "A 38164-2026")</f>
        <v/>
      </c>
      <c r="AA360">
        <f>HYPERLINK("https://klasma.github.io/Logging_1272/klagomål/A 38164-2026 FSC-klagomål.docx", "A 38164-2026")</f>
        <v/>
      </c>
      <c r="AB360">
        <f>HYPERLINK("https://klasma.github.io/Logging_1272/klagomålsmail/A 38164-2026 FSC-klagomål mail.docx", "A 38164-2026")</f>
        <v/>
      </c>
      <c r="AC360">
        <f>HYPERLINK("https://klasma.github.io/Logging_1272/tillsyn/A 38164-2026 tillsynsbegäran.docx", "A 38164-2026")</f>
        <v/>
      </c>
      <c r="AD360">
        <f>HYPERLINK("https://klasma.github.io/Logging_1272/tillsynsmail/A 38164-2026 tillsynsbegäran mail.docx", "A 38164-2026")</f>
        <v/>
      </c>
      <c r="AE360">
        <f>HYPERLINK("https://klasma.github.io/Logging_1272/fåglar/A 38164-2026 prioriterade fågelarter.docx", "A 38164-2026")</f>
        <v/>
      </c>
    </row>
    <row r="361" ht="15" customHeight="1">
      <c r="A361" t="inlineStr">
        <is>
          <t>A 38317-2026</t>
        </is>
      </c>
      <c r="B361" t="inlineStr">
        <is>
          <t>avverkningsanmälan</t>
        </is>
      </c>
      <c r="C361" t="inlineStr">
        <is>
          <t>Föryngringsavverkning</t>
        </is>
      </c>
      <c r="D361" s="1" t="n">
        <v>46282</v>
      </c>
      <c r="E361" s="1" t="n">
        <v>46312</v>
      </c>
      <c r="F361" t="inlineStr">
        <is>
          <t>SKÅNE LÄN</t>
        </is>
      </c>
      <c r="G361" t="inlineStr">
        <is>
          <t>HÖÖR</t>
        </is>
      </c>
      <c r="I361" t="n">
        <v>1</v>
      </c>
      <c r="J361" t="n">
        <v>0</v>
      </c>
      <c r="K361" t="n">
        <v>0</v>
      </c>
      <c r="L361" t="n">
        <v>1</v>
      </c>
      <c r="M361" t="n">
        <v>1</v>
      </c>
      <c r="N361" t="n">
        <v>0</v>
      </c>
      <c r="O361" t="n">
        <v>0</v>
      </c>
      <c r="P361" t="n">
        <v>0</v>
      </c>
      <c r="Q361" t="n">
        <v>2</v>
      </c>
      <c r="R361" t="n">
        <v>1</v>
      </c>
      <c r="S361" t="n">
        <v>2</v>
      </c>
      <c r="T361" t="n">
        <v>2</v>
      </c>
      <c r="U361" t="n">
        <v>0</v>
      </c>
      <c r="V361" s="2" t="inlineStr">
        <is>
          <t>Småvänderot
Gullpudra</t>
        </is>
      </c>
      <c r="W361">
        <f>HYPERLINK("https://klasma.github.io/Logging_1267/artfynd/A 38317-2026 artfynd.xlsx", "A 38317-2026")</f>
        <v/>
      </c>
      <c r="X361">
        <f>HYPERLINK("https://klasma.github.io/Logging_1267/kartor/A 38317-2026 karta.png", "A 38317-2026")</f>
        <v/>
      </c>
      <c r="Y361">
        <f>HYPERLINK("https://klasma.github.io/Logging_1267/kartor_geotiff/A 38317-2026 georefererad karta.tif", "A 38317-2026")</f>
        <v/>
      </c>
      <c r="AA361">
        <f>HYPERLINK("https://klasma.github.io/Logging_1267/klagomål/A 38317-2026 FSC-klagomål.docx", "A 38317-2026")</f>
        <v/>
      </c>
      <c r="AB361">
        <f>HYPERLINK("https://klasma.github.io/Logging_1267/klagomålsmail/A 38317-2026 FSC-klagomål mail.docx", "A 38317-2026")</f>
        <v/>
      </c>
      <c r="AC361">
        <f>HYPERLINK("https://klasma.github.io/Logging_1267/tillsyn/A 38317-2026 tillsynsbegäran.docx", "A 38317-2026")</f>
        <v/>
      </c>
      <c r="AD361">
        <f>HYPERLINK("https://klasma.github.io/Logging_1267/tillsynsmail/A 38317-2026 tillsynsbegäran mail.docx", "A 38317-2026")</f>
        <v/>
      </c>
    </row>
    <row r="362" ht="15" customHeight="1">
      <c r="A362" t="inlineStr">
        <is>
          <t>A 15229-2023</t>
        </is>
      </c>
      <c r="B362" t="inlineStr">
        <is>
          <t>avverkningsanmälan</t>
        </is>
      </c>
      <c r="C362" t="inlineStr">
        <is>
          <t>Föryngringsavverkning</t>
        </is>
      </c>
      <c r="D362" s="1" t="n">
        <v>45016</v>
      </c>
      <c r="E362" s="1" t="n">
        <v>46312</v>
      </c>
      <c r="F362" t="inlineStr">
        <is>
          <t>SKÅNE LÄN</t>
        </is>
      </c>
      <c r="G362" t="inlineStr">
        <is>
          <t>KRISTIANSTAD</t>
        </is>
      </c>
      <c r="I362" t="n">
        <v>1.2</v>
      </c>
      <c r="J362" t="n">
        <v>2</v>
      </c>
      <c r="K362" t="n">
        <v>0</v>
      </c>
      <c r="L362" t="n">
        <v>1</v>
      </c>
      <c r="M362" t="n">
        <v>0</v>
      </c>
      <c r="N362" t="n">
        <v>0</v>
      </c>
      <c r="O362" t="n">
        <v>0</v>
      </c>
      <c r="P362" t="n">
        <v>0</v>
      </c>
      <c r="Q362" t="n">
        <v>1</v>
      </c>
      <c r="R362" t="n">
        <v>0</v>
      </c>
      <c r="S362" t="n">
        <v>2</v>
      </c>
      <c r="T362" t="n">
        <v>2</v>
      </c>
      <c r="U362" t="n">
        <v>0</v>
      </c>
      <c r="V362" s="2" t="inlineStr">
        <is>
          <t>Drillsnäppa
Buskskvätta</t>
        </is>
      </c>
      <c r="W362">
        <f>HYPERLINK("https://klasma.github.io/Logging_1290/artfynd/A 15229-2023 artfynd.xlsx", "A 15229-2023")</f>
        <v/>
      </c>
      <c r="X362">
        <f>HYPERLINK("https://klasma.github.io/Logging_1290/kartor/A 15229-2023 karta.png", "A 15229-2023")</f>
        <v/>
      </c>
      <c r="Y362">
        <f>HYPERLINK("https://klasma.github.io/Logging_1290/kartor_geotiff/A 15229-2023 georefererad karta.tif", "A 15229-2023")</f>
        <v/>
      </c>
      <c r="AA362">
        <f>HYPERLINK("https://klasma.github.io/Logging_1290/klagomål/A 15229-2023 FSC-klagomål.docx", "A 15229-2023")</f>
        <v/>
      </c>
      <c r="AB362">
        <f>HYPERLINK("https://klasma.github.io/Logging_1290/klagomålsmail/A 15229-2023 FSC-klagomål mail.docx", "A 15229-2023")</f>
        <v/>
      </c>
      <c r="AC362">
        <f>HYPERLINK("https://klasma.github.io/Logging_1290/tillsyn/A 15229-2023 tillsynsbegäran.docx", "A 15229-2023")</f>
        <v/>
      </c>
      <c r="AD362">
        <f>HYPERLINK("https://klasma.github.io/Logging_1290/tillsynsmail/A 15229-2023 tillsynsbegäran mail.docx", "A 15229-2023")</f>
        <v/>
      </c>
      <c r="AE362">
        <f>HYPERLINK("https://klasma.github.io/Logging_1290/fåglar/A 15229-2023 prioriterade fågelarter.docx", "A 15229-2023")</f>
        <v/>
      </c>
    </row>
    <row r="363" ht="15" customHeight="1">
      <c r="A363" t="inlineStr">
        <is>
          <t>A 51859-2024</t>
        </is>
      </c>
      <c r="B363" t="inlineStr">
        <is>
          <t>avverkningsanmälan</t>
        </is>
      </c>
      <c r="C363" t="inlineStr">
        <is>
          <t>Avverkning för att bevara och utveckla /försöksver</t>
        </is>
      </c>
      <c r="D363" s="1" t="n">
        <v>45607</v>
      </c>
      <c r="E363" s="1" t="n">
        <v>46312</v>
      </c>
      <c r="F363" t="inlineStr">
        <is>
          <t>SKÅNE LÄN</t>
        </is>
      </c>
      <c r="G363" t="inlineStr">
        <is>
          <t>OSBY</t>
        </is>
      </c>
      <c r="H363" t="inlineStr">
        <is>
          <t>Sveaskog</t>
        </is>
      </c>
      <c r="I363" t="n">
        <v>2.8</v>
      </c>
      <c r="J363" t="n">
        <v>2</v>
      </c>
      <c r="K363" t="n">
        <v>0</v>
      </c>
      <c r="L363" t="n">
        <v>0</v>
      </c>
      <c r="M363" t="n">
        <v>0</v>
      </c>
      <c r="N363" t="n">
        <v>0</v>
      </c>
      <c r="O363" t="n">
        <v>0</v>
      </c>
      <c r="P363" t="n">
        <v>0</v>
      </c>
      <c r="Q363" t="n">
        <v>0</v>
      </c>
      <c r="R363" t="n">
        <v>0</v>
      </c>
      <c r="S363" t="n">
        <v>2</v>
      </c>
      <c r="T363" t="n">
        <v>2</v>
      </c>
      <c r="U363" t="n">
        <v>0</v>
      </c>
      <c r="V363" s="2" t="inlineStr">
        <is>
          <t>Spillkråka
Gröngöling</t>
        </is>
      </c>
      <c r="W363">
        <f>HYPERLINK("https://klasma.github.io/Logging_1273/artfynd/A 51859-2024 artfynd.xlsx", "A 51859-2024")</f>
        <v/>
      </c>
      <c r="X363">
        <f>HYPERLINK("https://klasma.github.io/Logging_1273/kartor/A 51859-2024 karta.png", "A 51859-2024")</f>
        <v/>
      </c>
      <c r="Y363">
        <f>HYPERLINK("https://klasma.github.io/Logging_1273/kartor_geotiff/A 51859-2024 georefererad karta.tif", "A 51859-2024")</f>
        <v/>
      </c>
      <c r="AA363">
        <f>HYPERLINK("https://klasma.github.io/Logging_1273/klagomål/A 51859-2024 FSC-klagomål.docx", "A 51859-2024")</f>
        <v/>
      </c>
      <c r="AB363">
        <f>HYPERLINK("https://klasma.github.io/Logging_1273/klagomålsmail/A 51859-2024 FSC-klagomål mail.docx", "A 51859-2024")</f>
        <v/>
      </c>
      <c r="AC363">
        <f>HYPERLINK("https://klasma.github.io/Logging_1273/tillsyn/A 51859-2024 tillsynsbegäran.docx", "A 51859-2024")</f>
        <v/>
      </c>
      <c r="AD363">
        <f>HYPERLINK("https://klasma.github.io/Logging_1273/tillsynsmail/A 51859-2024 tillsynsbegäran mail.docx", "A 51859-2024")</f>
        <v/>
      </c>
      <c r="AE363">
        <f>HYPERLINK("https://klasma.github.io/Logging_1273/fåglar/A 51859-2024 prioriterade fågelarter.docx", "A 51859-2024")</f>
        <v/>
      </c>
    </row>
    <row r="364" ht="15" customHeight="1">
      <c r="A364" t="inlineStr">
        <is>
          <t>A 48974-2023</t>
        </is>
      </c>
      <c r="B364" t="inlineStr">
        <is>
          <t>avverkningsanmälan</t>
        </is>
      </c>
      <c r="C364" t="inlineStr">
        <is>
          <t>Föryngringsavverkning</t>
        </is>
      </c>
      <c r="D364" s="1" t="n">
        <v>45209</v>
      </c>
      <c r="E364" s="1" t="n">
        <v>46312</v>
      </c>
      <c r="F364" t="inlineStr">
        <is>
          <t>SKÅNE LÄN</t>
        </is>
      </c>
      <c r="G364" t="inlineStr">
        <is>
          <t>BÅSTAD</t>
        </is>
      </c>
      <c r="I364" t="n">
        <v>4.5</v>
      </c>
      <c r="J364" t="n">
        <v>0</v>
      </c>
      <c r="K364" t="n">
        <v>0</v>
      </c>
      <c r="L364" t="n">
        <v>1</v>
      </c>
      <c r="M364" t="n">
        <v>0</v>
      </c>
      <c r="N364" t="n">
        <v>1</v>
      </c>
      <c r="O364" t="n">
        <v>0</v>
      </c>
      <c r="P364" t="n">
        <v>0</v>
      </c>
      <c r="Q364" t="n">
        <v>2</v>
      </c>
      <c r="R364" t="n">
        <v>1</v>
      </c>
      <c r="S364" t="n">
        <v>2</v>
      </c>
      <c r="T364" t="n">
        <v>2</v>
      </c>
      <c r="U364" t="n">
        <v>0</v>
      </c>
      <c r="V364" s="2" t="inlineStr">
        <is>
          <t>Ask
Gullpudra</t>
        </is>
      </c>
      <c r="W364">
        <f>HYPERLINK("https://klasma.github.io/Logging_1278/artfynd/A 48974-2023 artfynd.xlsx", "A 48974-2023")</f>
        <v/>
      </c>
      <c r="X364">
        <f>HYPERLINK("https://klasma.github.io/Logging_1278/kartor/A 48974-2023 karta.png", "A 48974-2023")</f>
        <v/>
      </c>
      <c r="Y364">
        <f>HYPERLINK("https://klasma.github.io/Logging_1278/kartor_geotiff/A 48974-2023 georefererad karta.tif", "A 48974-2023")</f>
        <v/>
      </c>
      <c r="AA364">
        <f>HYPERLINK("https://klasma.github.io/Logging_1278/klagomål/A 48974-2023 FSC-klagomål.docx", "A 48974-2023")</f>
        <v/>
      </c>
      <c r="AB364">
        <f>HYPERLINK("https://klasma.github.io/Logging_1278/klagomålsmail/A 48974-2023 FSC-klagomål mail.docx", "A 48974-2023")</f>
        <v/>
      </c>
      <c r="AC364">
        <f>HYPERLINK("https://klasma.github.io/Logging_1278/tillsyn/A 48974-2023 tillsynsbegäran.docx", "A 48974-2023")</f>
        <v/>
      </c>
      <c r="AD364">
        <f>HYPERLINK("https://klasma.github.io/Logging_1278/tillsynsmail/A 48974-2023 tillsynsbegäran mail.docx", "A 48974-2023")</f>
        <v/>
      </c>
    </row>
    <row r="365" ht="15" customHeight="1">
      <c r="A365" t="inlineStr">
        <is>
          <t>A 15565-2024</t>
        </is>
      </c>
      <c r="B365" t="inlineStr">
        <is>
          <t>avverkningsanmälan</t>
        </is>
      </c>
      <c r="C365" t="inlineStr">
        <is>
          <t>Föryngringsavverkning</t>
        </is>
      </c>
      <c r="D365" s="1" t="n">
        <v>45401</v>
      </c>
      <c r="E365" s="1" t="n">
        <v>46312</v>
      </c>
      <c r="F365" t="inlineStr">
        <is>
          <t>SKÅNE LÄN</t>
        </is>
      </c>
      <c r="G365" t="inlineStr">
        <is>
          <t>SVEDALA</t>
        </is>
      </c>
      <c r="I365" t="n">
        <v>7</v>
      </c>
      <c r="J365" t="n">
        <v>0</v>
      </c>
      <c r="K365" t="n">
        <v>0</v>
      </c>
      <c r="L365" t="n">
        <v>0</v>
      </c>
      <c r="M365" t="n">
        <v>1</v>
      </c>
      <c r="N365" t="n">
        <v>1</v>
      </c>
      <c r="O365" t="n">
        <v>0</v>
      </c>
      <c r="P365" t="n">
        <v>0</v>
      </c>
      <c r="Q365" t="n">
        <v>2</v>
      </c>
      <c r="R365" t="n">
        <v>2</v>
      </c>
      <c r="S365" t="n">
        <v>2</v>
      </c>
      <c r="T365" t="n">
        <v>4</v>
      </c>
      <c r="U365" t="n">
        <v>2</v>
      </c>
      <c r="V365" s="2" t="inlineStr">
        <is>
          <t>Skogsalm
Igelkott</t>
        </is>
      </c>
      <c r="W365">
        <f>HYPERLINK("https://klasma.github.io/Logging_1263/artfynd/A 15565-2024 artfynd.xlsx", "A 15565-2024")</f>
        <v/>
      </c>
      <c r="X365">
        <f>HYPERLINK("https://klasma.github.io/Logging_1263/kartor/A 15565-2024 karta.png", "A 15565-2024")</f>
        <v/>
      </c>
      <c r="Y365">
        <f>HYPERLINK("https://klasma.github.io/Logging_1263/kartor_geotiff/A 15565-2024 georefererad karta.tif", "A 15565-2024")</f>
        <v/>
      </c>
      <c r="AA365">
        <f>HYPERLINK("https://klasma.github.io/Logging_1263/klagomål/A 15565-2024 FSC-klagomål.docx", "A 15565-2024")</f>
        <v/>
      </c>
      <c r="AB365">
        <f>HYPERLINK("https://klasma.github.io/Logging_1263/klagomålsmail/A 15565-2024 FSC-klagomål mail.docx", "A 15565-2024")</f>
        <v/>
      </c>
      <c r="AC365">
        <f>HYPERLINK("https://klasma.github.io/Logging_1263/tillsyn/A 15565-2024 tillsynsbegäran.docx", "A 15565-2024")</f>
        <v/>
      </c>
      <c r="AD365">
        <f>HYPERLINK("https://klasma.github.io/Logging_1263/tillsynsmail/A 15565-2024 tillsynsbegäran mail.docx", "A 15565-2024")</f>
        <v/>
      </c>
    </row>
    <row r="366" ht="15" customHeight="1">
      <c r="A366" t="inlineStr">
        <is>
          <t>A 74272-2021</t>
        </is>
      </c>
      <c r="B366" t="inlineStr">
        <is>
          <t>avverkningsanmälan</t>
        </is>
      </c>
      <c r="C366" t="inlineStr">
        <is>
          <t>Föryngringsavverkning</t>
        </is>
      </c>
      <c r="D366" s="1" t="n">
        <v>44553</v>
      </c>
      <c r="E366" s="1" t="n">
        <v>46312</v>
      </c>
      <c r="F366" t="inlineStr">
        <is>
          <t>SKÅNE LÄN</t>
        </is>
      </c>
      <c r="G366" t="inlineStr">
        <is>
          <t>ÄNGELHOLM</t>
        </is>
      </c>
      <c r="I366" t="n">
        <v>5</v>
      </c>
      <c r="J366" t="n">
        <v>2</v>
      </c>
      <c r="K366" t="n">
        <v>0</v>
      </c>
      <c r="L366" t="n">
        <v>1</v>
      </c>
      <c r="M366" t="n">
        <v>0</v>
      </c>
      <c r="N366" t="n">
        <v>0</v>
      </c>
      <c r="O366" t="n">
        <v>0</v>
      </c>
      <c r="P366" t="n">
        <v>0</v>
      </c>
      <c r="Q366" t="n">
        <v>1</v>
      </c>
      <c r="R366" t="n">
        <v>0</v>
      </c>
      <c r="S366" t="n">
        <v>2</v>
      </c>
      <c r="T366" t="n">
        <v>2</v>
      </c>
      <c r="U366" t="n">
        <v>2</v>
      </c>
      <c r="V366" s="2" t="inlineStr">
        <is>
          <t>Entita
Grönsiska</t>
        </is>
      </c>
      <c r="W366">
        <f>HYPERLINK("https://klasma.github.io/Logging_1292/artfynd/A 74272-2021 artfynd.xlsx", "A 74272-2021")</f>
        <v/>
      </c>
      <c r="X366">
        <f>HYPERLINK("https://klasma.github.io/Logging_1292/kartor/A 74272-2021 karta.png", "A 74272-2021")</f>
        <v/>
      </c>
      <c r="Y366">
        <f>HYPERLINK("https://klasma.github.io/Logging_1292/kartor_geotiff/A 74272-2021 georefererad karta.tif", "A 74272-2021")</f>
        <v/>
      </c>
      <c r="AA366">
        <f>HYPERLINK("https://klasma.github.io/Logging_1292/klagomål/A 74272-2021 FSC-klagomål.docx", "A 74272-2021")</f>
        <v/>
      </c>
      <c r="AB366">
        <f>HYPERLINK("https://klasma.github.io/Logging_1292/klagomålsmail/A 74272-2021 FSC-klagomål mail.docx", "A 74272-2021")</f>
        <v/>
      </c>
      <c r="AC366">
        <f>HYPERLINK("https://klasma.github.io/Logging_1292/tillsyn/A 74272-2021 tillsynsbegäran.docx", "A 74272-2021")</f>
        <v/>
      </c>
      <c r="AD366">
        <f>HYPERLINK("https://klasma.github.io/Logging_1292/tillsynsmail/A 74272-2021 tillsynsbegäran mail.docx", "A 74272-2021")</f>
        <v/>
      </c>
      <c r="AE366">
        <f>HYPERLINK("https://klasma.github.io/Logging_1292/fåglar/A 74272-2021 prioriterade fågelarter.docx", "A 74272-2021")</f>
        <v/>
      </c>
    </row>
    <row r="367" ht="15" customHeight="1">
      <c r="A367" t="inlineStr">
        <is>
          <t>A 39440-2026</t>
        </is>
      </c>
      <c r="B367" t="inlineStr">
        <is>
          <t>avverkningsanmälan</t>
        </is>
      </c>
      <c r="C367" t="inlineStr">
        <is>
          <t>Föryngringsavverkning</t>
        </is>
      </c>
      <c r="D367" s="1" t="n">
        <v>46288</v>
      </c>
      <c r="E367" s="1" t="n">
        <v>46312</v>
      </c>
      <c r="F367" t="inlineStr">
        <is>
          <t>SKÅNE LÄN</t>
        </is>
      </c>
      <c r="G367" t="inlineStr">
        <is>
          <t>KLIPPAN</t>
        </is>
      </c>
      <c r="I367" t="n">
        <v>0.7</v>
      </c>
      <c r="J367" t="n">
        <v>2</v>
      </c>
      <c r="K367" t="n">
        <v>0</v>
      </c>
      <c r="L367" t="n">
        <v>1</v>
      </c>
      <c r="M367" t="n">
        <v>0</v>
      </c>
      <c r="N367" t="n">
        <v>0</v>
      </c>
      <c r="O367" t="n">
        <v>0</v>
      </c>
      <c r="P367" t="n">
        <v>0</v>
      </c>
      <c r="Q367" t="n">
        <v>1</v>
      </c>
      <c r="R367" t="n">
        <v>0</v>
      </c>
      <c r="S367" t="n">
        <v>2</v>
      </c>
      <c r="T367" t="n">
        <v>4</v>
      </c>
      <c r="U367" t="n">
        <v>4</v>
      </c>
      <c r="V367" s="2" t="inlineStr">
        <is>
          <t>Entita
Vanlig groda</t>
        </is>
      </c>
      <c r="W367">
        <f>HYPERLINK("https://klasma.github.io/Logging_1276/artfynd/A 39440-2026 artfynd.xlsx", "A 39440-2026")</f>
        <v/>
      </c>
      <c r="X367">
        <f>HYPERLINK("https://klasma.github.io/Logging_1276/kartor/A 39440-2026 karta.png", "A 39440-2026")</f>
        <v/>
      </c>
      <c r="Y367">
        <f>HYPERLINK("https://klasma.github.io/Logging_1276/kartor_geotiff/A 39440-2026 georefererad karta.tif", "A 39440-2026")</f>
        <v/>
      </c>
      <c r="AA367">
        <f>HYPERLINK("https://klasma.github.io/Logging_1276/klagomål/A 39440-2026 FSC-klagomål.docx", "A 39440-2026")</f>
        <v/>
      </c>
      <c r="AB367">
        <f>HYPERLINK("https://klasma.github.io/Logging_1276/klagomålsmail/A 39440-2026 FSC-klagomål mail.docx", "A 39440-2026")</f>
        <v/>
      </c>
      <c r="AC367">
        <f>HYPERLINK("https://klasma.github.io/Logging_1276/tillsyn/A 39440-2026 tillsynsbegäran.docx", "A 39440-2026")</f>
        <v/>
      </c>
      <c r="AD367">
        <f>HYPERLINK("https://klasma.github.io/Logging_1276/tillsynsmail/A 39440-2026 tillsynsbegäran mail.docx", "A 39440-2026")</f>
        <v/>
      </c>
      <c r="AE367">
        <f>HYPERLINK("https://klasma.github.io/Logging_1276/fåglar/A 39440-2026 prioriterade fågelarter.docx", "A 39440-2026")</f>
        <v/>
      </c>
    </row>
    <row r="368" ht="15" customHeight="1">
      <c r="A368" t="inlineStr">
        <is>
          <t>A 55499-2024</t>
        </is>
      </c>
      <c r="B368" t="inlineStr">
        <is>
          <t>avverkningsanmälan</t>
        </is>
      </c>
      <c r="C368" t="inlineStr">
        <is>
          <t>Föryngringsavverkning</t>
        </is>
      </c>
      <c r="D368" s="1" t="n">
        <v>45622</v>
      </c>
      <c r="E368" s="1" t="n">
        <v>46312</v>
      </c>
      <c r="F368" t="inlineStr">
        <is>
          <t>SKÅNE LÄN</t>
        </is>
      </c>
      <c r="G368" t="inlineStr">
        <is>
          <t>KRISTIANSTAD</t>
        </is>
      </c>
      <c r="H368" t="inlineStr">
        <is>
          <t>Övriga Aktiebolag</t>
        </is>
      </c>
      <c r="I368" t="n">
        <v>2.1</v>
      </c>
      <c r="J368" t="n">
        <v>1</v>
      </c>
      <c r="K368" t="n">
        <v>0</v>
      </c>
      <c r="L368" t="n">
        <v>0</v>
      </c>
      <c r="M368" t="n">
        <v>1</v>
      </c>
      <c r="N368" t="n">
        <v>0</v>
      </c>
      <c r="O368" t="n">
        <v>0</v>
      </c>
      <c r="P368" t="n">
        <v>0</v>
      </c>
      <c r="Q368" t="n">
        <v>1</v>
      </c>
      <c r="R368" t="n">
        <v>1</v>
      </c>
      <c r="S368" t="n">
        <v>2</v>
      </c>
      <c r="T368" t="n">
        <v>2</v>
      </c>
      <c r="U368" t="n">
        <v>2</v>
      </c>
      <c r="V368" s="2" t="inlineStr">
        <is>
          <t>Hedpärlemorfjäril
Grönvit nattviol</t>
        </is>
      </c>
      <c r="W368">
        <f>HYPERLINK("https://klasma.github.io/Logging_1290/artfynd/A 55499-2024 artfynd.xlsx", "A 55499-2024")</f>
        <v/>
      </c>
      <c r="X368">
        <f>HYPERLINK("https://klasma.github.io/Logging_1290/kartor/A 55499-2024 karta.png", "A 55499-2024")</f>
        <v/>
      </c>
      <c r="Y368">
        <f>HYPERLINK("https://klasma.github.io/Logging_1290/kartor_geotiff/A 55499-2024 georefererad karta.tif", "A 55499-2024")</f>
        <v/>
      </c>
      <c r="AA368">
        <f>HYPERLINK("https://klasma.github.io/Logging_1290/klagomål/A 55499-2024 FSC-klagomål.docx", "A 55499-2024")</f>
        <v/>
      </c>
      <c r="AB368">
        <f>HYPERLINK("https://klasma.github.io/Logging_1290/klagomålsmail/A 55499-2024 FSC-klagomål mail.docx", "A 55499-2024")</f>
        <v/>
      </c>
      <c r="AC368">
        <f>HYPERLINK("https://klasma.github.io/Logging_1290/tillsyn/A 55499-2024 tillsynsbegäran.docx", "A 55499-2024")</f>
        <v/>
      </c>
      <c r="AD368">
        <f>HYPERLINK("https://klasma.github.io/Logging_1290/tillsynsmail/A 55499-2024 tillsynsbegäran mail.docx", "A 55499-2024")</f>
        <v/>
      </c>
    </row>
    <row r="369" ht="15" customHeight="1">
      <c r="A369" t="inlineStr">
        <is>
          <t>A 60333-2022</t>
        </is>
      </c>
      <c r="B369" t="inlineStr">
        <is>
          <t>avverkningsanmälan</t>
        </is>
      </c>
      <c r="C369" t="inlineStr">
        <is>
          <t>Föryngringsavverkning</t>
        </is>
      </c>
      <c r="D369" s="1" t="n">
        <v>44910</v>
      </c>
      <c r="E369" s="1" t="n">
        <v>46312</v>
      </c>
      <c r="F369" t="inlineStr">
        <is>
          <t>SKÅNE LÄN</t>
        </is>
      </c>
      <c r="G369" t="inlineStr">
        <is>
          <t>KRISTIANSTAD</t>
        </is>
      </c>
      <c r="I369" t="n">
        <v>4.1</v>
      </c>
      <c r="J369" t="n">
        <v>1</v>
      </c>
      <c r="K369" t="n">
        <v>0</v>
      </c>
      <c r="L369" t="n">
        <v>0</v>
      </c>
      <c r="M369" t="n">
        <v>2</v>
      </c>
      <c r="N369" t="n">
        <v>0</v>
      </c>
      <c r="O369" t="n">
        <v>0</v>
      </c>
      <c r="P369" t="n">
        <v>0</v>
      </c>
      <c r="Q369" t="n">
        <v>2</v>
      </c>
      <c r="R369" t="n">
        <v>2</v>
      </c>
      <c r="S369" t="n">
        <v>2</v>
      </c>
      <c r="T369" t="n">
        <v>2</v>
      </c>
      <c r="U369" t="n">
        <v>1</v>
      </c>
      <c r="V369" s="2" t="inlineStr">
        <is>
          <t>Sandödla
Åkersyska</t>
        </is>
      </c>
      <c r="W369">
        <f>HYPERLINK("https://klasma.github.io/Logging_1290/artfynd/A 60333-2022 artfynd.xlsx", "A 60333-2022")</f>
        <v/>
      </c>
      <c r="X369">
        <f>HYPERLINK("https://klasma.github.io/Logging_1290/kartor/A 60333-2022 karta.png", "A 60333-2022")</f>
        <v/>
      </c>
      <c r="Y369">
        <f>HYPERLINK("https://klasma.github.io/Logging_1290/kartor_geotiff/A 60333-2022 georefererad karta.tif", "A 60333-2022")</f>
        <v/>
      </c>
      <c r="AA369">
        <f>HYPERLINK("https://klasma.github.io/Logging_1290/klagomål/A 60333-2022 FSC-klagomål.docx", "A 60333-2022")</f>
        <v/>
      </c>
      <c r="AB369">
        <f>HYPERLINK("https://klasma.github.io/Logging_1290/klagomålsmail/A 60333-2022 FSC-klagomål mail.docx", "A 60333-2022")</f>
        <v/>
      </c>
      <c r="AC369">
        <f>HYPERLINK("https://klasma.github.io/Logging_1290/tillsyn/A 60333-2022 tillsynsbegäran.docx", "A 60333-2022")</f>
        <v/>
      </c>
      <c r="AD369">
        <f>HYPERLINK("https://klasma.github.io/Logging_1290/tillsynsmail/A 60333-2022 tillsynsbegäran mail.docx", "A 60333-2022")</f>
        <v/>
      </c>
    </row>
    <row r="370" ht="15" customHeight="1">
      <c r="A370" t="inlineStr">
        <is>
          <t>A 951-2024</t>
        </is>
      </c>
      <c r="B370" t="inlineStr">
        <is>
          <t>avverkningsanmälan</t>
        </is>
      </c>
      <c r="C370" t="inlineStr">
        <is>
          <t>Föryngringsavverkning</t>
        </is>
      </c>
      <c r="D370" s="1" t="n">
        <v>45301</v>
      </c>
      <c r="E370" s="1" t="n">
        <v>46312</v>
      </c>
      <c r="F370" t="inlineStr">
        <is>
          <t>SKÅNE LÄN</t>
        </is>
      </c>
      <c r="G370" t="inlineStr">
        <is>
          <t>SIMRISHAMN</t>
        </is>
      </c>
      <c r="H370" t="inlineStr">
        <is>
          <t>Övriga Aktiebolag</t>
        </is>
      </c>
      <c r="I370" t="n">
        <v>28.1</v>
      </c>
      <c r="J370" t="n">
        <v>1</v>
      </c>
      <c r="K370" t="n">
        <v>0</v>
      </c>
      <c r="L370" t="n">
        <v>0</v>
      </c>
      <c r="M370" t="n">
        <v>1</v>
      </c>
      <c r="N370" t="n">
        <v>0</v>
      </c>
      <c r="O370" t="n">
        <v>0</v>
      </c>
      <c r="P370" t="n">
        <v>0</v>
      </c>
      <c r="Q370" t="n">
        <v>1</v>
      </c>
      <c r="R370" t="n">
        <v>1</v>
      </c>
      <c r="S370" t="n">
        <v>2</v>
      </c>
      <c r="T370" t="n">
        <v>2</v>
      </c>
      <c r="U370" t="n">
        <v>0</v>
      </c>
      <c r="V370" s="2" t="inlineStr">
        <is>
          <t>Bredbrämad bastardsvärmare
Dvärgpipistrell</t>
        </is>
      </c>
      <c r="W370">
        <f>HYPERLINK("https://klasma.github.io/Logging_1291/artfynd/A 951-2024 artfynd.xlsx", "A 951-2024")</f>
        <v/>
      </c>
      <c r="X370">
        <f>HYPERLINK("https://klasma.github.io/Logging_1291/kartor/A 951-2024 karta.png", "A 951-2024")</f>
        <v/>
      </c>
      <c r="Y370">
        <f>HYPERLINK("https://klasma.github.io/Logging_1291/kartor_geotiff/A 951-2024 georefererad karta.tif", "A 951-2024")</f>
        <v/>
      </c>
      <c r="AA370">
        <f>HYPERLINK("https://klasma.github.io/Logging_1291/klagomål/A 951-2024 FSC-klagomål.docx", "A 951-2024")</f>
        <v/>
      </c>
      <c r="AB370">
        <f>HYPERLINK("https://klasma.github.io/Logging_1291/klagomålsmail/A 951-2024 FSC-klagomål mail.docx", "A 951-2024")</f>
        <v/>
      </c>
      <c r="AC370">
        <f>HYPERLINK("https://klasma.github.io/Logging_1291/tillsyn/A 951-2024 tillsynsbegäran.docx", "A 951-2024")</f>
        <v/>
      </c>
      <c r="AD370">
        <f>HYPERLINK("https://klasma.github.io/Logging_1291/tillsynsmail/A 951-2024 tillsynsbegäran mail.docx", "A 951-2024")</f>
        <v/>
      </c>
    </row>
    <row r="371" ht="15" customHeight="1">
      <c r="A371" t="inlineStr">
        <is>
          <t>A 37585-2024</t>
        </is>
      </c>
      <c r="B371" t="inlineStr">
        <is>
          <t>avverkningsanmälan</t>
        </is>
      </c>
      <c r="C371" t="inlineStr">
        <is>
          <t>Föryngringsavverkning</t>
        </is>
      </c>
      <c r="D371" s="1" t="n">
        <v>45541</v>
      </c>
      <c r="E371" s="1" t="n">
        <v>46312</v>
      </c>
      <c r="F371" t="inlineStr">
        <is>
          <t>SKÅNE LÄN</t>
        </is>
      </c>
      <c r="G371" t="inlineStr">
        <is>
          <t>ÖSTRA GÖINGE</t>
        </is>
      </c>
      <c r="I371" t="n">
        <v>22.7</v>
      </c>
      <c r="J371" t="n">
        <v>1</v>
      </c>
      <c r="K371" t="n">
        <v>0</v>
      </c>
      <c r="L371" t="n">
        <v>1</v>
      </c>
      <c r="M371" t="n">
        <v>0</v>
      </c>
      <c r="N371" t="n">
        <v>0</v>
      </c>
      <c r="O371" t="n">
        <v>0</v>
      </c>
      <c r="P371" t="n">
        <v>0</v>
      </c>
      <c r="Q371" t="n">
        <v>1</v>
      </c>
      <c r="R371" t="n">
        <v>0</v>
      </c>
      <c r="S371" t="n">
        <v>2</v>
      </c>
      <c r="T371" t="n">
        <v>2</v>
      </c>
      <c r="U371" t="n">
        <v>2</v>
      </c>
      <c r="V371" s="2" t="inlineStr">
        <is>
          <t>Gullklöver
Fläcknycklar</t>
        </is>
      </c>
      <c r="W371">
        <f>HYPERLINK("https://klasma.github.io/Logging_1256/artfynd/A 37585-2024 artfynd.xlsx", "A 37585-2024")</f>
        <v/>
      </c>
      <c r="X371">
        <f>HYPERLINK("https://klasma.github.io/Logging_1256/kartor/A 37585-2024 karta.png", "A 37585-2024")</f>
        <v/>
      </c>
      <c r="Y371">
        <f>HYPERLINK("https://klasma.github.io/Logging_1256/kartor_geotiff/A 37585-2024 georefererad karta.tif", "A 37585-2024")</f>
        <v/>
      </c>
      <c r="AA371">
        <f>HYPERLINK("https://klasma.github.io/Logging_1256/klagomål/A 37585-2024 FSC-klagomål.docx", "A 37585-2024")</f>
        <v/>
      </c>
      <c r="AB371">
        <f>HYPERLINK("https://klasma.github.io/Logging_1256/klagomålsmail/A 37585-2024 FSC-klagomål mail.docx", "A 37585-2024")</f>
        <v/>
      </c>
      <c r="AC371">
        <f>HYPERLINK("https://klasma.github.io/Logging_1256/tillsyn/A 37585-2024 tillsynsbegäran.docx", "A 37585-2024")</f>
        <v/>
      </c>
      <c r="AD371">
        <f>HYPERLINK("https://klasma.github.io/Logging_1256/tillsynsmail/A 37585-2024 tillsynsbegäran mail.docx", "A 37585-2024")</f>
        <v/>
      </c>
    </row>
    <row r="372" ht="15" customHeight="1">
      <c r="A372" t="inlineStr">
        <is>
          <t>A 34389-2024</t>
        </is>
      </c>
      <c r="B372" t="inlineStr">
        <is>
          <t>avverkningsanmälan</t>
        </is>
      </c>
      <c r="C372" t="inlineStr">
        <is>
          <t>Föryngringsavverkning</t>
        </is>
      </c>
      <c r="D372" s="1" t="n">
        <v>45525</v>
      </c>
      <c r="E372" s="1" t="n">
        <v>46312</v>
      </c>
      <c r="F372" t="inlineStr">
        <is>
          <t>SKÅNE LÄN</t>
        </is>
      </c>
      <c r="G372" t="inlineStr">
        <is>
          <t>ÖSTRA GÖINGE</t>
        </is>
      </c>
      <c r="I372" t="n">
        <v>1.3</v>
      </c>
      <c r="J372" t="n">
        <v>0</v>
      </c>
      <c r="K372" t="n">
        <v>1</v>
      </c>
      <c r="L372" t="n">
        <v>0</v>
      </c>
      <c r="M372" t="n">
        <v>1</v>
      </c>
      <c r="N372" t="n">
        <v>0</v>
      </c>
      <c r="O372" t="n">
        <v>0</v>
      </c>
      <c r="P372" t="n">
        <v>0</v>
      </c>
      <c r="Q372" t="n">
        <v>1</v>
      </c>
      <c r="R372" t="n">
        <v>1</v>
      </c>
      <c r="S372" t="n">
        <v>2</v>
      </c>
      <c r="T372" t="n">
        <v>2</v>
      </c>
      <c r="U372" t="n">
        <v>0</v>
      </c>
      <c r="V372" s="2" t="inlineStr">
        <is>
          <t>Pulverädellav
Havstulpanlav</t>
        </is>
      </c>
      <c r="W372">
        <f>HYPERLINK("https://klasma.github.io/Logging_1256/artfynd/A 34389-2024 artfynd.xlsx", "A 34389-2024")</f>
        <v/>
      </c>
      <c r="X372">
        <f>HYPERLINK("https://klasma.github.io/Logging_1256/kartor/A 34389-2024 karta.png", "A 34389-2024")</f>
        <v/>
      </c>
      <c r="Y372">
        <f>HYPERLINK("https://klasma.github.io/Logging_1256/kartor_geotiff/A 34389-2024 georefererad karta.tif", "A 34389-2024")</f>
        <v/>
      </c>
      <c r="AA372">
        <f>HYPERLINK("https://klasma.github.io/Logging_1256/klagomål/A 34389-2024 FSC-klagomål.docx", "A 34389-2024")</f>
        <v/>
      </c>
      <c r="AB372">
        <f>HYPERLINK("https://klasma.github.io/Logging_1256/klagomålsmail/A 34389-2024 FSC-klagomål mail.docx", "A 34389-2024")</f>
        <v/>
      </c>
      <c r="AC372">
        <f>HYPERLINK("https://klasma.github.io/Logging_1256/tillsyn/A 34389-2024 tillsynsbegäran.docx", "A 34389-2024")</f>
        <v/>
      </c>
      <c r="AD372">
        <f>HYPERLINK("https://klasma.github.io/Logging_1256/tillsynsmail/A 34389-2024 tillsynsbegäran mail.docx", "A 34389-2024")</f>
        <v/>
      </c>
    </row>
    <row r="373" ht="15" customHeight="1">
      <c r="A373" t="inlineStr">
        <is>
          <t>A 40546-2026</t>
        </is>
      </c>
      <c r="B373" t="inlineStr">
        <is>
          <t>avverkningsanmälan</t>
        </is>
      </c>
      <c r="C373" t="inlineStr">
        <is>
          <t>Föryngringsavverkning</t>
        </is>
      </c>
      <c r="D373" s="1" t="n">
        <v>46295</v>
      </c>
      <c r="E373" s="1" t="n">
        <v>46312</v>
      </c>
      <c r="F373" t="inlineStr">
        <is>
          <t>SKÅNE LÄN</t>
        </is>
      </c>
      <c r="G373" t="inlineStr">
        <is>
          <t>OSBY</t>
        </is>
      </c>
      <c r="I373" t="n">
        <v>3.6</v>
      </c>
      <c r="J373" t="n">
        <v>2</v>
      </c>
      <c r="K373" t="n">
        <v>0</v>
      </c>
      <c r="L373" t="n">
        <v>0</v>
      </c>
      <c r="M373" t="n">
        <v>1</v>
      </c>
      <c r="N373" t="n">
        <v>0</v>
      </c>
      <c r="O373" t="n">
        <v>0</v>
      </c>
      <c r="P373" t="n">
        <v>0</v>
      </c>
      <c r="Q373" t="n">
        <v>1</v>
      </c>
      <c r="R373" t="n">
        <v>1</v>
      </c>
      <c r="S373" t="n">
        <v>2</v>
      </c>
      <c r="T373" t="n">
        <v>2</v>
      </c>
      <c r="U373" t="n">
        <v>0</v>
      </c>
      <c r="V373" s="2" t="inlineStr">
        <is>
          <t>Knärot
Spillkråka</t>
        </is>
      </c>
      <c r="W373">
        <f>HYPERLINK("https://klasma.github.io/Logging_1273/artfynd/A 40546-2026 artfynd.xlsx", "A 40546-2026")</f>
        <v/>
      </c>
      <c r="X373">
        <f>HYPERLINK("https://klasma.github.io/Logging_1273/kartor/A 40546-2026 karta.png", "A 40546-2026")</f>
        <v/>
      </c>
      <c r="Y373">
        <f>HYPERLINK("https://klasma.github.io/Logging_1273/kartor_geotiff/A 40546-2026 georefererad karta.tif", "A 40546-2026")</f>
        <v/>
      </c>
      <c r="Z373">
        <f>HYPERLINK("https://klasma.github.io/Logging_1273/knärot/A 40546-2026 karta knärot.png", "A 40546-2026")</f>
        <v/>
      </c>
      <c r="AA373">
        <f>HYPERLINK("https://klasma.github.io/Logging_1273/klagomål/A 40546-2026 FSC-klagomål.docx", "A 40546-2026")</f>
        <v/>
      </c>
      <c r="AB373">
        <f>HYPERLINK("https://klasma.github.io/Logging_1273/klagomålsmail/A 40546-2026 FSC-klagomål mail.docx", "A 40546-2026")</f>
        <v/>
      </c>
      <c r="AC373">
        <f>HYPERLINK("https://klasma.github.io/Logging_1273/tillsyn/A 40546-2026 tillsynsbegäran.docx", "A 40546-2026")</f>
        <v/>
      </c>
      <c r="AD373">
        <f>HYPERLINK("https://klasma.github.io/Logging_1273/tillsynsmail/A 40546-2026 tillsynsbegäran mail.docx", "A 40546-2026")</f>
        <v/>
      </c>
      <c r="AE373">
        <f>HYPERLINK("https://klasma.github.io/Logging_1273/fåglar/A 40546-2026 prioriterade fågelarter.docx", "A 40546-2026")</f>
        <v/>
      </c>
    </row>
    <row r="374" ht="15" customHeight="1">
      <c r="A374" t="inlineStr">
        <is>
          <t>A 58350-2025</t>
        </is>
      </c>
      <c r="B374" t="inlineStr">
        <is>
          <t>avverkningsanmälan</t>
        </is>
      </c>
      <c r="C374" t="inlineStr">
        <is>
          <t>Föryngringsavverkning</t>
        </is>
      </c>
      <c r="D374" s="1" t="n">
        <v>45985</v>
      </c>
      <c r="E374" s="1" t="n">
        <v>46312</v>
      </c>
      <c r="F374" t="inlineStr">
        <is>
          <t>SKÅNE LÄN</t>
        </is>
      </c>
      <c r="G374" t="inlineStr">
        <is>
          <t>SVEDALA</t>
        </is>
      </c>
      <c r="I374" t="n">
        <v>6.9</v>
      </c>
      <c r="J374" t="n">
        <v>0</v>
      </c>
      <c r="K374" t="n">
        <v>1</v>
      </c>
      <c r="L374" t="n">
        <v>1</v>
      </c>
      <c r="M374" t="n">
        <v>0</v>
      </c>
      <c r="N374" t="n">
        <v>0</v>
      </c>
      <c r="O374" t="n">
        <v>0</v>
      </c>
      <c r="P374" t="n">
        <v>0</v>
      </c>
      <c r="Q374" t="n">
        <v>1</v>
      </c>
      <c r="R374" t="n">
        <v>0</v>
      </c>
      <c r="S374" t="n">
        <v>2</v>
      </c>
      <c r="T374" t="n">
        <v>2</v>
      </c>
      <c r="U374" t="n">
        <v>1</v>
      </c>
      <c r="V374" s="2" t="inlineStr">
        <is>
          <t>Koralltaggsvamp
Stor revmossa</t>
        </is>
      </c>
      <c r="W374">
        <f>HYPERLINK("https://klasma.github.io/Logging_1263/artfynd/A 58350-2025 artfynd.xlsx", "A 58350-2025")</f>
        <v/>
      </c>
      <c r="X374">
        <f>HYPERLINK("https://klasma.github.io/Logging_1263/kartor/A 58350-2025 karta.png", "A 58350-2025")</f>
        <v/>
      </c>
      <c r="Y374">
        <f>HYPERLINK("https://klasma.github.io/Logging_1263/kartor_geotiff/A 58350-2025 georefererad karta.tif", "A 58350-2025")</f>
        <v/>
      </c>
      <c r="AA374">
        <f>HYPERLINK("https://klasma.github.io/Logging_1263/klagomål/A 58350-2025 FSC-klagomål.docx", "A 58350-2025")</f>
        <v/>
      </c>
      <c r="AB374">
        <f>HYPERLINK("https://klasma.github.io/Logging_1263/klagomålsmail/A 58350-2025 FSC-klagomål mail.docx", "A 58350-2025")</f>
        <v/>
      </c>
      <c r="AC374">
        <f>HYPERLINK("https://klasma.github.io/Logging_1263/tillsyn/A 58350-2025 tillsynsbegäran.docx", "A 58350-2025")</f>
        <v/>
      </c>
      <c r="AD374">
        <f>HYPERLINK("https://klasma.github.io/Logging_1263/tillsynsmail/A 58350-2025 tillsynsbegäran mail.docx", "A 58350-2025")</f>
        <v/>
      </c>
    </row>
    <row r="375" ht="15" customHeight="1">
      <c r="A375" t="inlineStr">
        <is>
          <t>A 24597-2026</t>
        </is>
      </c>
      <c r="B375" t="inlineStr">
        <is>
          <t>avverkningsanmälan</t>
        </is>
      </c>
      <c r="C375" t="inlineStr">
        <is>
          <t>Föryngringsavverkning</t>
        </is>
      </c>
      <c r="D375" s="1" t="n">
        <v>46170</v>
      </c>
      <c r="E375" s="1" t="n">
        <v>46312</v>
      </c>
      <c r="F375" t="inlineStr">
        <is>
          <t>SKÅNE LÄN</t>
        </is>
      </c>
      <c r="G375" t="inlineStr">
        <is>
          <t>HÖÖR</t>
        </is>
      </c>
      <c r="I375" t="n">
        <v>5.9</v>
      </c>
      <c r="J375" t="n">
        <v>2</v>
      </c>
      <c r="K375" t="n">
        <v>0</v>
      </c>
      <c r="L375" t="n">
        <v>2</v>
      </c>
      <c r="M375" t="n">
        <v>0</v>
      </c>
      <c r="N375" t="n">
        <v>0</v>
      </c>
      <c r="O375" t="n">
        <v>0</v>
      </c>
      <c r="P375" t="n">
        <v>0</v>
      </c>
      <c r="Q375" t="n">
        <v>2</v>
      </c>
      <c r="R375" t="n">
        <v>0</v>
      </c>
      <c r="S375" t="n">
        <v>2</v>
      </c>
      <c r="T375" t="n">
        <v>4</v>
      </c>
      <c r="U375" t="n">
        <v>4</v>
      </c>
      <c r="V375" s="2" t="inlineStr">
        <is>
          <t>Entita
Grönsångare</t>
        </is>
      </c>
      <c r="W375">
        <f>HYPERLINK("https://klasma.github.io/Logging_1267/artfynd/A 24597-2026 artfynd.xlsx", "A 24597-2026")</f>
        <v/>
      </c>
      <c r="X375">
        <f>HYPERLINK("https://klasma.github.io/Logging_1267/kartor/A 24597-2026 karta.png", "A 24597-2026")</f>
        <v/>
      </c>
      <c r="Y375">
        <f>HYPERLINK("https://klasma.github.io/Logging_1267/kartor_geotiff/A 24597-2026 georefererad karta.tif", "A 24597-2026")</f>
        <v/>
      </c>
      <c r="AA375">
        <f>HYPERLINK("https://klasma.github.io/Logging_1267/klagomål/A 24597-2026 FSC-klagomål.docx", "A 24597-2026")</f>
        <v/>
      </c>
      <c r="AB375">
        <f>HYPERLINK("https://klasma.github.io/Logging_1267/klagomålsmail/A 24597-2026 FSC-klagomål mail.docx", "A 24597-2026")</f>
        <v/>
      </c>
      <c r="AC375">
        <f>HYPERLINK("https://klasma.github.io/Logging_1267/tillsyn/A 24597-2026 tillsynsbegäran.docx", "A 24597-2026")</f>
        <v/>
      </c>
      <c r="AD375">
        <f>HYPERLINK("https://klasma.github.io/Logging_1267/tillsynsmail/A 24597-2026 tillsynsbegäran mail.docx", "A 24597-2026")</f>
        <v/>
      </c>
      <c r="AE375">
        <f>HYPERLINK("https://klasma.github.io/Logging_1267/fåglar/A 24597-2026 prioriterade fågelarter.docx", "A 24597-2026")</f>
        <v/>
      </c>
    </row>
    <row r="376" ht="15" customHeight="1">
      <c r="A376" t="inlineStr">
        <is>
          <t>A 30842-2022</t>
        </is>
      </c>
      <c r="B376" t="inlineStr">
        <is>
          <t>avverkningsanmälan</t>
        </is>
      </c>
      <c r="C376" t="inlineStr">
        <is>
          <t>Föryngringsavverkning</t>
        </is>
      </c>
      <c r="D376" s="1" t="n">
        <v>44767</v>
      </c>
      <c r="E376" s="1" t="n">
        <v>46312</v>
      </c>
      <c r="F376" t="inlineStr">
        <is>
          <t>SKÅNE LÄN</t>
        </is>
      </c>
      <c r="G376" t="inlineStr">
        <is>
          <t>KRISTIANSTAD</t>
        </is>
      </c>
      <c r="I376" t="n">
        <v>2.6</v>
      </c>
      <c r="J376" t="n">
        <v>1</v>
      </c>
      <c r="K376" t="n">
        <v>0</v>
      </c>
      <c r="L376" t="n">
        <v>0</v>
      </c>
      <c r="M376" t="n">
        <v>1</v>
      </c>
      <c r="N376" t="n">
        <v>0</v>
      </c>
      <c r="O376" t="n">
        <v>0</v>
      </c>
      <c r="P376" t="n">
        <v>0</v>
      </c>
      <c r="Q376" t="n">
        <v>1</v>
      </c>
      <c r="R376" t="n">
        <v>1</v>
      </c>
      <c r="S376" t="n">
        <v>2</v>
      </c>
      <c r="T376" t="n">
        <v>3</v>
      </c>
      <c r="U376" t="n">
        <v>2</v>
      </c>
      <c r="V376" s="2" t="inlineStr">
        <is>
          <t>Småvänderot
Större vattensalamander</t>
        </is>
      </c>
      <c r="W376">
        <f>HYPERLINK("https://klasma.github.io/Logging_1290/artfynd/A 30842-2022 artfynd.xlsx", "A 30842-2022")</f>
        <v/>
      </c>
      <c r="X376">
        <f>HYPERLINK("https://klasma.github.io/Logging_1290/kartor/A 30842-2022 karta.png", "A 30842-2022")</f>
        <v/>
      </c>
      <c r="Y376">
        <f>HYPERLINK("https://klasma.github.io/Logging_1290/kartor_geotiff/A 30842-2022 georefererad karta.tif", "A 30842-2022")</f>
        <v/>
      </c>
      <c r="AA376">
        <f>HYPERLINK("https://klasma.github.io/Logging_1290/klagomål/A 30842-2022 FSC-klagomål.docx", "A 30842-2022")</f>
        <v/>
      </c>
      <c r="AB376">
        <f>HYPERLINK("https://klasma.github.io/Logging_1290/klagomålsmail/A 30842-2022 FSC-klagomål mail.docx", "A 30842-2022")</f>
        <v/>
      </c>
      <c r="AC376">
        <f>HYPERLINK("https://klasma.github.io/Logging_1290/tillsyn/A 30842-2022 tillsynsbegäran.docx", "A 30842-2022")</f>
        <v/>
      </c>
      <c r="AD376">
        <f>HYPERLINK("https://klasma.github.io/Logging_1290/tillsynsmail/A 30842-2022 tillsynsbegäran mail.docx", "A 30842-2022")</f>
        <v/>
      </c>
    </row>
    <row r="377" ht="15" customHeight="1">
      <c r="A377" t="inlineStr">
        <is>
          <t>A 8989-2024</t>
        </is>
      </c>
      <c r="B377" t="inlineStr">
        <is>
          <t>avverkningsanmälan</t>
        </is>
      </c>
      <c r="C377" t="inlineStr">
        <is>
          <t>Föryngringsavverkning</t>
        </is>
      </c>
      <c r="D377" s="1" t="n">
        <v>45356</v>
      </c>
      <c r="E377" s="1" t="n">
        <v>46312</v>
      </c>
      <c r="F377" t="inlineStr">
        <is>
          <t>SKÅNE LÄN</t>
        </is>
      </c>
      <c r="G377" t="inlineStr">
        <is>
          <t>OSBY</t>
        </is>
      </c>
      <c r="I377" t="n">
        <v>4.2</v>
      </c>
      <c r="J377" t="n">
        <v>0</v>
      </c>
      <c r="K377" t="n">
        <v>1</v>
      </c>
      <c r="L377" t="n">
        <v>0</v>
      </c>
      <c r="M377" t="n">
        <v>1</v>
      </c>
      <c r="N377" t="n">
        <v>0</v>
      </c>
      <c r="O377" t="n">
        <v>0</v>
      </c>
      <c r="P377" t="n">
        <v>0</v>
      </c>
      <c r="Q377" t="n">
        <v>1</v>
      </c>
      <c r="R377" t="n">
        <v>1</v>
      </c>
      <c r="S377" t="n">
        <v>2</v>
      </c>
      <c r="T377" t="n">
        <v>2</v>
      </c>
      <c r="U377" t="n">
        <v>0</v>
      </c>
      <c r="V377" s="2" t="inlineStr">
        <is>
          <t>Kortskaftad parasitspik
Rostfläck</t>
        </is>
      </c>
      <c r="W377">
        <f>HYPERLINK("https://klasma.github.io/Logging_1273/artfynd/A 8989-2024 artfynd.xlsx", "A 8989-2024")</f>
        <v/>
      </c>
      <c r="X377">
        <f>HYPERLINK("https://klasma.github.io/Logging_1273/kartor/A 8989-2024 karta.png", "A 8989-2024")</f>
        <v/>
      </c>
      <c r="Y377">
        <f>HYPERLINK("https://klasma.github.io/Logging_1273/kartor_geotiff/A 8989-2024 georefererad karta.tif", "A 8989-2024")</f>
        <v/>
      </c>
      <c r="AA377">
        <f>HYPERLINK("https://klasma.github.io/Logging_1273/klagomål/A 8989-2024 FSC-klagomål.docx", "A 8989-2024")</f>
        <v/>
      </c>
      <c r="AB377">
        <f>HYPERLINK("https://klasma.github.io/Logging_1273/klagomålsmail/A 8989-2024 FSC-klagomål mail.docx", "A 8989-2024")</f>
        <v/>
      </c>
      <c r="AC377">
        <f>HYPERLINK("https://klasma.github.io/Logging_1273/tillsyn/A 8989-2024 tillsynsbegäran.docx", "A 8989-2024")</f>
        <v/>
      </c>
      <c r="AD377">
        <f>HYPERLINK("https://klasma.github.io/Logging_1273/tillsynsmail/A 8989-2024 tillsynsbegäran mail.docx", "A 8989-2024")</f>
        <v/>
      </c>
    </row>
    <row r="378" ht="15" customHeight="1">
      <c r="A378" t="inlineStr">
        <is>
          <t>A 755-2025</t>
        </is>
      </c>
      <c r="B378" t="inlineStr">
        <is>
          <t>avverkningsanmälan</t>
        </is>
      </c>
      <c r="C378" t="inlineStr">
        <is>
          <t>Föryngringsavverkning</t>
        </is>
      </c>
      <c r="D378" s="1" t="n">
        <v>45665</v>
      </c>
      <c r="E378" s="1" t="n">
        <v>46312</v>
      </c>
      <c r="F378" t="inlineStr">
        <is>
          <t>SKÅNE LÄN</t>
        </is>
      </c>
      <c r="G378" t="inlineStr">
        <is>
          <t>KRISTIANSTAD</t>
        </is>
      </c>
      <c r="I378" t="n">
        <v>1.9</v>
      </c>
      <c r="J378" t="n">
        <v>0</v>
      </c>
      <c r="K378" t="n">
        <v>0</v>
      </c>
      <c r="L378" t="n">
        <v>1</v>
      </c>
      <c r="M378" t="n">
        <v>1</v>
      </c>
      <c r="N378" t="n">
        <v>0</v>
      </c>
      <c r="O378" t="n">
        <v>0</v>
      </c>
      <c r="P378" t="n">
        <v>0</v>
      </c>
      <c r="Q378" t="n">
        <v>2</v>
      </c>
      <c r="R378" t="n">
        <v>1</v>
      </c>
      <c r="S378" t="n">
        <v>2</v>
      </c>
      <c r="T378" t="n">
        <v>2</v>
      </c>
      <c r="U378" t="n">
        <v>0</v>
      </c>
      <c r="V378" s="2" t="inlineStr">
        <is>
          <t>Rosa lundlav
Stiftklotterlav</t>
        </is>
      </c>
      <c r="W378">
        <f>HYPERLINK("https://klasma.github.io/Logging_1290/artfynd/A 755-2025 artfynd.xlsx", "A 755-2025")</f>
        <v/>
      </c>
      <c r="X378">
        <f>HYPERLINK("https://klasma.github.io/Logging_1290/kartor/A 755-2025 karta.png", "A 755-2025")</f>
        <v/>
      </c>
      <c r="Y378">
        <f>HYPERLINK("https://klasma.github.io/Logging_1290/kartor_geotiff/A 755-2025 georefererad karta.tif", "A 755-2025")</f>
        <v/>
      </c>
      <c r="AA378">
        <f>HYPERLINK("https://klasma.github.io/Logging_1290/klagomål/A 755-2025 FSC-klagomål.docx", "A 755-2025")</f>
        <v/>
      </c>
      <c r="AB378">
        <f>HYPERLINK("https://klasma.github.io/Logging_1290/klagomålsmail/A 755-2025 FSC-klagomål mail.docx", "A 755-2025")</f>
        <v/>
      </c>
      <c r="AC378">
        <f>HYPERLINK("https://klasma.github.io/Logging_1290/tillsyn/A 755-2025 tillsynsbegäran.docx", "A 755-2025")</f>
        <v/>
      </c>
      <c r="AD378">
        <f>HYPERLINK("https://klasma.github.io/Logging_1290/tillsynsmail/A 755-2025 tillsynsbegäran mail.docx", "A 755-2025")</f>
        <v/>
      </c>
    </row>
    <row r="379" ht="15" customHeight="1">
      <c r="A379" t="inlineStr">
        <is>
          <t>A 60271-2024</t>
        </is>
      </c>
      <c r="B379" t="inlineStr">
        <is>
          <t>avverkningsanmälan</t>
        </is>
      </c>
      <c r="C379" t="inlineStr">
        <is>
          <t>Föryngringsavverkning</t>
        </is>
      </c>
      <c r="D379" s="1" t="n">
        <v>45642</v>
      </c>
      <c r="E379" s="1" t="n">
        <v>46312</v>
      </c>
      <c r="F379" t="inlineStr">
        <is>
          <t>SKÅNE LÄN</t>
        </is>
      </c>
      <c r="G379" t="inlineStr">
        <is>
          <t>ÖRKELLJUNGA</t>
        </is>
      </c>
      <c r="I379" t="n">
        <v>1.8</v>
      </c>
      <c r="J379" t="n">
        <v>2</v>
      </c>
      <c r="K379" t="n">
        <v>0</v>
      </c>
      <c r="L379" t="n">
        <v>0</v>
      </c>
      <c r="M379" t="n">
        <v>0</v>
      </c>
      <c r="N379" t="n">
        <v>0</v>
      </c>
      <c r="O379" t="n">
        <v>0</v>
      </c>
      <c r="P379" t="n">
        <v>0</v>
      </c>
      <c r="Q379" t="n">
        <v>0</v>
      </c>
      <c r="R379" t="n">
        <v>0</v>
      </c>
      <c r="S379" t="n">
        <v>2</v>
      </c>
      <c r="T379" t="n">
        <v>2</v>
      </c>
      <c r="U379" t="n">
        <v>0</v>
      </c>
      <c r="V379" s="2" t="inlineStr">
        <is>
          <t>Vanlig padda
Vanlig snok</t>
        </is>
      </c>
      <c r="W379">
        <f>HYPERLINK("https://klasma.github.io/Logging_1257/artfynd/A 60271-2024 artfynd.xlsx", "A 60271-2024")</f>
        <v/>
      </c>
      <c r="X379">
        <f>HYPERLINK("https://klasma.github.io/Logging_1257/kartor/A 60271-2024 karta.png", "A 60271-2024")</f>
        <v/>
      </c>
      <c r="Y379">
        <f>HYPERLINK("https://klasma.github.io/Logging_1257/kartor_geotiff/A 60271-2024 georefererad karta.tif", "A 60271-2024")</f>
        <v/>
      </c>
      <c r="AA379">
        <f>HYPERLINK("https://klasma.github.io/Logging_1257/klagomål/A 60271-2024 FSC-klagomål.docx", "A 60271-2024")</f>
        <v/>
      </c>
      <c r="AB379">
        <f>HYPERLINK("https://klasma.github.io/Logging_1257/klagomålsmail/A 60271-2024 FSC-klagomål mail.docx", "A 60271-2024")</f>
        <v/>
      </c>
      <c r="AC379">
        <f>HYPERLINK("https://klasma.github.io/Logging_1257/tillsyn/A 60271-2024 tillsynsbegäran.docx", "A 60271-2024")</f>
        <v/>
      </c>
      <c r="AD379">
        <f>HYPERLINK("https://klasma.github.io/Logging_1257/tillsynsmail/A 60271-2024 tillsynsbegäran mail.docx", "A 60271-2024")</f>
        <v/>
      </c>
    </row>
    <row r="380" ht="15" customHeight="1">
      <c r="A380" t="inlineStr">
        <is>
          <t>A 9570-2026</t>
        </is>
      </c>
      <c r="B380" t="inlineStr">
        <is>
          <t>avverkningsanmälan</t>
        </is>
      </c>
      <c r="C380" t="inlineStr">
        <is>
          <t>Föryngringsavverkning</t>
        </is>
      </c>
      <c r="D380" s="1" t="n">
        <v>46070</v>
      </c>
      <c r="E380" s="1" t="n">
        <v>46312</v>
      </c>
      <c r="F380" t="inlineStr">
        <is>
          <t>SKÅNE LÄN</t>
        </is>
      </c>
      <c r="G380" t="inlineStr">
        <is>
          <t>SVEDALA</t>
        </is>
      </c>
      <c r="I380" t="n">
        <v>6.6</v>
      </c>
      <c r="J380" t="n">
        <v>2</v>
      </c>
      <c r="K380" t="n">
        <v>0</v>
      </c>
      <c r="L380" t="n">
        <v>0</v>
      </c>
      <c r="M380" t="n">
        <v>0</v>
      </c>
      <c r="N380" t="n">
        <v>0</v>
      </c>
      <c r="O380" t="n">
        <v>0</v>
      </c>
      <c r="P380" t="n">
        <v>0</v>
      </c>
      <c r="Q380" t="n">
        <v>0</v>
      </c>
      <c r="R380" t="n">
        <v>0</v>
      </c>
      <c r="S380" t="n">
        <v>2</v>
      </c>
      <c r="T380" t="n">
        <v>2</v>
      </c>
      <c r="U380" t="n">
        <v>0</v>
      </c>
      <c r="V380" s="2" t="inlineStr">
        <is>
          <t>Lövgroda
Större vattensalamander</t>
        </is>
      </c>
      <c r="W380">
        <f>HYPERLINK("https://klasma.github.io/Logging_1263/artfynd/A 9570-2026 artfynd.xlsx", "A 9570-2026")</f>
        <v/>
      </c>
      <c r="X380">
        <f>HYPERLINK("https://klasma.github.io/Logging_1263/kartor/A 9570-2026 karta.png", "A 9570-2026")</f>
        <v/>
      </c>
      <c r="Y380">
        <f>HYPERLINK("https://klasma.github.io/Logging_1263/kartor_geotiff/A 9570-2026 georefererad karta.tif", "A 9570-2026")</f>
        <v/>
      </c>
      <c r="AA380">
        <f>HYPERLINK("https://klasma.github.io/Logging_1263/klagomål/A 9570-2026 FSC-klagomål.docx", "A 9570-2026")</f>
        <v/>
      </c>
      <c r="AB380">
        <f>HYPERLINK("https://klasma.github.io/Logging_1263/klagomålsmail/A 9570-2026 FSC-klagomål mail.docx", "A 9570-2026")</f>
        <v/>
      </c>
      <c r="AC380">
        <f>HYPERLINK("https://klasma.github.io/Logging_1263/tillsyn/A 9570-2026 tillsynsbegäran.docx", "A 9570-2026")</f>
        <v/>
      </c>
      <c r="AD380">
        <f>HYPERLINK("https://klasma.github.io/Logging_1263/tillsynsmail/A 9570-2026 tillsynsbegäran mail.docx", "A 9570-2026")</f>
        <v/>
      </c>
    </row>
    <row r="381" ht="15" customHeight="1">
      <c r="A381" t="inlineStr">
        <is>
          <t>A 25022-2026</t>
        </is>
      </c>
      <c r="B381" t="inlineStr">
        <is>
          <t>avverkningsanmälan</t>
        </is>
      </c>
      <c r="C381" t="inlineStr">
        <is>
          <t>Föryngringsavverkning</t>
        </is>
      </c>
      <c r="D381" s="1" t="n">
        <v>46174</v>
      </c>
      <c r="E381" s="1" t="n">
        <v>46312</v>
      </c>
      <c r="F381" t="inlineStr">
        <is>
          <t>SKÅNE LÄN</t>
        </is>
      </c>
      <c r="G381" t="inlineStr">
        <is>
          <t>SVEDALA</t>
        </is>
      </c>
      <c r="I381" t="n">
        <v>4.2</v>
      </c>
      <c r="J381" t="n">
        <v>1</v>
      </c>
      <c r="K381" t="n">
        <v>1</v>
      </c>
      <c r="L381" t="n">
        <v>1</v>
      </c>
      <c r="M381" t="n">
        <v>0</v>
      </c>
      <c r="N381" t="n">
        <v>0</v>
      </c>
      <c r="O381" t="n">
        <v>0</v>
      </c>
      <c r="P381" t="n">
        <v>0</v>
      </c>
      <c r="Q381" t="n">
        <v>1</v>
      </c>
      <c r="R381" t="n">
        <v>0</v>
      </c>
      <c r="S381" t="n">
        <v>2</v>
      </c>
      <c r="T381" t="n">
        <v>3</v>
      </c>
      <c r="U381" t="n">
        <v>0</v>
      </c>
      <c r="V381" s="2" t="inlineStr">
        <is>
          <t>Mindre tåtelsmygare
Skogsknipprot</t>
        </is>
      </c>
      <c r="W381">
        <f>HYPERLINK("https://klasma.github.io/Logging_1263/artfynd/A 25022-2026 artfynd.xlsx", "A 25022-2026")</f>
        <v/>
      </c>
      <c r="X381">
        <f>HYPERLINK("https://klasma.github.io/Logging_1263/kartor/A 25022-2026 karta.png", "A 25022-2026")</f>
        <v/>
      </c>
      <c r="Y381">
        <f>HYPERLINK("https://klasma.github.io/Logging_1263/kartor_geotiff/A 25022-2026 georefererad karta.tif", "A 25022-2026")</f>
        <v/>
      </c>
      <c r="AA381">
        <f>HYPERLINK("https://klasma.github.io/Logging_1263/klagomål/A 25022-2026 FSC-klagomål.docx", "A 25022-2026")</f>
        <v/>
      </c>
      <c r="AB381">
        <f>HYPERLINK("https://klasma.github.io/Logging_1263/klagomålsmail/A 25022-2026 FSC-klagomål mail.docx", "A 25022-2026")</f>
        <v/>
      </c>
      <c r="AC381">
        <f>HYPERLINK("https://klasma.github.io/Logging_1263/tillsyn/A 25022-2026 tillsynsbegäran.docx", "A 25022-2026")</f>
        <v/>
      </c>
      <c r="AD381">
        <f>HYPERLINK("https://klasma.github.io/Logging_1263/tillsynsmail/A 25022-2026 tillsynsbegäran mail.docx", "A 25022-2026")</f>
        <v/>
      </c>
    </row>
    <row r="382" ht="15" customHeight="1">
      <c r="A382" t="inlineStr">
        <is>
          <t>A 23773-2025</t>
        </is>
      </c>
      <c r="B382" t="inlineStr">
        <is>
          <t>avverkningsanmälan</t>
        </is>
      </c>
      <c r="C382" t="inlineStr">
        <is>
          <t>Föryngringsavverkning</t>
        </is>
      </c>
      <c r="D382" s="1" t="n">
        <v>45793</v>
      </c>
      <c r="E382" s="1" t="n">
        <v>46312</v>
      </c>
      <c r="F382" t="inlineStr">
        <is>
          <t>SKÅNE LÄN</t>
        </is>
      </c>
      <c r="G382" t="inlineStr">
        <is>
          <t>ESLÖV</t>
        </is>
      </c>
      <c r="I382" t="n">
        <v>4.9</v>
      </c>
      <c r="J382" t="n">
        <v>0</v>
      </c>
      <c r="K382" t="n">
        <v>1</v>
      </c>
      <c r="L382" t="n">
        <v>0</v>
      </c>
      <c r="M382" t="n">
        <v>0</v>
      </c>
      <c r="N382" t="n">
        <v>1</v>
      </c>
      <c r="O382" t="n">
        <v>0</v>
      </c>
      <c r="P382" t="n">
        <v>0</v>
      </c>
      <c r="Q382" t="n">
        <v>1</v>
      </c>
      <c r="R382" t="n">
        <v>1</v>
      </c>
      <c r="S382" t="n">
        <v>2</v>
      </c>
      <c r="T382" t="n">
        <v>4</v>
      </c>
      <c r="U382" t="n">
        <v>0</v>
      </c>
      <c r="V382" s="2" t="inlineStr">
        <is>
          <t>Ask
Kransrams</t>
        </is>
      </c>
      <c r="W382">
        <f>HYPERLINK("https://klasma.github.io/Logging_1285/artfynd/A 23773-2025 artfynd.xlsx", "A 23773-2025")</f>
        <v/>
      </c>
      <c r="X382">
        <f>HYPERLINK("https://klasma.github.io/Logging_1285/kartor/A 23773-2025 karta.png", "A 23773-2025")</f>
        <v/>
      </c>
      <c r="Y382">
        <f>HYPERLINK("https://klasma.github.io/Logging_1285/kartor_geotiff/A 23773-2025 georefererad karta.tif", "A 23773-2025")</f>
        <v/>
      </c>
      <c r="AA382">
        <f>HYPERLINK("https://klasma.github.io/Logging_1285/klagomål/A 23773-2025 FSC-klagomål.docx", "A 23773-2025")</f>
        <v/>
      </c>
      <c r="AB382">
        <f>HYPERLINK("https://klasma.github.io/Logging_1285/klagomålsmail/A 23773-2025 FSC-klagomål mail.docx", "A 23773-2025")</f>
        <v/>
      </c>
      <c r="AC382">
        <f>HYPERLINK("https://klasma.github.io/Logging_1285/tillsyn/A 23773-2025 tillsynsbegäran.docx", "A 23773-2025")</f>
        <v/>
      </c>
      <c r="AD382">
        <f>HYPERLINK("https://klasma.github.io/Logging_1285/tillsynsmail/A 23773-2025 tillsynsbegäran mail.docx", "A 23773-2025")</f>
        <v/>
      </c>
    </row>
    <row r="383" ht="15" customHeight="1">
      <c r="A383" t="inlineStr">
        <is>
          <t>A 42097-2026</t>
        </is>
      </c>
      <c r="B383" t="inlineStr">
        <is>
          <t>avverkningsanmälan</t>
        </is>
      </c>
      <c r="C383" t="inlineStr">
        <is>
          <t>Föryngringsavverkning</t>
        </is>
      </c>
      <c r="D383" s="1" t="n">
        <v>46304</v>
      </c>
      <c r="E383" s="1" t="n">
        <v>46312</v>
      </c>
      <c r="F383" t="inlineStr">
        <is>
          <t>SKÅNE LÄN</t>
        </is>
      </c>
      <c r="G383" t="inlineStr">
        <is>
          <t>KRISTIANSTAD</t>
        </is>
      </c>
      <c r="I383" t="n">
        <v>1</v>
      </c>
      <c r="J383" t="n">
        <v>2</v>
      </c>
      <c r="K383" t="n">
        <v>0</v>
      </c>
      <c r="L383" t="n">
        <v>0</v>
      </c>
      <c r="M383" t="n">
        <v>0</v>
      </c>
      <c r="N383" t="n">
        <v>0</v>
      </c>
      <c r="O383" t="n">
        <v>0</v>
      </c>
      <c r="P383" t="n">
        <v>0</v>
      </c>
      <c r="Q383" t="n">
        <v>0</v>
      </c>
      <c r="R383" t="n">
        <v>0</v>
      </c>
      <c r="S383" t="n">
        <v>2</v>
      </c>
      <c r="T383" t="n">
        <v>2</v>
      </c>
      <c r="U383" t="n">
        <v>0</v>
      </c>
      <c r="V383" s="2" t="inlineStr">
        <is>
          <t>Kråka
Kungsfågel</t>
        </is>
      </c>
      <c r="W383">
        <f>HYPERLINK("https://klasma.github.io/Logging_1290/artfynd/A 42097-2026 artfynd.xlsx", "A 42097-2026")</f>
        <v/>
      </c>
      <c r="X383">
        <f>HYPERLINK("https://klasma.github.io/Logging_1290/kartor/A 42097-2026 karta.png", "A 42097-2026")</f>
        <v/>
      </c>
      <c r="Y383">
        <f>HYPERLINK("https://klasma.github.io/Logging_1290/kartor_geotiff/A 42097-2026 georefererad karta.tif", "A 42097-2026")</f>
        <v/>
      </c>
      <c r="AA383">
        <f>HYPERLINK("https://klasma.github.io/Logging_1290/klagomål/A 42097-2026 FSC-klagomål.docx", "A 42097-2026")</f>
        <v/>
      </c>
      <c r="AB383">
        <f>HYPERLINK("https://klasma.github.io/Logging_1290/klagomålsmail/A 42097-2026 FSC-klagomål mail.docx", "A 42097-2026")</f>
        <v/>
      </c>
      <c r="AC383">
        <f>HYPERLINK("https://klasma.github.io/Logging_1290/tillsyn/A 42097-2026 tillsynsbegäran.docx", "A 42097-2026")</f>
        <v/>
      </c>
      <c r="AD383">
        <f>HYPERLINK("https://klasma.github.io/Logging_1290/tillsynsmail/A 42097-2026 tillsynsbegäran mail.docx", "A 42097-2026")</f>
        <v/>
      </c>
    </row>
    <row r="384" ht="15" customHeight="1">
      <c r="A384" t="inlineStr">
        <is>
          <t>A 24688-2025</t>
        </is>
      </c>
      <c r="B384" t="inlineStr">
        <is>
          <t>avverkningsanmälan</t>
        </is>
      </c>
      <c r="C384" t="inlineStr">
        <is>
          <t>Föryngringsavverkning</t>
        </is>
      </c>
      <c r="D384" s="1" t="n">
        <v>45798</v>
      </c>
      <c r="E384" s="1" t="n">
        <v>46312</v>
      </c>
      <c r="F384" t="inlineStr">
        <is>
          <t>SKÅNE LÄN</t>
        </is>
      </c>
      <c r="G384" t="inlineStr">
        <is>
          <t>BROMÖLLA</t>
        </is>
      </c>
      <c r="I384" t="n">
        <v>1.6</v>
      </c>
      <c r="J384" t="n">
        <v>2</v>
      </c>
      <c r="K384" t="n">
        <v>0</v>
      </c>
      <c r="L384" t="n">
        <v>1</v>
      </c>
      <c r="M384" t="n">
        <v>0</v>
      </c>
      <c r="N384" t="n">
        <v>0</v>
      </c>
      <c r="O384" t="n">
        <v>0</v>
      </c>
      <c r="P384" t="n">
        <v>0</v>
      </c>
      <c r="Q384" t="n">
        <v>1</v>
      </c>
      <c r="R384" t="n">
        <v>0</v>
      </c>
      <c r="S384" t="n">
        <v>2</v>
      </c>
      <c r="T384" t="n">
        <v>2</v>
      </c>
      <c r="U384" t="n">
        <v>1</v>
      </c>
      <c r="V384" s="2" t="inlineStr">
        <is>
          <t>Järnsparv
Mindre flugsnappare</t>
        </is>
      </c>
      <c r="W384">
        <f>HYPERLINK("https://klasma.github.io/Logging_1272/artfynd/A 24688-2025 artfynd.xlsx", "A 24688-2025")</f>
        <v/>
      </c>
      <c r="X384">
        <f>HYPERLINK("https://klasma.github.io/Logging_1272/kartor/A 24688-2025 karta.png", "A 24688-2025")</f>
        <v/>
      </c>
      <c r="Y384">
        <f>HYPERLINK("https://klasma.github.io/Logging_1272/kartor_geotiff/A 24688-2025 georefererad karta.tif", "A 24688-2025")</f>
        <v/>
      </c>
      <c r="AA384">
        <f>HYPERLINK("https://klasma.github.io/Logging_1272/klagomål/A 24688-2025 FSC-klagomål.docx", "A 24688-2025")</f>
        <v/>
      </c>
      <c r="AB384">
        <f>HYPERLINK("https://klasma.github.io/Logging_1272/klagomålsmail/A 24688-2025 FSC-klagomål mail.docx", "A 24688-2025")</f>
        <v/>
      </c>
      <c r="AC384">
        <f>HYPERLINK("https://klasma.github.io/Logging_1272/tillsyn/A 24688-2025 tillsynsbegäran.docx", "A 24688-2025")</f>
        <v/>
      </c>
      <c r="AD384">
        <f>HYPERLINK("https://klasma.github.io/Logging_1272/tillsynsmail/A 24688-2025 tillsynsbegäran mail.docx", "A 24688-2025")</f>
        <v/>
      </c>
      <c r="AE384">
        <f>HYPERLINK("https://klasma.github.io/Logging_1272/fåglar/A 24688-2025 prioriterade fågelarter.docx", "A 24688-2025")</f>
        <v/>
      </c>
    </row>
    <row r="385" ht="15" customHeight="1">
      <c r="A385" t="inlineStr">
        <is>
          <t>A 24803-2025</t>
        </is>
      </c>
      <c r="B385" t="inlineStr">
        <is>
          <t>avverkningsanmälan</t>
        </is>
      </c>
      <c r="C385" t="inlineStr">
        <is>
          <t>Föryngringsavverkning</t>
        </is>
      </c>
      <c r="D385" s="1" t="n">
        <v>45799</v>
      </c>
      <c r="E385" s="1" t="n">
        <v>46312</v>
      </c>
      <c r="F385" t="inlineStr">
        <is>
          <t>SKÅNE LÄN</t>
        </is>
      </c>
      <c r="G385" t="inlineStr">
        <is>
          <t>KRISTIANSTAD</t>
        </is>
      </c>
      <c r="H385" t="inlineStr">
        <is>
          <t>Övriga Aktiebolag</t>
        </is>
      </c>
      <c r="I385" t="n">
        <v>9.699999999999999</v>
      </c>
      <c r="J385" t="n">
        <v>2</v>
      </c>
      <c r="K385" t="n">
        <v>0</v>
      </c>
      <c r="L385" t="n">
        <v>0</v>
      </c>
      <c r="M385" t="n">
        <v>0</v>
      </c>
      <c r="N385" t="n">
        <v>0</v>
      </c>
      <c r="O385" t="n">
        <v>0</v>
      </c>
      <c r="P385" t="n">
        <v>0</v>
      </c>
      <c r="Q385" t="n">
        <v>0</v>
      </c>
      <c r="R385" t="n">
        <v>0</v>
      </c>
      <c r="S385" t="n">
        <v>2</v>
      </c>
      <c r="T385" t="n">
        <v>2</v>
      </c>
      <c r="U385" t="n">
        <v>0</v>
      </c>
      <c r="V385" s="2" t="inlineStr">
        <is>
          <t>Kungsfågel
Röd glada</t>
        </is>
      </c>
      <c r="W385">
        <f>HYPERLINK("https://klasma.github.io/Logging_1290/artfynd/A 24803-2025 artfynd.xlsx", "A 24803-2025")</f>
        <v/>
      </c>
      <c r="X385">
        <f>HYPERLINK("https://klasma.github.io/Logging_1290/kartor/A 24803-2025 karta.png", "A 24803-2025")</f>
        <v/>
      </c>
      <c r="Y385">
        <f>HYPERLINK("https://klasma.github.io/Logging_1290/kartor_geotiff/A 24803-2025 georefererad karta.tif", "A 24803-2025")</f>
        <v/>
      </c>
      <c r="AA385">
        <f>HYPERLINK("https://klasma.github.io/Logging_1290/klagomål/A 24803-2025 FSC-klagomål.docx", "A 24803-2025")</f>
        <v/>
      </c>
      <c r="AB385">
        <f>HYPERLINK("https://klasma.github.io/Logging_1290/klagomålsmail/A 24803-2025 FSC-klagomål mail.docx", "A 24803-2025")</f>
        <v/>
      </c>
      <c r="AC385">
        <f>HYPERLINK("https://klasma.github.io/Logging_1290/tillsyn/A 24803-2025 tillsynsbegäran.docx", "A 24803-2025")</f>
        <v/>
      </c>
      <c r="AD385">
        <f>HYPERLINK("https://klasma.github.io/Logging_1290/tillsynsmail/A 24803-2025 tillsynsbegäran mail.docx", "A 24803-2025")</f>
        <v/>
      </c>
      <c r="AE385">
        <f>HYPERLINK("https://klasma.github.io/Logging_1290/fåglar/A 24803-2025 prioriterade fågelarter.docx", "A 24803-2025")</f>
        <v/>
      </c>
    </row>
    <row r="386" ht="15" customHeight="1">
      <c r="A386" t="inlineStr">
        <is>
          <t>A 50779-2024</t>
        </is>
      </c>
      <c r="B386" t="inlineStr">
        <is>
          <t>avverkningsanmälan</t>
        </is>
      </c>
      <c r="C386" t="inlineStr">
        <is>
          <t>Avverkning för annat ändamål</t>
        </is>
      </c>
      <c r="D386" s="1" t="n">
        <v>45602</v>
      </c>
      <c r="E386" s="1" t="n">
        <v>46312</v>
      </c>
      <c r="F386" t="inlineStr">
        <is>
          <t>SKÅNE LÄN</t>
        </is>
      </c>
      <c r="G386" t="inlineStr">
        <is>
          <t>KRISTIANSTAD</t>
        </is>
      </c>
      <c r="I386" t="n">
        <v>5.7</v>
      </c>
      <c r="J386" t="n">
        <v>1</v>
      </c>
      <c r="K386" t="n">
        <v>1</v>
      </c>
      <c r="L386" t="n">
        <v>0</v>
      </c>
      <c r="M386" t="n">
        <v>0</v>
      </c>
      <c r="N386" t="n">
        <v>0</v>
      </c>
      <c r="O386" t="n">
        <v>0</v>
      </c>
      <c r="P386" t="n">
        <v>0</v>
      </c>
      <c r="Q386" t="n">
        <v>0</v>
      </c>
      <c r="R386" t="n">
        <v>0</v>
      </c>
      <c r="S386" t="n">
        <v>2</v>
      </c>
      <c r="T386" t="n">
        <v>2</v>
      </c>
      <c r="U386" t="n">
        <v>2</v>
      </c>
      <c r="V386" s="2" t="inlineStr">
        <is>
          <t>Bokoxe
Utter</t>
        </is>
      </c>
      <c r="W386">
        <f>HYPERLINK("https://klasma.github.io/Logging_1290/artfynd/A 50779-2024 artfynd.xlsx", "A 50779-2024")</f>
        <v/>
      </c>
      <c r="X386">
        <f>HYPERLINK("https://klasma.github.io/Logging_1290/kartor/A 50779-2024 karta.png", "A 50779-2024")</f>
        <v/>
      </c>
      <c r="Y386">
        <f>HYPERLINK("https://klasma.github.io/Logging_1290/kartor_geotiff/A 50779-2024 georefererad karta.tif", "A 50779-2024")</f>
        <v/>
      </c>
      <c r="AA386">
        <f>HYPERLINK("https://klasma.github.io/Logging_1290/klagomål/A 50779-2024 FSC-klagomål.docx", "A 50779-2024")</f>
        <v/>
      </c>
      <c r="AB386">
        <f>HYPERLINK("https://klasma.github.io/Logging_1290/klagomålsmail/A 50779-2024 FSC-klagomål mail.docx", "A 50779-2024")</f>
        <v/>
      </c>
      <c r="AC386">
        <f>HYPERLINK("https://klasma.github.io/Logging_1290/tillsyn/A 50779-2024 tillsynsbegäran.docx", "A 50779-2024")</f>
        <v/>
      </c>
      <c r="AD386">
        <f>HYPERLINK("https://klasma.github.io/Logging_1290/tillsynsmail/A 50779-2024 tillsynsbegäran mail.docx", "A 50779-2024")</f>
        <v/>
      </c>
    </row>
    <row r="387" ht="15" customHeight="1">
      <c r="A387" t="inlineStr">
        <is>
          <t>A 35684-2026</t>
        </is>
      </c>
      <c r="B387" t="inlineStr">
        <is>
          <t>avverkningsanmälan</t>
        </is>
      </c>
      <c r="C387" t="inlineStr">
        <is>
          <t>Föryngringsavverkning</t>
        </is>
      </c>
      <c r="D387" s="1" t="n">
        <v>46265</v>
      </c>
      <c r="E387" s="1" t="n">
        <v>46312</v>
      </c>
      <c r="F387" t="inlineStr">
        <is>
          <t>SKÅNE LÄN</t>
        </is>
      </c>
      <c r="G387" t="inlineStr">
        <is>
          <t>ÄNGELHOLM</t>
        </is>
      </c>
      <c r="I387" t="n">
        <v>3.9</v>
      </c>
      <c r="J387" t="n">
        <v>1</v>
      </c>
      <c r="K387" t="n">
        <v>0</v>
      </c>
      <c r="L387" t="n">
        <v>1</v>
      </c>
      <c r="M387" t="n">
        <v>0</v>
      </c>
      <c r="N387" t="n">
        <v>0</v>
      </c>
      <c r="O387" t="n">
        <v>0</v>
      </c>
      <c r="P387" t="n">
        <v>0</v>
      </c>
      <c r="Q387" t="n">
        <v>1</v>
      </c>
      <c r="R387" t="n">
        <v>0</v>
      </c>
      <c r="S387" t="n">
        <v>2</v>
      </c>
      <c r="T387" t="n">
        <v>2</v>
      </c>
      <c r="U387" t="n">
        <v>2</v>
      </c>
      <c r="V387" s="2" t="inlineStr">
        <is>
          <t>Entita
Blåbär</t>
        </is>
      </c>
      <c r="W387">
        <f>HYPERLINK("https://klasma.github.io/Logging_1292/artfynd/A 35684-2026 artfynd.xlsx", "A 35684-2026")</f>
        <v/>
      </c>
      <c r="X387">
        <f>HYPERLINK("https://klasma.github.io/Logging_1292/kartor/A 35684-2026 karta.png", "A 35684-2026")</f>
        <v/>
      </c>
      <c r="Y387">
        <f>HYPERLINK("https://klasma.github.io/Logging_1292/kartor_geotiff/A 35684-2026 georefererad karta.tif", "A 35684-2026")</f>
        <v/>
      </c>
      <c r="AA387">
        <f>HYPERLINK("https://klasma.github.io/Logging_1292/klagomål/A 35684-2026 FSC-klagomål.docx", "A 35684-2026")</f>
        <v/>
      </c>
      <c r="AB387">
        <f>HYPERLINK("https://klasma.github.io/Logging_1292/klagomålsmail/A 35684-2026 FSC-klagomål mail.docx", "A 35684-2026")</f>
        <v/>
      </c>
      <c r="AC387">
        <f>HYPERLINK("https://klasma.github.io/Logging_1292/tillsyn/A 35684-2026 tillsynsbegäran.docx", "A 35684-2026")</f>
        <v/>
      </c>
      <c r="AD387">
        <f>HYPERLINK("https://klasma.github.io/Logging_1292/tillsynsmail/A 35684-2026 tillsynsbegäran mail.docx", "A 35684-2026")</f>
        <v/>
      </c>
      <c r="AE387">
        <f>HYPERLINK("https://klasma.github.io/Logging_1292/fåglar/A 35684-2026 prioriterade fågelarter.docx", "A 35684-2026")</f>
        <v/>
      </c>
    </row>
    <row r="388" ht="15" customHeight="1">
      <c r="A388" t="inlineStr">
        <is>
          <t>A 33910-2026</t>
        </is>
      </c>
      <c r="B388" t="inlineStr">
        <is>
          <t>avverkningsanmälan</t>
        </is>
      </c>
      <c r="C388" t="inlineStr">
        <is>
          <t>Föryngringsavverkning</t>
        </is>
      </c>
      <c r="D388" s="1" t="n">
        <v>46252</v>
      </c>
      <c r="E388" s="1" t="n">
        <v>46312</v>
      </c>
      <c r="F388" t="inlineStr">
        <is>
          <t>SKÅNE LÄN</t>
        </is>
      </c>
      <c r="G388" t="inlineStr">
        <is>
          <t>HÖÖR</t>
        </is>
      </c>
      <c r="I388" t="n">
        <v>9.199999999999999</v>
      </c>
      <c r="J388" t="n">
        <v>0</v>
      </c>
      <c r="K388" t="n">
        <v>2</v>
      </c>
      <c r="L388" t="n">
        <v>0</v>
      </c>
      <c r="M388" t="n">
        <v>0</v>
      </c>
      <c r="N388" t="n">
        <v>0</v>
      </c>
      <c r="O388" t="n">
        <v>0</v>
      </c>
      <c r="P388" t="n">
        <v>0</v>
      </c>
      <c r="Q388" t="n">
        <v>0</v>
      </c>
      <c r="R388" t="n">
        <v>0</v>
      </c>
      <c r="S388" t="n">
        <v>2</v>
      </c>
      <c r="T388" t="n">
        <v>2</v>
      </c>
      <c r="U388" t="n">
        <v>0</v>
      </c>
      <c r="V388" s="2" t="inlineStr">
        <is>
          <t>Fällmossa
Guldlockmossa</t>
        </is>
      </c>
      <c r="W388">
        <f>HYPERLINK("https://klasma.github.io/Logging_1267/artfynd/A 33910-2026 artfynd.xlsx", "A 33910-2026")</f>
        <v/>
      </c>
      <c r="X388">
        <f>HYPERLINK("https://klasma.github.io/Logging_1267/kartor/A 33910-2026 karta.png", "A 33910-2026")</f>
        <v/>
      </c>
      <c r="Y388">
        <f>HYPERLINK("https://klasma.github.io/Logging_1267/kartor_geotiff/A 33910-2026 georefererad karta.tif", "A 33910-2026")</f>
        <v/>
      </c>
      <c r="AA388">
        <f>HYPERLINK("https://klasma.github.io/Logging_1267/klagomål/A 33910-2026 FSC-klagomål.docx", "A 33910-2026")</f>
        <v/>
      </c>
      <c r="AB388">
        <f>HYPERLINK("https://klasma.github.io/Logging_1267/klagomålsmail/A 33910-2026 FSC-klagomål mail.docx", "A 33910-2026")</f>
        <v/>
      </c>
      <c r="AC388">
        <f>HYPERLINK("https://klasma.github.io/Logging_1267/tillsyn/A 33910-2026 tillsynsbegäran.docx", "A 33910-2026")</f>
        <v/>
      </c>
      <c r="AD388">
        <f>HYPERLINK("https://klasma.github.io/Logging_1267/tillsynsmail/A 33910-2026 tillsynsbegäran mail.docx", "A 33910-2026")</f>
        <v/>
      </c>
    </row>
    <row r="389" ht="15" customHeight="1">
      <c r="A389" t="inlineStr">
        <is>
          <t>A 32705-2025</t>
        </is>
      </c>
      <c r="B389" t="inlineStr">
        <is>
          <t>avverkningsanmälan</t>
        </is>
      </c>
      <c r="C389" t="inlineStr">
        <is>
          <t>Föryngringsavverkning</t>
        </is>
      </c>
      <c r="D389" s="1" t="n">
        <v>45839</v>
      </c>
      <c r="E389" s="1" t="n">
        <v>46312</v>
      </c>
      <c r="F389" t="inlineStr">
        <is>
          <t>SKÅNE LÄN</t>
        </is>
      </c>
      <c r="G389" t="inlineStr">
        <is>
          <t>OSBY</t>
        </is>
      </c>
      <c r="I389" t="n">
        <v>0.6</v>
      </c>
      <c r="J389" t="n">
        <v>2</v>
      </c>
      <c r="K389" t="n">
        <v>0</v>
      </c>
      <c r="L389" t="n">
        <v>1</v>
      </c>
      <c r="M389" t="n">
        <v>0</v>
      </c>
      <c r="N389" t="n">
        <v>0</v>
      </c>
      <c r="O389" t="n">
        <v>0</v>
      </c>
      <c r="P389" t="n">
        <v>0</v>
      </c>
      <c r="Q389" t="n">
        <v>1</v>
      </c>
      <c r="R389" t="n">
        <v>0</v>
      </c>
      <c r="S389" t="n">
        <v>2</v>
      </c>
      <c r="T389" t="n">
        <v>4</v>
      </c>
      <c r="U389" t="n">
        <v>0</v>
      </c>
      <c r="V389" s="2" t="inlineStr">
        <is>
          <t>Sädesärla
Kungsfågel</t>
        </is>
      </c>
      <c r="W389">
        <f>HYPERLINK("https://klasma.github.io/Logging_1273/artfynd/A 32705-2025 artfynd.xlsx", "A 32705-2025")</f>
        <v/>
      </c>
      <c r="X389">
        <f>HYPERLINK("https://klasma.github.io/Logging_1273/kartor/A 32705-2025 karta.png", "A 32705-2025")</f>
        <v/>
      </c>
      <c r="Y389">
        <f>HYPERLINK("https://klasma.github.io/Logging_1273/kartor_geotiff/A 32705-2025 georefererad karta.tif", "A 32705-2025")</f>
        <v/>
      </c>
      <c r="AA389">
        <f>HYPERLINK("https://klasma.github.io/Logging_1273/klagomål/A 32705-2025 FSC-klagomål.docx", "A 32705-2025")</f>
        <v/>
      </c>
      <c r="AB389">
        <f>HYPERLINK("https://klasma.github.io/Logging_1273/klagomålsmail/A 32705-2025 FSC-klagomål mail.docx", "A 32705-2025")</f>
        <v/>
      </c>
      <c r="AC389">
        <f>HYPERLINK("https://klasma.github.io/Logging_1273/tillsyn/A 32705-2025 tillsynsbegäran.docx", "A 32705-2025")</f>
        <v/>
      </c>
      <c r="AD389">
        <f>HYPERLINK("https://klasma.github.io/Logging_1273/tillsynsmail/A 32705-2025 tillsynsbegäran mail.docx", "A 32705-2025")</f>
        <v/>
      </c>
      <c r="AE389">
        <f>HYPERLINK("https://klasma.github.io/Logging_1273/fåglar/A 32705-2025 prioriterade fågelarter.docx", "A 32705-2025")</f>
        <v/>
      </c>
    </row>
    <row r="390" ht="15" customHeight="1">
      <c r="A390" t="inlineStr">
        <is>
          <t>A 2482-2025</t>
        </is>
      </c>
      <c r="B390" t="inlineStr">
        <is>
          <t>avverkningsanmälan</t>
        </is>
      </c>
      <c r="C390" t="inlineStr">
        <is>
          <t>Föryngringsavverkning</t>
        </is>
      </c>
      <c r="D390" s="1" t="n">
        <v>45674</v>
      </c>
      <c r="E390" s="1" t="n">
        <v>46312</v>
      </c>
      <c r="F390" t="inlineStr">
        <is>
          <t>SKÅNE LÄN</t>
        </is>
      </c>
      <c r="G390" t="inlineStr">
        <is>
          <t>SVEDALA</t>
        </is>
      </c>
      <c r="I390" t="n">
        <v>0.5</v>
      </c>
      <c r="J390" t="n">
        <v>1</v>
      </c>
      <c r="K390" t="n">
        <v>1</v>
      </c>
      <c r="L390" t="n">
        <v>1</v>
      </c>
      <c r="M390" t="n">
        <v>0</v>
      </c>
      <c r="N390" t="n">
        <v>0</v>
      </c>
      <c r="O390" t="n">
        <v>0</v>
      </c>
      <c r="P390" t="n">
        <v>0</v>
      </c>
      <c r="Q390" t="n">
        <v>1</v>
      </c>
      <c r="R390" t="n">
        <v>0</v>
      </c>
      <c r="S390" t="n">
        <v>2</v>
      </c>
      <c r="T390" t="n">
        <v>2</v>
      </c>
      <c r="U390" t="n">
        <v>0</v>
      </c>
      <c r="V390" s="2" t="inlineStr">
        <is>
          <t>Korallticka
Ekoxe</t>
        </is>
      </c>
      <c r="W390">
        <f>HYPERLINK("https://klasma.github.io/Logging_1263/artfynd/A 2482-2025 artfynd.xlsx", "A 2482-2025")</f>
        <v/>
      </c>
      <c r="X390">
        <f>HYPERLINK("https://klasma.github.io/Logging_1263/kartor/A 2482-2025 karta.png", "A 2482-2025")</f>
        <v/>
      </c>
      <c r="Y390">
        <f>HYPERLINK("https://klasma.github.io/Logging_1263/kartor_geotiff/A 2482-2025 georefererad karta.tif", "A 2482-2025")</f>
        <v/>
      </c>
      <c r="AA390">
        <f>HYPERLINK("https://klasma.github.io/Logging_1263/klagomål/A 2482-2025 FSC-klagomål.docx", "A 2482-2025")</f>
        <v/>
      </c>
      <c r="AB390">
        <f>HYPERLINK("https://klasma.github.io/Logging_1263/klagomålsmail/A 2482-2025 FSC-klagomål mail.docx", "A 2482-2025")</f>
        <v/>
      </c>
      <c r="AC390">
        <f>HYPERLINK("https://klasma.github.io/Logging_1263/tillsyn/A 2482-2025 tillsynsbegäran.docx", "A 2482-2025")</f>
        <v/>
      </c>
      <c r="AD390">
        <f>HYPERLINK("https://klasma.github.io/Logging_1263/tillsynsmail/A 2482-2025 tillsynsbegäran mail.docx", "A 2482-2025")</f>
        <v/>
      </c>
    </row>
    <row r="391" ht="15" customHeight="1">
      <c r="A391" t="inlineStr">
        <is>
          <t>A 36266-2025</t>
        </is>
      </c>
      <c r="B391" t="inlineStr">
        <is>
          <t>avverkningsanmälan</t>
        </is>
      </c>
      <c r="C391" t="inlineStr">
        <is>
          <t>Föryngringsavverkning</t>
        </is>
      </c>
      <c r="D391" s="1" t="n">
        <v>45867</v>
      </c>
      <c r="E391" s="1" t="n">
        <v>46312</v>
      </c>
      <c r="F391" t="inlineStr">
        <is>
          <t>SKÅNE LÄN</t>
        </is>
      </c>
      <c r="G391" t="inlineStr">
        <is>
          <t>OSBY</t>
        </is>
      </c>
      <c r="I391" t="n">
        <v>3.3</v>
      </c>
      <c r="J391" t="n">
        <v>2</v>
      </c>
      <c r="K391" t="n">
        <v>0</v>
      </c>
      <c r="L391" t="n">
        <v>1</v>
      </c>
      <c r="M391" t="n">
        <v>0</v>
      </c>
      <c r="N391" t="n">
        <v>0</v>
      </c>
      <c r="O391" t="n">
        <v>0</v>
      </c>
      <c r="P391" t="n">
        <v>0</v>
      </c>
      <c r="Q391" t="n">
        <v>1</v>
      </c>
      <c r="R391" t="n">
        <v>0</v>
      </c>
      <c r="S391" t="n">
        <v>2</v>
      </c>
      <c r="T391" t="n">
        <v>2</v>
      </c>
      <c r="U391" t="n">
        <v>0</v>
      </c>
      <c r="V391" s="2" t="inlineStr">
        <is>
          <t>Talltita
Kungsfågel</t>
        </is>
      </c>
      <c r="W391">
        <f>HYPERLINK("https://klasma.github.io/Logging_1273/artfynd/A 36266-2025 artfynd.xlsx", "A 36266-2025")</f>
        <v/>
      </c>
      <c r="X391">
        <f>HYPERLINK("https://klasma.github.io/Logging_1273/kartor/A 36266-2025 karta.png", "A 36266-2025")</f>
        <v/>
      </c>
      <c r="Y391">
        <f>HYPERLINK("https://klasma.github.io/Logging_1273/kartor_geotiff/A 36266-2025 georefererad karta.tif", "A 36266-2025")</f>
        <v/>
      </c>
      <c r="AA391">
        <f>HYPERLINK("https://klasma.github.io/Logging_1273/klagomål/A 36266-2025 FSC-klagomål.docx", "A 36266-2025")</f>
        <v/>
      </c>
      <c r="AB391">
        <f>HYPERLINK("https://klasma.github.io/Logging_1273/klagomålsmail/A 36266-2025 FSC-klagomål mail.docx", "A 36266-2025")</f>
        <v/>
      </c>
      <c r="AC391">
        <f>HYPERLINK("https://klasma.github.io/Logging_1273/tillsyn/A 36266-2025 tillsynsbegäran.docx", "A 36266-2025")</f>
        <v/>
      </c>
      <c r="AD391">
        <f>HYPERLINK("https://klasma.github.io/Logging_1273/tillsynsmail/A 36266-2025 tillsynsbegäran mail.docx", "A 36266-2025")</f>
        <v/>
      </c>
      <c r="AE391">
        <f>HYPERLINK("https://klasma.github.io/Logging_1273/fåglar/A 36266-2025 prioriterade fågelarter.docx", "A 36266-2025")</f>
        <v/>
      </c>
    </row>
    <row r="392" ht="15" customHeight="1">
      <c r="A392" t="inlineStr">
        <is>
          <t>S 2558-2023</t>
        </is>
      </c>
      <c r="B392" t="inlineStr">
        <is>
          <t>samrådsanmälan</t>
        </is>
      </c>
      <c r="C392" t="inlineStr">
        <is>
          <t>Annan skogsbruksåtgärd</t>
        </is>
      </c>
      <c r="D392" s="1" t="n">
        <v>45139</v>
      </c>
      <c r="E392" s="1" t="n">
        <v>46312</v>
      </c>
      <c r="F392" t="inlineStr">
        <is>
          <t>SKÅNE LÄN</t>
        </is>
      </c>
      <c r="G392" t="inlineStr">
        <is>
          <t>ÖRKELLJUNGA</t>
        </is>
      </c>
      <c r="I392" t="n">
        <v>2.3</v>
      </c>
      <c r="J392" t="n">
        <v>2</v>
      </c>
      <c r="K392" t="n">
        <v>0</v>
      </c>
      <c r="L392" t="n">
        <v>0</v>
      </c>
      <c r="M392" t="n">
        <v>0</v>
      </c>
      <c r="N392" t="n">
        <v>0</v>
      </c>
      <c r="O392" t="n">
        <v>0</v>
      </c>
      <c r="P392" t="n">
        <v>0</v>
      </c>
      <c r="Q392" t="n">
        <v>0</v>
      </c>
      <c r="R392" t="n">
        <v>0</v>
      </c>
      <c r="S392" t="n">
        <v>2</v>
      </c>
      <c r="T392" t="n">
        <v>2</v>
      </c>
      <c r="U392" t="n">
        <v>2</v>
      </c>
      <c r="V392" s="2" t="inlineStr">
        <is>
          <t>Skogsduva
Trana</t>
        </is>
      </c>
      <c r="W392">
        <f>HYPERLINK("https://klasma.github.io/Logging_1257/artfynd/S 2558-2023 artfynd.xlsx", "S 2558-2023")</f>
        <v/>
      </c>
      <c r="X392">
        <f>HYPERLINK("https://klasma.github.io/Logging_1257/kartor/S 2558-2023 karta.png", "S 2558-2023")</f>
        <v/>
      </c>
      <c r="Y392">
        <f>HYPERLINK("https://klasma.github.io/Logging_1257/kartor_geotiff/S 2558-2023 georefererad karta.tif", "S 2558-2023")</f>
        <v/>
      </c>
      <c r="AA392">
        <f>HYPERLINK("https://klasma.github.io/Logging_1257/klagomål/S 2558-2023 FSC-klagomål.docx", "S 2558-2023")</f>
        <v/>
      </c>
      <c r="AB392">
        <f>HYPERLINK("https://klasma.github.io/Logging_1257/klagomålsmail/S 2558-2023 FSC-klagomål mail.docx", "S 2558-2023")</f>
        <v/>
      </c>
      <c r="AC392">
        <f>HYPERLINK("https://klasma.github.io/Logging_1257/tillsyn/S 2558-2023 tillsynsbegäran.docx", "S 2558-2023")</f>
        <v/>
      </c>
      <c r="AD392">
        <f>HYPERLINK("https://klasma.github.io/Logging_1257/tillsynsmail/S 2558-2023 tillsynsbegäran mail.docx", "S 2558-2023")</f>
        <v/>
      </c>
      <c r="AE392">
        <f>HYPERLINK("https://klasma.github.io/Logging_1257/fåglar/S 2558-2023 prioriterade fågelarter.docx", "S 2558-2023")</f>
        <v/>
      </c>
    </row>
    <row r="393" ht="15" customHeight="1">
      <c r="A393" t="inlineStr">
        <is>
          <t>S 2222-2023</t>
        </is>
      </c>
      <c r="B393" t="inlineStr">
        <is>
          <t>samrådsanmälan</t>
        </is>
      </c>
      <c r="C393" t="inlineStr">
        <is>
          <t>Askåterföring</t>
        </is>
      </c>
      <c r="D393" s="1" t="n">
        <v>45099</v>
      </c>
      <c r="E393" s="1" t="n">
        <v>46312</v>
      </c>
      <c r="F393" t="inlineStr">
        <is>
          <t>SKÅNE LÄN</t>
        </is>
      </c>
      <c r="G393" t="inlineStr">
        <is>
          <t>HÄSSLEHOLM</t>
        </is>
      </c>
      <c r="I393" t="n">
        <v>38.5</v>
      </c>
      <c r="J393" t="n">
        <v>1</v>
      </c>
      <c r="K393" t="n">
        <v>0</v>
      </c>
      <c r="L393" t="n">
        <v>1</v>
      </c>
      <c r="M393" t="n">
        <v>0</v>
      </c>
      <c r="N393" t="n">
        <v>0</v>
      </c>
      <c r="O393" t="n">
        <v>0</v>
      </c>
      <c r="P393" t="n">
        <v>0</v>
      </c>
      <c r="Q393" t="n">
        <v>1</v>
      </c>
      <c r="R393" t="n">
        <v>0</v>
      </c>
      <c r="S393" t="n">
        <v>2</v>
      </c>
      <c r="T393" t="n">
        <v>2</v>
      </c>
      <c r="U393" t="n">
        <v>0</v>
      </c>
      <c r="V393" s="2" t="inlineStr">
        <is>
          <t>Borsttåg
Mattlummer</t>
        </is>
      </c>
      <c r="W393">
        <f>HYPERLINK("https://klasma.github.io/Logging_1293/artfynd/S 2222-2023 artfynd.xlsx", "S 2222-2023")</f>
        <v/>
      </c>
      <c r="X393">
        <f>HYPERLINK("https://klasma.github.io/Logging_1293/kartor/S 2222-2023 karta.png", "S 2222-2023")</f>
        <v/>
      </c>
      <c r="Y393">
        <f>HYPERLINK("https://klasma.github.io/Logging_1293/kartor_geotiff/S 2222-2023 georefererad karta.tif", "S 2222-2023")</f>
        <v/>
      </c>
      <c r="AA393">
        <f>HYPERLINK("https://klasma.github.io/Logging_1293/klagomål/S 2222-2023 FSC-klagomål.docx", "S 2222-2023")</f>
        <v/>
      </c>
      <c r="AB393">
        <f>HYPERLINK("https://klasma.github.io/Logging_1293/klagomålsmail/S 2222-2023 FSC-klagomål mail.docx", "S 2222-2023")</f>
        <v/>
      </c>
      <c r="AC393">
        <f>HYPERLINK("https://klasma.github.io/Logging_1293/tillsyn/S 2222-2023 tillsynsbegäran.docx", "S 2222-2023")</f>
        <v/>
      </c>
      <c r="AD393">
        <f>HYPERLINK("https://klasma.github.io/Logging_1293/tillsynsmail/S 2222-2023 tillsynsbegäran mail.docx", "S 2222-2023")</f>
        <v/>
      </c>
    </row>
    <row r="394" ht="15" customHeight="1">
      <c r="A394" t="inlineStr">
        <is>
          <t>S 4509-2023</t>
        </is>
      </c>
      <c r="B394" t="inlineStr">
        <is>
          <t>samrådsanmälan</t>
        </is>
      </c>
      <c r="C394" t="inlineStr">
        <is>
          <t>Askåterföring</t>
        </is>
      </c>
      <c r="D394" s="1" t="n">
        <v>45274</v>
      </c>
      <c r="E394" s="1" t="n">
        <v>46312</v>
      </c>
      <c r="F394" t="inlineStr">
        <is>
          <t>SKÅNE LÄN</t>
        </is>
      </c>
      <c r="G394" t="inlineStr">
        <is>
          <t>HÄSSLEHOLM</t>
        </is>
      </c>
      <c r="I394" t="n">
        <v>52.8</v>
      </c>
      <c r="J394" t="n">
        <v>1</v>
      </c>
      <c r="K394" t="n">
        <v>0</v>
      </c>
      <c r="L394" t="n">
        <v>1</v>
      </c>
      <c r="M394" t="n">
        <v>0</v>
      </c>
      <c r="N394" t="n">
        <v>0</v>
      </c>
      <c r="O394" t="n">
        <v>0</v>
      </c>
      <c r="P394" t="n">
        <v>0</v>
      </c>
      <c r="Q394" t="n">
        <v>1</v>
      </c>
      <c r="R394" t="n">
        <v>0</v>
      </c>
      <c r="S394" t="n">
        <v>2</v>
      </c>
      <c r="T394" t="n">
        <v>2</v>
      </c>
      <c r="U394" t="n">
        <v>1</v>
      </c>
      <c r="V394" s="2" t="inlineStr">
        <is>
          <t>Älg
Kungsfågel</t>
        </is>
      </c>
      <c r="W394">
        <f>HYPERLINK("https://klasma.github.io/Logging_1293/artfynd/S 4509-2023 artfynd.xlsx", "S 4509-2023")</f>
        <v/>
      </c>
      <c r="X394">
        <f>HYPERLINK("https://klasma.github.io/Logging_1293/kartor/S 4509-2023 karta.png", "S 4509-2023")</f>
        <v/>
      </c>
      <c r="Y394">
        <f>HYPERLINK("https://klasma.github.io/Logging_1293/kartor_geotiff/S 4509-2023 georefererad karta.tif", "S 4509-2023")</f>
        <v/>
      </c>
      <c r="AA394">
        <f>HYPERLINK("https://klasma.github.io/Logging_1293/klagomål/S 4509-2023 FSC-klagomål.docx", "S 4509-2023")</f>
        <v/>
      </c>
      <c r="AB394">
        <f>HYPERLINK("https://klasma.github.io/Logging_1293/klagomålsmail/S 4509-2023 FSC-klagomål mail.docx", "S 4509-2023")</f>
        <v/>
      </c>
      <c r="AC394">
        <f>HYPERLINK("https://klasma.github.io/Logging_1293/tillsyn/S 4509-2023 tillsynsbegäran.docx", "S 4509-2023")</f>
        <v/>
      </c>
      <c r="AD394">
        <f>HYPERLINK("https://klasma.github.io/Logging_1293/tillsynsmail/S 4509-2023 tillsynsbegäran mail.docx", "S 4509-2023")</f>
        <v/>
      </c>
    </row>
    <row r="395" ht="15" customHeight="1">
      <c r="A395" t="inlineStr">
        <is>
          <t>S 230-2024</t>
        </is>
      </c>
      <c r="B395" t="inlineStr">
        <is>
          <t>samrådsanmälan</t>
        </is>
      </c>
      <c r="C395" t="inlineStr">
        <is>
          <t>Annan skogsbruksåtgärd</t>
        </is>
      </c>
      <c r="D395" s="1" t="n">
        <v>45317</v>
      </c>
      <c r="E395" s="1" t="n">
        <v>46312</v>
      </c>
      <c r="F395" t="inlineStr">
        <is>
          <t>SKÅNE LÄN</t>
        </is>
      </c>
      <c r="G395" t="inlineStr">
        <is>
          <t>HÖRBY</t>
        </is>
      </c>
      <c r="I395" t="n">
        <v>4.9</v>
      </c>
      <c r="J395" t="n">
        <v>2</v>
      </c>
      <c r="K395" t="n">
        <v>0</v>
      </c>
      <c r="L395" t="n">
        <v>0</v>
      </c>
      <c r="M395" t="n">
        <v>0</v>
      </c>
      <c r="N395" t="n">
        <v>0</v>
      </c>
      <c r="O395" t="n">
        <v>0</v>
      </c>
      <c r="P395" t="n">
        <v>0</v>
      </c>
      <c r="Q395" t="n">
        <v>0</v>
      </c>
      <c r="R395" t="n">
        <v>0</v>
      </c>
      <c r="S395" t="n">
        <v>2</v>
      </c>
      <c r="T395" t="n">
        <v>2</v>
      </c>
      <c r="U395" t="n">
        <v>1</v>
      </c>
      <c r="V395" s="2" t="inlineStr">
        <is>
          <t>Grönsiska
Kungsfågel</t>
        </is>
      </c>
      <c r="W395">
        <f>HYPERLINK("https://klasma.github.io/Logging_1266/artfynd/S 230-2024 artfynd.xlsx", "S 230-2024")</f>
        <v/>
      </c>
      <c r="X395">
        <f>HYPERLINK("https://klasma.github.io/Logging_1266/kartor/S 230-2024 karta.png", "S 230-2024")</f>
        <v/>
      </c>
      <c r="Y395">
        <f>HYPERLINK("https://klasma.github.io/Logging_1266/kartor_geotiff/S 230-2024 georefererad karta.tif", "S 230-2024")</f>
        <v/>
      </c>
      <c r="AA395">
        <f>HYPERLINK("https://klasma.github.io/Logging_1266/klagomål/S 230-2024 FSC-klagomål.docx", "S 230-2024")</f>
        <v/>
      </c>
      <c r="AB395">
        <f>HYPERLINK("https://klasma.github.io/Logging_1266/klagomålsmail/S 230-2024 FSC-klagomål mail.docx", "S 230-2024")</f>
        <v/>
      </c>
      <c r="AC395">
        <f>HYPERLINK("https://klasma.github.io/Logging_1266/tillsyn/S 230-2024 tillsynsbegäran.docx", "S 230-2024")</f>
        <v/>
      </c>
      <c r="AD395">
        <f>HYPERLINK("https://klasma.github.io/Logging_1266/tillsynsmail/S 230-2024 tillsynsbegäran mail.docx", "S 230-2024")</f>
        <v/>
      </c>
    </row>
    <row r="396" ht="15" customHeight="1">
      <c r="A396" t="inlineStr">
        <is>
          <t>S 4458-2023</t>
        </is>
      </c>
      <c r="B396" t="inlineStr">
        <is>
          <t>samrådsanmälan</t>
        </is>
      </c>
      <c r="C396" t="inlineStr">
        <is>
          <t>Askåterföring</t>
        </is>
      </c>
      <c r="D396" s="1" t="n">
        <v>45271</v>
      </c>
      <c r="E396" s="1" t="n">
        <v>46312</v>
      </c>
      <c r="F396" t="inlineStr">
        <is>
          <t>SKÅNE LÄN</t>
        </is>
      </c>
      <c r="G396" t="inlineStr">
        <is>
          <t>BROMÖLLA</t>
        </is>
      </c>
      <c r="I396" t="n">
        <v>62.9</v>
      </c>
      <c r="J396" t="n">
        <v>0</v>
      </c>
      <c r="K396" t="n">
        <v>2</v>
      </c>
      <c r="L396" t="n">
        <v>0</v>
      </c>
      <c r="M396" t="n">
        <v>0</v>
      </c>
      <c r="N396" t="n">
        <v>0</v>
      </c>
      <c r="O396" t="n">
        <v>0</v>
      </c>
      <c r="P396" t="n">
        <v>0</v>
      </c>
      <c r="Q396" t="n">
        <v>0</v>
      </c>
      <c r="R396" t="n">
        <v>0</v>
      </c>
      <c r="S396" t="n">
        <v>2</v>
      </c>
      <c r="T396" t="n">
        <v>2</v>
      </c>
      <c r="U396" t="n">
        <v>2</v>
      </c>
      <c r="V396" s="2" t="inlineStr">
        <is>
          <t>Lundbräsma
Lömsk flugsvamp</t>
        </is>
      </c>
      <c r="W396">
        <f>HYPERLINK("https://klasma.github.io/Logging_1272/artfynd/S 4458-2023 artfynd.xlsx", "S 4458-2023")</f>
        <v/>
      </c>
      <c r="X396">
        <f>HYPERLINK("https://klasma.github.io/Logging_1272/kartor/S 4458-2023 karta.png", "S 4458-2023")</f>
        <v/>
      </c>
      <c r="Y396">
        <f>HYPERLINK("https://klasma.github.io/Logging_1272/kartor_geotiff/S 4458-2023 georefererad karta.tif", "S 4458-2023")</f>
        <v/>
      </c>
      <c r="AA396">
        <f>HYPERLINK("https://klasma.github.io/Logging_1272/klagomål/S 4458-2023 FSC-klagomål.docx", "S 4458-2023")</f>
        <v/>
      </c>
      <c r="AB396">
        <f>HYPERLINK("https://klasma.github.io/Logging_1272/klagomålsmail/S 4458-2023 FSC-klagomål mail.docx", "S 4458-2023")</f>
        <v/>
      </c>
      <c r="AC396">
        <f>HYPERLINK("https://klasma.github.io/Logging_1272/tillsyn/S 4458-2023 tillsynsbegäran.docx", "S 4458-2023")</f>
        <v/>
      </c>
      <c r="AD396">
        <f>HYPERLINK("https://klasma.github.io/Logging_1272/tillsynsmail/S 4458-2023 tillsynsbegäran mail.docx", "S 4458-2023")</f>
        <v/>
      </c>
    </row>
    <row r="397" ht="15" customHeight="1">
      <c r="A397" t="inlineStr">
        <is>
          <t>S 8923-2021</t>
        </is>
      </c>
      <c r="B397" t="inlineStr">
        <is>
          <t>samrådsanmälan</t>
        </is>
      </c>
      <c r="C397" t="inlineStr">
        <is>
          <t>Askåterföring</t>
        </is>
      </c>
      <c r="D397" s="1" t="n">
        <v>44504</v>
      </c>
      <c r="E397" s="1" t="n">
        <v>46312</v>
      </c>
      <c r="F397" t="inlineStr">
        <is>
          <t>SKÅNE LÄN</t>
        </is>
      </c>
      <c r="G397" t="inlineStr">
        <is>
          <t>HÖÖR</t>
        </is>
      </c>
      <c r="I397" t="n">
        <v>16.9</v>
      </c>
      <c r="J397" t="n">
        <v>0</v>
      </c>
      <c r="K397" t="n">
        <v>0</v>
      </c>
      <c r="L397" t="n">
        <v>0</v>
      </c>
      <c r="M397" t="n">
        <v>0</v>
      </c>
      <c r="N397" t="n">
        <v>0</v>
      </c>
      <c r="O397" t="n">
        <v>0</v>
      </c>
      <c r="P397" t="n">
        <v>0</v>
      </c>
      <c r="Q397" t="n">
        <v>0</v>
      </c>
      <c r="R397" t="n">
        <v>0</v>
      </c>
      <c r="S397" t="n">
        <v>2</v>
      </c>
      <c r="T397" t="n">
        <v>2</v>
      </c>
      <c r="U397" t="n">
        <v>2</v>
      </c>
      <c r="V397" s="2" t="inlineStr">
        <is>
          <t>Kärrbräken
Ängskovall</t>
        </is>
      </c>
      <c r="W397">
        <f>HYPERLINK("https://klasma.github.io/Logging_1267/artfynd/S 8923-2021 artfynd.xlsx", "S 8923-2021")</f>
        <v/>
      </c>
      <c r="X397">
        <f>HYPERLINK("https://klasma.github.io/Logging_1267/kartor/S 8923-2021 karta.png", "S 8923-2021")</f>
        <v/>
      </c>
      <c r="Y397">
        <f>HYPERLINK("https://klasma.github.io/Logging_1267/kartor_geotiff/S 8923-2021 georefererad karta.tif", "S 8923-2021")</f>
        <v/>
      </c>
      <c r="AA397">
        <f>HYPERLINK("https://klasma.github.io/Logging_1267/klagomål/S 8923-2021 FSC-klagomål.docx", "S 8923-2021")</f>
        <v/>
      </c>
      <c r="AB397">
        <f>HYPERLINK("https://klasma.github.io/Logging_1267/klagomålsmail/S 8923-2021 FSC-klagomål mail.docx", "S 8923-2021")</f>
        <v/>
      </c>
      <c r="AC397">
        <f>HYPERLINK("https://klasma.github.io/Logging_1267/tillsyn/S 8923-2021 tillsynsbegäran.docx", "S 8923-2021")</f>
        <v/>
      </c>
      <c r="AD397">
        <f>HYPERLINK("https://klasma.github.io/Logging_1267/tillsynsmail/S 8923-2021 tillsynsbegäran mail.docx", "S 8923-2021")</f>
        <v/>
      </c>
    </row>
    <row r="398" ht="15" customHeight="1">
      <c r="A398" t="inlineStr">
        <is>
          <t>S 977-2023</t>
        </is>
      </c>
      <c r="B398" t="inlineStr">
        <is>
          <t>samrådsanmälan</t>
        </is>
      </c>
      <c r="C398" t="inlineStr">
        <is>
          <t>Askåterföring</t>
        </is>
      </c>
      <c r="D398" s="1" t="n">
        <v>45006</v>
      </c>
      <c r="E398" s="1" t="n">
        <v>46312</v>
      </c>
      <c r="F398" t="inlineStr">
        <is>
          <t>SKÅNE LÄN</t>
        </is>
      </c>
      <c r="G398" t="inlineStr">
        <is>
          <t>KLIPPAN</t>
        </is>
      </c>
      <c r="I398" t="n">
        <v>23.6</v>
      </c>
      <c r="J398" t="n">
        <v>0</v>
      </c>
      <c r="K398" t="n">
        <v>0</v>
      </c>
      <c r="L398" t="n">
        <v>1</v>
      </c>
      <c r="M398" t="n">
        <v>1</v>
      </c>
      <c r="N398" t="n">
        <v>0</v>
      </c>
      <c r="O398" t="n">
        <v>0</v>
      </c>
      <c r="P398" t="n">
        <v>0</v>
      </c>
      <c r="Q398" t="n">
        <v>2</v>
      </c>
      <c r="R398" t="n">
        <v>1</v>
      </c>
      <c r="S398" t="n">
        <v>2</v>
      </c>
      <c r="T398" t="n">
        <v>4</v>
      </c>
      <c r="U398" t="n">
        <v>3</v>
      </c>
      <c r="V398" s="2" t="inlineStr">
        <is>
          <t>Sommarklynne
Silversmygare</t>
        </is>
      </c>
      <c r="W398">
        <f>HYPERLINK("https://klasma.github.io/Logging_1276/artfynd/S 977-2023 artfynd.xlsx", "S 977-2023")</f>
        <v/>
      </c>
      <c r="X398">
        <f>HYPERLINK("https://klasma.github.io/Logging_1276/kartor/S 977-2023 karta.png", "S 977-2023")</f>
        <v/>
      </c>
      <c r="Y398">
        <f>HYPERLINK("https://klasma.github.io/Logging_1276/kartor_geotiff/S 977-2023 georefererad karta.tif", "S 977-2023")</f>
        <v/>
      </c>
      <c r="AA398">
        <f>HYPERLINK("https://klasma.github.io/Logging_1276/klagomål/S 977-2023 FSC-klagomål.docx", "S 977-2023")</f>
        <v/>
      </c>
      <c r="AB398">
        <f>HYPERLINK("https://klasma.github.io/Logging_1276/klagomålsmail/S 977-2023 FSC-klagomål mail.docx", "S 977-2023")</f>
        <v/>
      </c>
      <c r="AC398">
        <f>HYPERLINK("https://klasma.github.io/Logging_1276/tillsyn/S 977-2023 tillsynsbegäran.docx", "S 977-2023")</f>
        <v/>
      </c>
      <c r="AD398">
        <f>HYPERLINK("https://klasma.github.io/Logging_1276/tillsynsmail/S 977-2023 tillsynsbegäran mail.docx", "S 977-2023")</f>
        <v/>
      </c>
    </row>
    <row r="399" ht="15" customHeight="1">
      <c r="A399" t="inlineStr">
        <is>
          <t>S 531-2023</t>
        </is>
      </c>
      <c r="B399" t="inlineStr">
        <is>
          <t>samrådsanmälan</t>
        </is>
      </c>
      <c r="C399" t="inlineStr">
        <is>
          <t>Askåterföring</t>
        </is>
      </c>
      <c r="D399" s="1" t="n">
        <v>44967</v>
      </c>
      <c r="E399" s="1" t="n">
        <v>46312</v>
      </c>
      <c r="F399" t="inlineStr">
        <is>
          <t>SKÅNE LÄN</t>
        </is>
      </c>
      <c r="G399" t="inlineStr">
        <is>
          <t>ÖSTRA GÖINGE</t>
        </is>
      </c>
      <c r="I399" t="n">
        <v>25.3</v>
      </c>
      <c r="J399" t="n">
        <v>1</v>
      </c>
      <c r="K399" t="n">
        <v>0</v>
      </c>
      <c r="L399" t="n">
        <v>2</v>
      </c>
      <c r="M399" t="n">
        <v>0</v>
      </c>
      <c r="N399" t="n">
        <v>0</v>
      </c>
      <c r="O399" t="n">
        <v>0</v>
      </c>
      <c r="P399" t="n">
        <v>0</v>
      </c>
      <c r="Q399" t="n">
        <v>2</v>
      </c>
      <c r="R399" t="n">
        <v>0</v>
      </c>
      <c r="S399" t="n">
        <v>2</v>
      </c>
      <c r="T399" t="n">
        <v>2</v>
      </c>
      <c r="U399" t="n">
        <v>0</v>
      </c>
      <c r="V399" s="2" t="inlineStr">
        <is>
          <t>Nötkråka
Svart skogssnigel</t>
        </is>
      </c>
      <c r="W399">
        <f>HYPERLINK("https://klasma.github.io/Logging_1256/artfynd/S 531-2023 artfynd.xlsx", "S 531-2023")</f>
        <v/>
      </c>
      <c r="X399">
        <f>HYPERLINK("https://klasma.github.io/Logging_1256/kartor/S 531-2023 karta.png", "S 531-2023")</f>
        <v/>
      </c>
      <c r="Y399">
        <f>HYPERLINK("https://klasma.github.io/Logging_1256/kartor_geotiff/S 531-2023 georefererad karta.tif", "S 531-2023")</f>
        <v/>
      </c>
      <c r="AA399">
        <f>HYPERLINK("https://klasma.github.io/Logging_1256/klagomål/S 531-2023 FSC-klagomål.docx", "S 531-2023")</f>
        <v/>
      </c>
      <c r="AB399">
        <f>HYPERLINK("https://klasma.github.io/Logging_1256/klagomålsmail/S 531-2023 FSC-klagomål mail.docx", "S 531-2023")</f>
        <v/>
      </c>
      <c r="AC399">
        <f>HYPERLINK("https://klasma.github.io/Logging_1256/tillsyn/S 531-2023 tillsynsbegäran.docx", "S 531-2023")</f>
        <v/>
      </c>
      <c r="AD399">
        <f>HYPERLINK("https://klasma.github.io/Logging_1256/tillsynsmail/S 531-2023 tillsynsbegäran mail.docx", "S 531-2023")</f>
        <v/>
      </c>
      <c r="AE399">
        <f>HYPERLINK("https://klasma.github.io/Logging_1256/fåglar/S 531-2023 prioriterade fågelarter.docx", "S 531-2023")</f>
        <v/>
      </c>
    </row>
    <row r="400" ht="15" customHeight="1">
      <c r="A400" t="inlineStr">
        <is>
          <t>S 3934-2023</t>
        </is>
      </c>
      <c r="B400" t="inlineStr">
        <is>
          <t>samrådsanmälan</t>
        </is>
      </c>
      <c r="C400" t="inlineStr">
        <is>
          <t>Annan skogsbruksåtgärd</t>
        </is>
      </c>
      <c r="D400" s="1" t="n">
        <v>45234</v>
      </c>
      <c r="E400" s="1" t="n">
        <v>46312</v>
      </c>
      <c r="F400" t="inlineStr">
        <is>
          <t>SKÅNE LÄN</t>
        </is>
      </c>
      <c r="G400" t="inlineStr">
        <is>
          <t>ÖRKELLJUNGA</t>
        </is>
      </c>
      <c r="I400" t="n">
        <v>1.3</v>
      </c>
      <c r="J400" t="n">
        <v>1</v>
      </c>
      <c r="K400" t="n">
        <v>1</v>
      </c>
      <c r="L400" t="n">
        <v>0</v>
      </c>
      <c r="M400" t="n">
        <v>0</v>
      </c>
      <c r="N400" t="n">
        <v>0</v>
      </c>
      <c r="O400" t="n">
        <v>0</v>
      </c>
      <c r="P400" t="n">
        <v>0</v>
      </c>
      <c r="Q400" t="n">
        <v>0</v>
      </c>
      <c r="R400" t="n">
        <v>0</v>
      </c>
      <c r="S400" t="n">
        <v>2</v>
      </c>
      <c r="T400" t="n">
        <v>2</v>
      </c>
      <c r="U400" t="n">
        <v>1</v>
      </c>
      <c r="V400" s="2" t="inlineStr">
        <is>
          <t>Fjällsopp
Spillkråka</t>
        </is>
      </c>
      <c r="W400">
        <f>HYPERLINK("https://klasma.github.io/Logging_1257/artfynd/S 3934-2023 artfynd.xlsx", "S 3934-2023")</f>
        <v/>
      </c>
      <c r="X400">
        <f>HYPERLINK("https://klasma.github.io/Logging_1257/kartor/S 3934-2023 karta.png", "S 3934-2023")</f>
        <v/>
      </c>
      <c r="Y400">
        <f>HYPERLINK("https://klasma.github.io/Logging_1257/kartor_geotiff/S 3934-2023 georefererad karta.tif", "S 3934-2023")</f>
        <v/>
      </c>
      <c r="AA400">
        <f>HYPERLINK("https://klasma.github.io/Logging_1257/klagomål/S 3934-2023 FSC-klagomål.docx", "S 3934-2023")</f>
        <v/>
      </c>
      <c r="AB400">
        <f>HYPERLINK("https://klasma.github.io/Logging_1257/klagomålsmail/S 3934-2023 FSC-klagomål mail.docx", "S 3934-2023")</f>
        <v/>
      </c>
      <c r="AC400">
        <f>HYPERLINK("https://klasma.github.io/Logging_1257/tillsyn/S 3934-2023 tillsynsbegäran.docx", "S 3934-2023")</f>
        <v/>
      </c>
      <c r="AD400">
        <f>HYPERLINK("https://klasma.github.io/Logging_1257/tillsynsmail/S 3934-2023 tillsynsbegäran mail.docx", "S 3934-2023")</f>
        <v/>
      </c>
      <c r="AE400">
        <f>HYPERLINK("https://klasma.github.io/Logging_1257/fåglar/S 3934-2023 prioriterade fågelarter.docx", "S 3934-2023")</f>
        <v/>
      </c>
    </row>
    <row r="401" ht="15" customHeight="1">
      <c r="A401" t="inlineStr">
        <is>
          <t>S 4007-2022</t>
        </is>
      </c>
      <c r="B401" t="inlineStr">
        <is>
          <t>samrådsanmälan</t>
        </is>
      </c>
      <c r="C401" t="inlineStr">
        <is>
          <t>Askåterföring</t>
        </is>
      </c>
      <c r="D401" s="1" t="n">
        <v>44754</v>
      </c>
      <c r="E401" s="1" t="n">
        <v>46312</v>
      </c>
      <c r="F401" t="inlineStr">
        <is>
          <t>SKÅNE LÄN</t>
        </is>
      </c>
      <c r="G401" t="inlineStr">
        <is>
          <t>KLIPPAN</t>
        </is>
      </c>
      <c r="I401" t="n">
        <v>20.8</v>
      </c>
      <c r="J401" t="n">
        <v>2</v>
      </c>
      <c r="K401" t="n">
        <v>0</v>
      </c>
      <c r="L401" t="n">
        <v>0</v>
      </c>
      <c r="M401" t="n">
        <v>0</v>
      </c>
      <c r="N401" t="n">
        <v>0</v>
      </c>
      <c r="O401" t="n">
        <v>0</v>
      </c>
      <c r="P401" t="n">
        <v>0</v>
      </c>
      <c r="Q401" t="n">
        <v>0</v>
      </c>
      <c r="R401" t="n">
        <v>0</v>
      </c>
      <c r="S401" t="n">
        <v>2</v>
      </c>
      <c r="T401" t="n">
        <v>2</v>
      </c>
      <c r="U401" t="n">
        <v>2</v>
      </c>
      <c r="V401" s="2" t="inlineStr">
        <is>
          <t>Mattlummer
Revlummer</t>
        </is>
      </c>
      <c r="W401">
        <f>HYPERLINK("https://klasma.github.io/Logging_1276/artfynd/S 4007-2022 artfynd.xlsx", "S 4007-2022")</f>
        <v/>
      </c>
      <c r="X401">
        <f>HYPERLINK("https://klasma.github.io/Logging_1276/kartor/S 4007-2022 karta.png", "S 4007-2022")</f>
        <v/>
      </c>
      <c r="Y401">
        <f>HYPERLINK("https://klasma.github.io/Logging_1276/kartor_geotiff/S 4007-2022 georefererad karta.tif", "S 4007-2022")</f>
        <v/>
      </c>
      <c r="AA401">
        <f>HYPERLINK("https://klasma.github.io/Logging_1276/klagomål/S 4007-2022 FSC-klagomål.docx", "S 4007-2022")</f>
        <v/>
      </c>
      <c r="AB401">
        <f>HYPERLINK("https://klasma.github.io/Logging_1276/klagomålsmail/S 4007-2022 FSC-klagomål mail.docx", "S 4007-2022")</f>
        <v/>
      </c>
      <c r="AC401">
        <f>HYPERLINK("https://klasma.github.io/Logging_1276/tillsyn/S 4007-2022 tillsynsbegäran.docx", "S 4007-2022")</f>
        <v/>
      </c>
      <c r="AD401">
        <f>HYPERLINK("https://klasma.github.io/Logging_1276/tillsynsmail/S 4007-2022 tillsynsbegäran mail.docx", "S 4007-2022")</f>
        <v/>
      </c>
    </row>
    <row r="402" ht="15" customHeight="1">
      <c r="A402" t="inlineStr">
        <is>
          <t>S 1208-2022</t>
        </is>
      </c>
      <c r="B402" t="inlineStr">
        <is>
          <t>samrådsanmälan</t>
        </is>
      </c>
      <c r="C402" t="inlineStr">
        <is>
          <t>Askåterföring</t>
        </is>
      </c>
      <c r="D402" s="1" t="n">
        <v>44622</v>
      </c>
      <c r="E402" s="1" t="n">
        <v>46312</v>
      </c>
      <c r="F402" t="inlineStr">
        <is>
          <t>SKÅNE LÄN</t>
        </is>
      </c>
      <c r="G402" t="inlineStr">
        <is>
          <t>OSBY</t>
        </is>
      </c>
      <c r="I402" t="n">
        <v>76</v>
      </c>
      <c r="J402" t="n">
        <v>2</v>
      </c>
      <c r="K402" t="n">
        <v>0</v>
      </c>
      <c r="L402" t="n">
        <v>1</v>
      </c>
      <c r="M402" t="n">
        <v>0</v>
      </c>
      <c r="N402" t="n">
        <v>0</v>
      </c>
      <c r="O402" t="n">
        <v>0</v>
      </c>
      <c r="P402" t="n">
        <v>0</v>
      </c>
      <c r="Q402" t="n">
        <v>1</v>
      </c>
      <c r="R402" t="n">
        <v>0</v>
      </c>
      <c r="S402" t="n">
        <v>2</v>
      </c>
      <c r="T402" t="n">
        <v>2</v>
      </c>
      <c r="U402" t="n">
        <v>1</v>
      </c>
      <c r="V402" s="2" t="inlineStr">
        <is>
          <t>Entita
Kungsfågel</t>
        </is>
      </c>
      <c r="W402">
        <f>HYPERLINK("https://klasma.github.io/Logging_1273/artfynd/S 1208-2022 artfynd.xlsx", "S 1208-2022")</f>
        <v/>
      </c>
      <c r="X402">
        <f>HYPERLINK("https://klasma.github.io/Logging_1273/kartor/S 1208-2022 karta.png", "S 1208-2022")</f>
        <v/>
      </c>
      <c r="Y402">
        <f>HYPERLINK("https://klasma.github.io/Logging_1273/kartor_geotiff/S 1208-2022 georefererad karta.tif", "S 1208-2022")</f>
        <v/>
      </c>
      <c r="AA402">
        <f>HYPERLINK("https://klasma.github.io/Logging_1273/klagomål/S 1208-2022 FSC-klagomål.docx", "S 1208-2022")</f>
        <v/>
      </c>
      <c r="AB402">
        <f>HYPERLINK("https://klasma.github.io/Logging_1273/klagomålsmail/S 1208-2022 FSC-klagomål mail.docx", "S 1208-2022")</f>
        <v/>
      </c>
      <c r="AC402">
        <f>HYPERLINK("https://klasma.github.io/Logging_1273/tillsyn/S 1208-2022 tillsynsbegäran.docx", "S 1208-2022")</f>
        <v/>
      </c>
      <c r="AD402">
        <f>HYPERLINK("https://klasma.github.io/Logging_1273/tillsynsmail/S 1208-2022 tillsynsbegäran mail.docx", "S 1208-2022")</f>
        <v/>
      </c>
      <c r="AE402">
        <f>HYPERLINK("https://klasma.github.io/Logging_1273/fåglar/S 1208-2022 prioriterade fågelarter.docx", "S 1208-2022")</f>
        <v/>
      </c>
    </row>
    <row r="403" ht="15" customHeight="1">
      <c r="A403" t="inlineStr">
        <is>
          <t>S 6042-2022</t>
        </is>
      </c>
      <c r="B403" t="inlineStr">
        <is>
          <t>samrådsanmälan</t>
        </is>
      </c>
      <c r="C403" t="inlineStr">
        <is>
          <t>Askåterföring</t>
        </is>
      </c>
      <c r="D403" s="1" t="n">
        <v>44860</v>
      </c>
      <c r="E403" s="1" t="n">
        <v>46312</v>
      </c>
      <c r="F403" t="inlineStr">
        <is>
          <t>SKÅNE LÄN</t>
        </is>
      </c>
      <c r="G403" t="inlineStr">
        <is>
          <t>HÖÖR</t>
        </is>
      </c>
      <c r="I403" t="n">
        <v>57.5</v>
      </c>
      <c r="J403" t="n">
        <v>1</v>
      </c>
      <c r="K403" t="n">
        <v>0</v>
      </c>
      <c r="L403" t="n">
        <v>0</v>
      </c>
      <c r="M403" t="n">
        <v>1</v>
      </c>
      <c r="N403" t="n">
        <v>0</v>
      </c>
      <c r="O403" t="n">
        <v>0</v>
      </c>
      <c r="P403" t="n">
        <v>0</v>
      </c>
      <c r="Q403" t="n">
        <v>1</v>
      </c>
      <c r="R403" t="n">
        <v>1</v>
      </c>
      <c r="S403" t="n">
        <v>2</v>
      </c>
      <c r="T403" t="n">
        <v>2</v>
      </c>
      <c r="U403" t="n">
        <v>0</v>
      </c>
      <c r="V403" s="2" t="inlineStr">
        <is>
          <t>Slåttergubbe
Getlav</t>
        </is>
      </c>
      <c r="W403">
        <f>HYPERLINK("https://klasma.github.io/Logging_1267/artfynd/S 6042-2022 artfynd.xlsx", "S 6042-2022")</f>
        <v/>
      </c>
      <c r="X403">
        <f>HYPERLINK("https://klasma.github.io/Logging_1267/kartor/S 6042-2022 karta.png", "S 6042-2022")</f>
        <v/>
      </c>
      <c r="Y403">
        <f>HYPERLINK("https://klasma.github.io/Logging_1267/kartor_geotiff/S 6042-2022 georefererad karta.tif", "S 6042-2022")</f>
        <v/>
      </c>
      <c r="AA403">
        <f>HYPERLINK("https://klasma.github.io/Logging_1267/klagomål/S 6042-2022 FSC-klagomål.docx", "S 6042-2022")</f>
        <v/>
      </c>
      <c r="AB403">
        <f>HYPERLINK("https://klasma.github.io/Logging_1267/klagomålsmail/S 6042-2022 FSC-klagomål mail.docx", "S 6042-2022")</f>
        <v/>
      </c>
      <c r="AC403">
        <f>HYPERLINK("https://klasma.github.io/Logging_1267/tillsyn/S 6042-2022 tillsynsbegäran.docx", "S 6042-2022")</f>
        <v/>
      </c>
      <c r="AD403">
        <f>HYPERLINK("https://klasma.github.io/Logging_1267/tillsynsmail/S 6042-2022 tillsynsbegäran mail.docx", "S 6042-2022")</f>
        <v/>
      </c>
    </row>
    <row r="404" ht="15" customHeight="1">
      <c r="A404" t="inlineStr">
        <is>
          <t>S 687-2024</t>
        </is>
      </c>
      <c r="B404" t="inlineStr">
        <is>
          <t>samrådsanmälan</t>
        </is>
      </c>
      <c r="C404" t="inlineStr">
        <is>
          <t>Askåterföring</t>
        </is>
      </c>
      <c r="D404" s="1" t="n">
        <v>45359</v>
      </c>
      <c r="E404" s="1" t="n">
        <v>46312</v>
      </c>
      <c r="F404" t="inlineStr">
        <is>
          <t>SKÅNE LÄN</t>
        </is>
      </c>
      <c r="G404" t="inlineStr">
        <is>
          <t>ÄNGELHOLM</t>
        </is>
      </c>
      <c r="I404" t="n">
        <v>37.1</v>
      </c>
      <c r="J404" t="n">
        <v>0</v>
      </c>
      <c r="K404" t="n">
        <v>2</v>
      </c>
      <c r="L404" t="n">
        <v>0</v>
      </c>
      <c r="M404" t="n">
        <v>0</v>
      </c>
      <c r="N404" t="n">
        <v>0</v>
      </c>
      <c r="O404" t="n">
        <v>0</v>
      </c>
      <c r="P404" t="n">
        <v>0</v>
      </c>
      <c r="Q404" t="n">
        <v>0</v>
      </c>
      <c r="R404" t="n">
        <v>0</v>
      </c>
      <c r="S404" t="n">
        <v>2</v>
      </c>
      <c r="T404" t="n">
        <v>4</v>
      </c>
      <c r="U404" t="n">
        <v>0</v>
      </c>
      <c r="V404" s="2" t="inlineStr">
        <is>
          <t>Skuggmossa
Stubbspretmossa</t>
        </is>
      </c>
      <c r="W404">
        <f>HYPERLINK("https://klasma.github.io/Logging_1292/artfynd/S 687-2024 artfynd.xlsx", "S 687-2024")</f>
        <v/>
      </c>
      <c r="X404">
        <f>HYPERLINK("https://klasma.github.io/Logging_1292/kartor/S 687-2024 karta.png", "S 687-2024")</f>
        <v/>
      </c>
      <c r="Y404">
        <f>HYPERLINK("https://klasma.github.io/Logging_1292/kartor_geotiff/S 687-2024 georefererad karta.tif", "S 687-2024")</f>
        <v/>
      </c>
      <c r="AA404">
        <f>HYPERLINK("https://klasma.github.io/Logging_1292/klagomål/S 687-2024 FSC-klagomål.docx", "S 687-2024")</f>
        <v/>
      </c>
      <c r="AB404">
        <f>HYPERLINK("https://klasma.github.io/Logging_1292/klagomålsmail/S 687-2024 FSC-klagomål mail.docx", "S 687-2024")</f>
        <v/>
      </c>
      <c r="AC404">
        <f>HYPERLINK("https://klasma.github.io/Logging_1292/tillsyn/S 687-2024 tillsynsbegäran.docx", "S 687-2024")</f>
        <v/>
      </c>
      <c r="AD404">
        <f>HYPERLINK("https://klasma.github.io/Logging_1292/tillsynsmail/S 687-2024 tillsynsbegäran mail.docx", "S 687-2024")</f>
        <v/>
      </c>
    </row>
    <row r="405" ht="15" customHeight="1">
      <c r="A405" t="inlineStr">
        <is>
          <t>S 10274-2021</t>
        </is>
      </c>
      <c r="B405" t="inlineStr">
        <is>
          <t>samrådsanmälan</t>
        </is>
      </c>
      <c r="C405" t="inlineStr">
        <is>
          <t>Åtgärd i nyckelbiotop</t>
        </is>
      </c>
      <c r="D405" s="1" t="n">
        <v>44544</v>
      </c>
      <c r="E405" s="1" t="n">
        <v>46312</v>
      </c>
      <c r="F405" t="inlineStr">
        <is>
          <t>SKÅNE LÄN</t>
        </is>
      </c>
      <c r="G405" t="inlineStr">
        <is>
          <t>SJÖBO</t>
        </is>
      </c>
      <c r="I405" t="n">
        <v>0.6</v>
      </c>
      <c r="J405" t="n">
        <v>0</v>
      </c>
      <c r="K405" t="n">
        <v>1</v>
      </c>
      <c r="L405" t="n">
        <v>1</v>
      </c>
      <c r="M405" t="n">
        <v>0</v>
      </c>
      <c r="N405" t="n">
        <v>0</v>
      </c>
      <c r="O405" t="n">
        <v>0</v>
      </c>
      <c r="P405" t="n">
        <v>0</v>
      </c>
      <c r="Q405" t="n">
        <v>1</v>
      </c>
      <c r="R405" t="n">
        <v>0</v>
      </c>
      <c r="S405" t="n">
        <v>2</v>
      </c>
      <c r="T405" t="n">
        <v>2</v>
      </c>
      <c r="U405" t="n">
        <v>2</v>
      </c>
      <c r="V405" s="2" t="inlineStr">
        <is>
          <t>Stiftklotterlav
Rostfläck</t>
        </is>
      </c>
      <c r="W405">
        <f>HYPERLINK("https://klasma.github.io/Logging_1265/artfynd/S 10274-2021 artfynd.xlsx", "S 10274-2021")</f>
        <v/>
      </c>
      <c r="X405">
        <f>HYPERLINK("https://klasma.github.io/Logging_1265/kartor/S 10274-2021 karta.png", "S 10274-2021")</f>
        <v/>
      </c>
      <c r="Y405">
        <f>HYPERLINK("https://klasma.github.io/Logging_1265/kartor_geotiff/S 10274-2021 georefererad karta.tif", "S 10274-2021")</f>
        <v/>
      </c>
      <c r="AA405">
        <f>HYPERLINK("https://klasma.github.io/Logging_1265/klagomål/S 10274-2021 FSC-klagomål.docx", "S 10274-2021")</f>
        <v/>
      </c>
      <c r="AB405">
        <f>HYPERLINK("https://klasma.github.io/Logging_1265/klagomålsmail/S 10274-2021 FSC-klagomål mail.docx", "S 10274-2021")</f>
        <v/>
      </c>
      <c r="AC405">
        <f>HYPERLINK("https://klasma.github.io/Logging_1265/tillsyn/S 10274-2021 tillsynsbegäran.docx", "S 10274-2021")</f>
        <v/>
      </c>
      <c r="AD405">
        <f>HYPERLINK("https://klasma.github.io/Logging_1265/tillsynsmail/S 10274-2021 tillsynsbegäran mail.docx", "S 10274-2021")</f>
        <v/>
      </c>
    </row>
    <row r="406" ht="15" customHeight="1">
      <c r="A406" t="inlineStr">
        <is>
          <t>S 6241-2022</t>
        </is>
      </c>
      <c r="B406" t="inlineStr">
        <is>
          <t>samrådsanmälan</t>
        </is>
      </c>
      <c r="C406" t="inlineStr">
        <is>
          <t>Askåterföring</t>
        </is>
      </c>
      <c r="D406" s="1" t="n">
        <v>44841</v>
      </c>
      <c r="E406" s="1" t="n">
        <v>46312</v>
      </c>
      <c r="F406" t="inlineStr">
        <is>
          <t>SKÅNE LÄN</t>
        </is>
      </c>
      <c r="G406" t="inlineStr">
        <is>
          <t>KRISTIANSTAD</t>
        </is>
      </c>
      <c r="I406" t="n">
        <v>191.1</v>
      </c>
      <c r="J406" t="n">
        <v>1</v>
      </c>
      <c r="K406" t="n">
        <v>0</v>
      </c>
      <c r="L406" t="n">
        <v>0</v>
      </c>
      <c r="M406" t="n">
        <v>1</v>
      </c>
      <c r="N406" t="n">
        <v>0</v>
      </c>
      <c r="O406" t="n">
        <v>0</v>
      </c>
      <c r="P406" t="n">
        <v>0</v>
      </c>
      <c r="Q406" t="n">
        <v>1</v>
      </c>
      <c r="R406" t="n">
        <v>1</v>
      </c>
      <c r="S406" t="n">
        <v>2</v>
      </c>
      <c r="T406" t="n">
        <v>2</v>
      </c>
      <c r="U406" t="n">
        <v>2</v>
      </c>
      <c r="V406" s="2" t="inlineStr">
        <is>
          <t>Lungrot
Revlummer</t>
        </is>
      </c>
      <c r="W406">
        <f>HYPERLINK("https://klasma.github.io/Logging_1290/artfynd/S 6241-2022 artfynd.xlsx", "S 6241-2022")</f>
        <v/>
      </c>
      <c r="X406">
        <f>HYPERLINK("https://klasma.github.io/Logging_1290/kartor/S 6241-2022 karta.png", "S 6241-2022")</f>
        <v/>
      </c>
      <c r="Y406">
        <f>HYPERLINK("https://klasma.github.io/Logging_1290/kartor_geotiff/S 6241-2022 georefererad karta.tif", "S 6241-2022")</f>
        <v/>
      </c>
      <c r="AA406">
        <f>HYPERLINK("https://klasma.github.io/Logging_1290/klagomål/S 6241-2022 FSC-klagomål.docx", "S 6241-2022")</f>
        <v/>
      </c>
      <c r="AB406">
        <f>HYPERLINK("https://klasma.github.io/Logging_1290/klagomålsmail/S 6241-2022 FSC-klagomål mail.docx", "S 6241-2022")</f>
        <v/>
      </c>
      <c r="AC406">
        <f>HYPERLINK("https://klasma.github.io/Logging_1290/tillsyn/S 6241-2022 tillsynsbegäran.docx", "S 6241-2022")</f>
        <v/>
      </c>
      <c r="AD406">
        <f>HYPERLINK("https://klasma.github.io/Logging_1290/tillsynsmail/S 6241-2022 tillsynsbegäran mail.docx", "S 6241-2022")</f>
        <v/>
      </c>
    </row>
    <row r="407" ht="15" customHeight="1">
      <c r="A407" t="inlineStr">
        <is>
          <t>S 4248-2024</t>
        </is>
      </c>
      <c r="B407" t="inlineStr">
        <is>
          <t>samrådsanmälan</t>
        </is>
      </c>
      <c r="C407" t="inlineStr">
        <is>
          <t>Askåterföring</t>
        </is>
      </c>
      <c r="D407" s="1" t="n">
        <v>45582</v>
      </c>
      <c r="E407" s="1" t="n">
        <v>46312</v>
      </c>
      <c r="F407" t="inlineStr">
        <is>
          <t>SKÅNE LÄN</t>
        </is>
      </c>
      <c r="G407" t="inlineStr">
        <is>
          <t>ÄNGELHOLM</t>
        </is>
      </c>
      <c r="I407" t="n">
        <v>15.9</v>
      </c>
      <c r="J407" t="n">
        <v>2</v>
      </c>
      <c r="K407" t="n">
        <v>0</v>
      </c>
      <c r="L407" t="n">
        <v>1</v>
      </c>
      <c r="M407" t="n">
        <v>0</v>
      </c>
      <c r="N407" t="n">
        <v>0</v>
      </c>
      <c r="O407" t="n">
        <v>0</v>
      </c>
      <c r="P407" t="n">
        <v>0</v>
      </c>
      <c r="Q407" t="n">
        <v>1</v>
      </c>
      <c r="R407" t="n">
        <v>0</v>
      </c>
      <c r="S407" t="n">
        <v>2</v>
      </c>
      <c r="T407" t="n">
        <v>2</v>
      </c>
      <c r="U407" t="n">
        <v>0</v>
      </c>
      <c r="V407" s="2" t="inlineStr">
        <is>
          <t>Entita
Grönsiska</t>
        </is>
      </c>
      <c r="W407">
        <f>HYPERLINK("https://klasma.github.io/Logging_1292/artfynd/S 4248-2024 artfynd.xlsx", "S 4248-2024")</f>
        <v/>
      </c>
      <c r="X407">
        <f>HYPERLINK("https://klasma.github.io/Logging_1292/kartor/S 4248-2024 karta.png", "S 4248-2024")</f>
        <v/>
      </c>
      <c r="Y407">
        <f>HYPERLINK("https://klasma.github.io/Logging_1292/kartor_geotiff/S 4248-2024 georefererad karta.tif", "S 4248-2024")</f>
        <v/>
      </c>
      <c r="AA407">
        <f>HYPERLINK("https://klasma.github.io/Logging_1292/klagomål/S 4248-2024 FSC-klagomål.docx", "S 4248-2024")</f>
        <v/>
      </c>
      <c r="AB407">
        <f>HYPERLINK("https://klasma.github.io/Logging_1292/klagomålsmail/S 4248-2024 FSC-klagomål mail.docx", "S 4248-2024")</f>
        <v/>
      </c>
      <c r="AC407">
        <f>HYPERLINK("https://klasma.github.io/Logging_1292/tillsyn/S 4248-2024 tillsynsbegäran.docx", "S 4248-2024")</f>
        <v/>
      </c>
      <c r="AD407">
        <f>HYPERLINK("https://klasma.github.io/Logging_1292/tillsynsmail/S 4248-2024 tillsynsbegäran mail.docx", "S 4248-2024")</f>
        <v/>
      </c>
      <c r="AE407">
        <f>HYPERLINK("https://klasma.github.io/Logging_1292/fåglar/S 4248-2024 prioriterade fågelarter.docx", "S 4248-2024")</f>
        <v/>
      </c>
    </row>
    <row r="408" ht="15" customHeight="1">
      <c r="A408" t="inlineStr">
        <is>
          <t>S 3277-2023</t>
        </is>
      </c>
      <c r="B408" t="inlineStr">
        <is>
          <t>samrådsanmälan</t>
        </is>
      </c>
      <c r="C408" t="inlineStr">
        <is>
          <t>Askåterföring</t>
        </is>
      </c>
      <c r="D408" s="1" t="n">
        <v>45194</v>
      </c>
      <c r="E408" s="1" t="n">
        <v>46312</v>
      </c>
      <c r="F408" t="inlineStr">
        <is>
          <t>SKÅNE LÄN</t>
        </is>
      </c>
      <c r="G408" t="inlineStr">
        <is>
          <t>HÄSSLEHOLM</t>
        </is>
      </c>
      <c r="I408" t="n">
        <v>100.6</v>
      </c>
      <c r="J408" t="n">
        <v>0</v>
      </c>
      <c r="K408" t="n">
        <v>2</v>
      </c>
      <c r="L408" t="n">
        <v>0</v>
      </c>
      <c r="M408" t="n">
        <v>0</v>
      </c>
      <c r="N408" t="n">
        <v>0</v>
      </c>
      <c r="O408" t="n">
        <v>0</v>
      </c>
      <c r="P408" t="n">
        <v>0</v>
      </c>
      <c r="Q408" t="n">
        <v>0</v>
      </c>
      <c r="R408" t="n">
        <v>0</v>
      </c>
      <c r="S408" t="n">
        <v>2</v>
      </c>
      <c r="T408" t="n">
        <v>2</v>
      </c>
      <c r="U408" t="n">
        <v>0</v>
      </c>
      <c r="V408" s="2" t="inlineStr">
        <is>
          <t>Fjällsopp
Klippfrullania</t>
        </is>
      </c>
      <c r="W408">
        <f>HYPERLINK("https://klasma.github.io/Logging_1293/artfynd/S 3277-2023 artfynd.xlsx", "S 3277-2023")</f>
        <v/>
      </c>
      <c r="X408">
        <f>HYPERLINK("https://klasma.github.io/Logging_1293/kartor/S 3277-2023 karta.png", "S 3277-2023")</f>
        <v/>
      </c>
      <c r="Y408">
        <f>HYPERLINK("https://klasma.github.io/Logging_1293/kartor_geotiff/S 3277-2023 georefererad karta.tif", "S 3277-2023")</f>
        <v/>
      </c>
      <c r="AA408">
        <f>HYPERLINK("https://klasma.github.io/Logging_1293/klagomål/S 3277-2023 FSC-klagomål.docx", "S 3277-2023")</f>
        <v/>
      </c>
      <c r="AB408">
        <f>HYPERLINK("https://klasma.github.io/Logging_1293/klagomålsmail/S 3277-2023 FSC-klagomål mail.docx", "S 3277-2023")</f>
        <v/>
      </c>
      <c r="AC408">
        <f>HYPERLINK("https://klasma.github.io/Logging_1293/tillsyn/S 3277-2023 tillsynsbegäran.docx", "S 3277-2023")</f>
        <v/>
      </c>
      <c r="AD408">
        <f>HYPERLINK("https://klasma.github.io/Logging_1293/tillsynsmail/S 3277-2023 tillsynsbegäran mail.docx", "S 3277-2023")</f>
        <v/>
      </c>
    </row>
    <row r="409" ht="15" customHeight="1">
      <c r="A409" t="inlineStr">
        <is>
          <t>S 168-2025</t>
        </is>
      </c>
      <c r="B409" t="inlineStr">
        <is>
          <t>samrådsanmälan</t>
        </is>
      </c>
      <c r="C409" t="inlineStr">
        <is>
          <t>Askåterföring</t>
        </is>
      </c>
      <c r="D409" s="1" t="n">
        <v>45677</v>
      </c>
      <c r="E409" s="1" t="n">
        <v>46312</v>
      </c>
      <c r="F409" t="inlineStr">
        <is>
          <t>SKÅNE LÄN</t>
        </is>
      </c>
      <c r="G409" t="inlineStr">
        <is>
          <t>BROMÖLLA</t>
        </is>
      </c>
      <c r="I409" t="n">
        <v>3.6</v>
      </c>
      <c r="J409" t="n">
        <v>2</v>
      </c>
      <c r="K409" t="n">
        <v>0</v>
      </c>
      <c r="L409" t="n">
        <v>1</v>
      </c>
      <c r="M409" t="n">
        <v>0</v>
      </c>
      <c r="N409" t="n">
        <v>0</v>
      </c>
      <c r="O409" t="n">
        <v>0</v>
      </c>
      <c r="P409" t="n">
        <v>0</v>
      </c>
      <c r="Q409" t="n">
        <v>1</v>
      </c>
      <c r="R409" t="n">
        <v>0</v>
      </c>
      <c r="S409" t="n">
        <v>2</v>
      </c>
      <c r="T409" t="n">
        <v>2</v>
      </c>
      <c r="U409" t="n">
        <v>2</v>
      </c>
      <c r="V409" s="2" t="inlineStr">
        <is>
          <t>Mindre hackspett
Spillkråka</t>
        </is>
      </c>
      <c r="W409">
        <f>HYPERLINK("https://klasma.github.io/Logging_1272/artfynd/S 168-2025 artfynd.xlsx", "S 168-2025")</f>
        <v/>
      </c>
      <c r="X409">
        <f>HYPERLINK("https://klasma.github.io/Logging_1272/kartor/S 168-2025 karta.png", "S 168-2025")</f>
        <v/>
      </c>
      <c r="Y409">
        <f>HYPERLINK("https://klasma.github.io/Logging_1272/kartor_geotiff/S 168-2025 georefererad karta.tif", "S 168-2025")</f>
        <v/>
      </c>
      <c r="AA409">
        <f>HYPERLINK("https://klasma.github.io/Logging_1272/klagomål/S 168-2025 FSC-klagomål.docx", "S 168-2025")</f>
        <v/>
      </c>
      <c r="AB409">
        <f>HYPERLINK("https://klasma.github.io/Logging_1272/klagomålsmail/S 168-2025 FSC-klagomål mail.docx", "S 168-2025")</f>
        <v/>
      </c>
      <c r="AC409">
        <f>HYPERLINK("https://klasma.github.io/Logging_1272/tillsyn/S 168-2025 tillsynsbegäran.docx", "S 168-2025")</f>
        <v/>
      </c>
      <c r="AD409">
        <f>HYPERLINK("https://klasma.github.io/Logging_1272/tillsynsmail/S 168-2025 tillsynsbegäran mail.docx", "S 168-2025")</f>
        <v/>
      </c>
      <c r="AE409">
        <f>HYPERLINK("https://klasma.github.io/Logging_1272/fåglar/S 168-2025 prioriterade fågelarter.docx", "S 168-2025")</f>
        <v/>
      </c>
    </row>
    <row r="410" ht="15" customHeight="1">
      <c r="A410" t="inlineStr">
        <is>
          <t>S 1011-2025</t>
        </is>
      </c>
      <c r="B410" t="inlineStr">
        <is>
          <t>samrådsanmälan</t>
        </is>
      </c>
      <c r="C410" t="inlineStr">
        <is>
          <t>Askåterföring</t>
        </is>
      </c>
      <c r="D410" s="1" t="n">
        <v>45744</v>
      </c>
      <c r="E410" s="1" t="n">
        <v>46312</v>
      </c>
      <c r="F410" t="inlineStr">
        <is>
          <t>SKÅNE LÄN</t>
        </is>
      </c>
      <c r="G410" t="inlineStr">
        <is>
          <t>TOMELILLA</t>
        </is>
      </c>
      <c r="H410" t="inlineStr">
        <is>
          <t>Övriga Aktiebolag</t>
        </is>
      </c>
      <c r="I410" t="n">
        <v>113.9</v>
      </c>
      <c r="J410" t="n">
        <v>0</v>
      </c>
      <c r="K410" t="n">
        <v>0</v>
      </c>
      <c r="L410" t="n">
        <v>1</v>
      </c>
      <c r="M410" t="n">
        <v>0</v>
      </c>
      <c r="N410" t="n">
        <v>1</v>
      </c>
      <c r="O410" t="n">
        <v>0</v>
      </c>
      <c r="P410" t="n">
        <v>0</v>
      </c>
      <c r="Q410" t="n">
        <v>2</v>
      </c>
      <c r="R410" t="n">
        <v>1</v>
      </c>
      <c r="S410" t="n">
        <v>2</v>
      </c>
      <c r="T410" t="n">
        <v>3</v>
      </c>
      <c r="U410" t="n">
        <v>0</v>
      </c>
      <c r="V410" s="2" t="inlineStr">
        <is>
          <t>Ask
Skogslysing</t>
        </is>
      </c>
      <c r="W410">
        <f>HYPERLINK("https://klasma.github.io/Logging_1270/artfynd/S 1011-2025 artfynd.xlsx", "S 1011-2025")</f>
        <v/>
      </c>
      <c r="X410">
        <f>HYPERLINK("https://klasma.github.io/Logging_1270/kartor/S 1011-2025 karta.png", "S 1011-2025")</f>
        <v/>
      </c>
      <c r="Y410">
        <f>HYPERLINK("https://klasma.github.io/Logging_1270/kartor_geotiff/S 1011-2025 georefererad karta.tif", "S 1011-2025")</f>
        <v/>
      </c>
      <c r="AA410">
        <f>HYPERLINK("https://klasma.github.io/Logging_1270/klagomål/S 1011-2025 FSC-klagomål.docx", "S 1011-2025")</f>
        <v/>
      </c>
      <c r="AB410">
        <f>HYPERLINK("https://klasma.github.io/Logging_1270/klagomålsmail/S 1011-2025 FSC-klagomål mail.docx", "S 1011-2025")</f>
        <v/>
      </c>
      <c r="AC410">
        <f>HYPERLINK("https://klasma.github.io/Logging_1270/tillsyn/S 1011-2025 tillsynsbegäran.docx", "S 1011-2025")</f>
        <v/>
      </c>
      <c r="AD410">
        <f>HYPERLINK("https://klasma.github.io/Logging_1270/tillsynsmail/S 1011-2025 tillsynsbegäran mail.docx", "S 1011-2025")</f>
        <v/>
      </c>
    </row>
    <row r="411" ht="15" customHeight="1">
      <c r="A411" t="inlineStr">
        <is>
          <t>S 1328-2025</t>
        </is>
      </c>
      <c r="B411" t="inlineStr">
        <is>
          <t>samrådsanmälan</t>
        </is>
      </c>
      <c r="C411" t="inlineStr">
        <is>
          <t>Askåterföring</t>
        </is>
      </c>
      <c r="D411" s="1" t="n">
        <v>45770</v>
      </c>
      <c r="E411" s="1" t="n">
        <v>46312</v>
      </c>
      <c r="F411" t="inlineStr">
        <is>
          <t>SKÅNE LÄN</t>
        </is>
      </c>
      <c r="G411" t="inlineStr">
        <is>
          <t>BROMÖLLA</t>
        </is>
      </c>
      <c r="I411" t="n">
        <v>27.2</v>
      </c>
      <c r="J411" t="n">
        <v>1</v>
      </c>
      <c r="K411" t="n">
        <v>0</v>
      </c>
      <c r="L411" t="n">
        <v>2</v>
      </c>
      <c r="M411" t="n">
        <v>0</v>
      </c>
      <c r="N411" t="n">
        <v>0</v>
      </c>
      <c r="O411" t="n">
        <v>0</v>
      </c>
      <c r="P411" t="n">
        <v>0</v>
      </c>
      <c r="Q411" t="n">
        <v>2</v>
      </c>
      <c r="R411" t="n">
        <v>0</v>
      </c>
      <c r="S411" t="n">
        <v>2</v>
      </c>
      <c r="T411" t="n">
        <v>3</v>
      </c>
      <c r="U411" t="n">
        <v>0</v>
      </c>
      <c r="V411" s="2" t="inlineStr">
        <is>
          <t>Bivråk
Luddfingerört</t>
        </is>
      </c>
      <c r="W411">
        <f>HYPERLINK("https://klasma.github.io/Logging_1272/artfynd/S 1328-2025 artfynd.xlsx", "S 1328-2025")</f>
        <v/>
      </c>
      <c r="X411">
        <f>HYPERLINK("https://klasma.github.io/Logging_1272/kartor/S 1328-2025 karta.png", "S 1328-2025")</f>
        <v/>
      </c>
      <c r="Y411">
        <f>HYPERLINK("https://klasma.github.io/Logging_1272/kartor_geotiff/S 1328-2025 georefererad karta.tif", "S 1328-2025")</f>
        <v/>
      </c>
      <c r="AA411">
        <f>HYPERLINK("https://klasma.github.io/Logging_1272/klagomål/S 1328-2025 FSC-klagomål.docx", "S 1328-2025")</f>
        <v/>
      </c>
      <c r="AB411">
        <f>HYPERLINK("https://klasma.github.io/Logging_1272/klagomålsmail/S 1328-2025 FSC-klagomål mail.docx", "S 1328-2025")</f>
        <v/>
      </c>
      <c r="AC411">
        <f>HYPERLINK("https://klasma.github.io/Logging_1272/tillsyn/S 1328-2025 tillsynsbegäran.docx", "S 1328-2025")</f>
        <v/>
      </c>
      <c r="AD411">
        <f>HYPERLINK("https://klasma.github.io/Logging_1272/tillsynsmail/S 1328-2025 tillsynsbegäran mail.docx", "S 1328-2025")</f>
        <v/>
      </c>
      <c r="AE411">
        <f>HYPERLINK("https://klasma.github.io/Logging_1272/fåglar/S 1328-2025 prioriterade fågelarter.docx", "S 1328-2025")</f>
        <v/>
      </c>
    </row>
    <row r="412" ht="15" customHeight="1">
      <c r="A412" t="inlineStr">
        <is>
          <t>S 463-2025</t>
        </is>
      </c>
      <c r="B412" t="inlineStr">
        <is>
          <t>samrådsanmälan</t>
        </is>
      </c>
      <c r="C412" t="inlineStr">
        <is>
          <t>Askåterföring</t>
        </is>
      </c>
      <c r="D412" s="1" t="n">
        <v>45702</v>
      </c>
      <c r="E412" s="1" t="n">
        <v>46312</v>
      </c>
      <c r="F412" t="inlineStr">
        <is>
          <t>SKÅNE LÄN</t>
        </is>
      </c>
      <c r="G412" t="inlineStr">
        <is>
          <t>ÖSTRA GÖINGE</t>
        </is>
      </c>
      <c r="I412" t="n">
        <v>67.59999999999999</v>
      </c>
      <c r="J412" t="n">
        <v>0</v>
      </c>
      <c r="K412" t="n">
        <v>1</v>
      </c>
      <c r="L412" t="n">
        <v>0</v>
      </c>
      <c r="M412" t="n">
        <v>1</v>
      </c>
      <c r="N412" t="n">
        <v>0</v>
      </c>
      <c r="O412" t="n">
        <v>0</v>
      </c>
      <c r="P412" t="n">
        <v>0</v>
      </c>
      <c r="Q412" t="n">
        <v>1</v>
      </c>
      <c r="R412" t="n">
        <v>1</v>
      </c>
      <c r="S412" t="n">
        <v>2</v>
      </c>
      <c r="T412" t="n">
        <v>7</v>
      </c>
      <c r="U412" t="n">
        <v>0</v>
      </c>
      <c r="V412" s="2" t="inlineStr">
        <is>
          <t>Vildris
Safsa</t>
        </is>
      </c>
      <c r="W412">
        <f>HYPERLINK("https://klasma.github.io/Logging_1256/artfynd/S 463-2025 artfynd.xlsx", "S 463-2025")</f>
        <v/>
      </c>
      <c r="X412">
        <f>HYPERLINK("https://klasma.github.io/Logging_1256/kartor/S 463-2025 karta.png", "S 463-2025")</f>
        <v/>
      </c>
      <c r="Y412">
        <f>HYPERLINK("https://klasma.github.io/Logging_1256/kartor_geotiff/S 463-2025 georefererad karta.tif", "S 463-2025")</f>
        <v/>
      </c>
      <c r="AA412">
        <f>HYPERLINK("https://klasma.github.io/Logging_1256/klagomål/S 463-2025 FSC-klagomål.docx", "S 463-2025")</f>
        <v/>
      </c>
      <c r="AB412">
        <f>HYPERLINK("https://klasma.github.io/Logging_1256/klagomålsmail/S 463-2025 FSC-klagomål mail.docx", "S 463-2025")</f>
        <v/>
      </c>
      <c r="AC412">
        <f>HYPERLINK("https://klasma.github.io/Logging_1256/tillsyn/S 463-2025 tillsynsbegäran.docx", "S 463-2025")</f>
        <v/>
      </c>
      <c r="AD412">
        <f>HYPERLINK("https://klasma.github.io/Logging_1256/tillsynsmail/S 463-2025 tillsynsbegäran mail.docx", "S 463-2025")</f>
        <v/>
      </c>
    </row>
    <row r="413" ht="15" customHeight="1">
      <c r="A413" t="inlineStr">
        <is>
          <t>S 627-2025</t>
        </is>
      </c>
      <c r="B413" t="inlineStr">
        <is>
          <t>samrådsanmälan</t>
        </is>
      </c>
      <c r="C413" t="inlineStr">
        <is>
          <t>Askåterföring</t>
        </is>
      </c>
      <c r="D413" s="1" t="n">
        <v>45714</v>
      </c>
      <c r="E413" s="1" t="n">
        <v>46312</v>
      </c>
      <c r="F413" t="inlineStr">
        <is>
          <t>SKÅNE LÄN</t>
        </is>
      </c>
      <c r="G413" t="inlineStr">
        <is>
          <t>LUND</t>
        </is>
      </c>
      <c r="I413" t="n">
        <v>57.7</v>
      </c>
      <c r="J413" t="n">
        <v>0</v>
      </c>
      <c r="K413" t="n">
        <v>1</v>
      </c>
      <c r="L413" t="n">
        <v>1</v>
      </c>
      <c r="M413" t="n">
        <v>0</v>
      </c>
      <c r="N413" t="n">
        <v>0</v>
      </c>
      <c r="O413" t="n">
        <v>0</v>
      </c>
      <c r="P413" t="n">
        <v>0</v>
      </c>
      <c r="Q413" t="n">
        <v>1</v>
      </c>
      <c r="R413" t="n">
        <v>0</v>
      </c>
      <c r="S413" t="n">
        <v>2</v>
      </c>
      <c r="T413" t="n">
        <v>2</v>
      </c>
      <c r="U413" t="n">
        <v>2</v>
      </c>
      <c r="V413" s="2" t="inlineStr">
        <is>
          <t>Orangepudrad klotterlav
Stor häxört</t>
        </is>
      </c>
      <c r="W413">
        <f>HYPERLINK("https://klasma.github.io/Logging_1281/artfynd/S 627-2025 artfynd.xlsx", "S 627-2025")</f>
        <v/>
      </c>
      <c r="X413">
        <f>HYPERLINK("https://klasma.github.io/Logging_1281/kartor/S 627-2025 karta.png", "S 627-2025")</f>
        <v/>
      </c>
      <c r="Y413">
        <f>HYPERLINK("https://klasma.github.io/Logging_1281/kartor_geotiff/S 627-2025 georefererad karta.tif", "S 627-2025")</f>
        <v/>
      </c>
      <c r="AA413">
        <f>HYPERLINK("https://klasma.github.io/Logging_1281/klagomål/S 627-2025 FSC-klagomål.docx", "S 627-2025")</f>
        <v/>
      </c>
      <c r="AB413">
        <f>HYPERLINK("https://klasma.github.io/Logging_1281/klagomålsmail/S 627-2025 FSC-klagomål mail.docx", "S 627-2025")</f>
        <v/>
      </c>
      <c r="AC413">
        <f>HYPERLINK("https://klasma.github.io/Logging_1281/tillsyn/S 627-2025 tillsynsbegäran.docx", "S 627-2025")</f>
        <v/>
      </c>
      <c r="AD413">
        <f>HYPERLINK("https://klasma.github.io/Logging_1281/tillsynsmail/S 627-2025 tillsynsbegäran mail.docx", "S 627-2025")</f>
        <v/>
      </c>
    </row>
    <row r="414" ht="15" customHeight="1">
      <c r="A414" t="inlineStr">
        <is>
          <t>S 815-2025</t>
        </is>
      </c>
      <c r="B414" t="inlineStr">
        <is>
          <t>samrådsanmälan</t>
        </is>
      </c>
      <c r="C414" t="inlineStr">
        <is>
          <t>Askåterföring</t>
        </is>
      </c>
      <c r="D414" s="1" t="n">
        <v>45730</v>
      </c>
      <c r="E414" s="1" t="n">
        <v>46312</v>
      </c>
      <c r="F414" t="inlineStr">
        <is>
          <t>SKÅNE LÄN</t>
        </is>
      </c>
      <c r="G414" t="inlineStr">
        <is>
          <t>ÖSTRA GÖINGE</t>
        </is>
      </c>
      <c r="I414" t="n">
        <v>55</v>
      </c>
      <c r="J414" t="n">
        <v>0</v>
      </c>
      <c r="K414" t="n">
        <v>1</v>
      </c>
      <c r="L414" t="n">
        <v>0</v>
      </c>
      <c r="M414" t="n">
        <v>1</v>
      </c>
      <c r="N414" t="n">
        <v>0</v>
      </c>
      <c r="O414" t="n">
        <v>0</v>
      </c>
      <c r="P414" t="n">
        <v>0</v>
      </c>
      <c r="Q414" t="n">
        <v>1</v>
      </c>
      <c r="R414" t="n">
        <v>1</v>
      </c>
      <c r="S414" t="n">
        <v>2</v>
      </c>
      <c r="T414" t="n">
        <v>3</v>
      </c>
      <c r="U414" t="n">
        <v>1</v>
      </c>
      <c r="V414" s="2" t="inlineStr">
        <is>
          <t>Småvänderot
Safsa</t>
        </is>
      </c>
      <c r="W414">
        <f>HYPERLINK("https://klasma.github.io/Logging_1256/artfynd/S 815-2025 artfynd.xlsx", "S 815-2025")</f>
        <v/>
      </c>
      <c r="X414">
        <f>HYPERLINK("https://klasma.github.io/Logging_1256/kartor/S 815-2025 karta.png", "S 815-2025")</f>
        <v/>
      </c>
      <c r="Y414">
        <f>HYPERLINK("https://klasma.github.io/Logging_1256/kartor_geotiff/S 815-2025 georefererad karta.tif", "S 815-2025")</f>
        <v/>
      </c>
      <c r="AA414">
        <f>HYPERLINK("https://klasma.github.io/Logging_1256/klagomål/S 815-2025 FSC-klagomål.docx", "S 815-2025")</f>
        <v/>
      </c>
      <c r="AB414">
        <f>HYPERLINK("https://klasma.github.io/Logging_1256/klagomålsmail/S 815-2025 FSC-klagomål mail.docx", "S 815-2025")</f>
        <v/>
      </c>
      <c r="AC414">
        <f>HYPERLINK("https://klasma.github.io/Logging_1256/tillsyn/S 815-2025 tillsynsbegäran.docx", "S 815-2025")</f>
        <v/>
      </c>
      <c r="AD414">
        <f>HYPERLINK("https://klasma.github.io/Logging_1256/tillsynsmail/S 815-2025 tillsynsbegäran mail.docx", "S 815-2025")</f>
        <v/>
      </c>
    </row>
    <row r="415" ht="15" customHeight="1">
      <c r="A415" t="inlineStr">
        <is>
          <t>S 306-2025</t>
        </is>
      </c>
      <c r="B415" t="inlineStr">
        <is>
          <t>samrådsanmälan</t>
        </is>
      </c>
      <c r="C415" t="inlineStr">
        <is>
          <t>Askåterföring</t>
        </is>
      </c>
      <c r="D415" s="1" t="n">
        <v>45688</v>
      </c>
      <c r="E415" s="1" t="n">
        <v>46312</v>
      </c>
      <c r="F415" t="inlineStr">
        <is>
          <t>SKÅNE LÄN</t>
        </is>
      </c>
      <c r="G415" t="inlineStr">
        <is>
          <t>HÄSSLEHOLM</t>
        </is>
      </c>
      <c r="I415" t="n">
        <v>13</v>
      </c>
      <c r="J415" t="n">
        <v>0</v>
      </c>
      <c r="K415" t="n">
        <v>2</v>
      </c>
      <c r="L415" t="n">
        <v>0</v>
      </c>
      <c r="M415" t="n">
        <v>0</v>
      </c>
      <c r="N415" t="n">
        <v>0</v>
      </c>
      <c r="O415" t="n">
        <v>0</v>
      </c>
      <c r="P415" t="n">
        <v>0</v>
      </c>
      <c r="Q415" t="n">
        <v>0</v>
      </c>
      <c r="R415" t="n">
        <v>0</v>
      </c>
      <c r="S415" t="n">
        <v>2</v>
      </c>
      <c r="T415" t="n">
        <v>2</v>
      </c>
      <c r="U415" t="n">
        <v>0</v>
      </c>
      <c r="V415" s="2" t="inlineStr">
        <is>
          <t>Klippfrullania
Platt fjädermossa</t>
        </is>
      </c>
      <c r="W415">
        <f>HYPERLINK("https://klasma.github.io/Logging_1293/artfynd/S 306-2025 artfynd.xlsx", "S 306-2025")</f>
        <v/>
      </c>
      <c r="X415">
        <f>HYPERLINK("https://klasma.github.io/Logging_1293/kartor/S 306-2025 karta.png", "S 306-2025")</f>
        <v/>
      </c>
      <c r="Y415">
        <f>HYPERLINK("https://klasma.github.io/Logging_1293/kartor_geotiff/S 306-2025 georefererad karta.tif", "S 306-2025")</f>
        <v/>
      </c>
      <c r="AA415">
        <f>HYPERLINK("https://klasma.github.io/Logging_1293/klagomål/S 306-2025 FSC-klagomål.docx", "S 306-2025")</f>
        <v/>
      </c>
      <c r="AB415">
        <f>HYPERLINK("https://klasma.github.io/Logging_1293/klagomålsmail/S 306-2025 FSC-klagomål mail.docx", "S 306-2025")</f>
        <v/>
      </c>
      <c r="AC415">
        <f>HYPERLINK("https://klasma.github.io/Logging_1293/tillsyn/S 306-2025 tillsynsbegäran.docx", "S 306-2025")</f>
        <v/>
      </c>
      <c r="AD415">
        <f>HYPERLINK("https://klasma.github.io/Logging_1293/tillsynsmail/S 306-2025 tillsynsbegäran mail.docx", "S 306-2025")</f>
        <v/>
      </c>
    </row>
    <row r="416" ht="15" customHeight="1">
      <c r="A416" t="inlineStr">
        <is>
          <t>S 673-2025</t>
        </is>
      </c>
      <c r="B416" t="inlineStr">
        <is>
          <t>samrådsanmälan</t>
        </is>
      </c>
      <c r="C416" t="inlineStr">
        <is>
          <t>Askåterföring</t>
        </is>
      </c>
      <c r="D416" s="1" t="n">
        <v>45716</v>
      </c>
      <c r="E416" s="1" t="n">
        <v>46312</v>
      </c>
      <c r="F416" t="inlineStr">
        <is>
          <t>SKÅNE LÄN</t>
        </is>
      </c>
      <c r="G416" t="inlineStr">
        <is>
          <t>HÄSSLEHOLM</t>
        </is>
      </c>
      <c r="I416" t="n">
        <v>18.1</v>
      </c>
      <c r="J416" t="n">
        <v>0</v>
      </c>
      <c r="K416" t="n">
        <v>2</v>
      </c>
      <c r="L416" t="n">
        <v>0</v>
      </c>
      <c r="M416" t="n">
        <v>0</v>
      </c>
      <c r="N416" t="n">
        <v>0</v>
      </c>
      <c r="O416" t="n">
        <v>0</v>
      </c>
      <c r="P416" t="n">
        <v>0</v>
      </c>
      <c r="Q416" t="n">
        <v>0</v>
      </c>
      <c r="R416" t="n">
        <v>0</v>
      </c>
      <c r="S416" t="n">
        <v>2</v>
      </c>
      <c r="T416" t="n">
        <v>2</v>
      </c>
      <c r="U416" t="n">
        <v>0</v>
      </c>
      <c r="V416" s="2" t="inlineStr">
        <is>
          <t>Havstulpanlav
Klippfrullania</t>
        </is>
      </c>
      <c r="W416">
        <f>HYPERLINK("https://klasma.github.io/Logging_1293/artfynd/S 673-2025 artfynd.xlsx", "S 673-2025")</f>
        <v/>
      </c>
      <c r="X416">
        <f>HYPERLINK("https://klasma.github.io/Logging_1293/kartor/S 673-2025 karta.png", "S 673-2025")</f>
        <v/>
      </c>
      <c r="Y416">
        <f>HYPERLINK("https://klasma.github.io/Logging_1293/kartor_geotiff/S 673-2025 georefererad karta.tif", "S 673-2025")</f>
        <v/>
      </c>
      <c r="AA416">
        <f>HYPERLINK("https://klasma.github.io/Logging_1293/klagomål/S 673-2025 FSC-klagomål.docx", "S 673-2025")</f>
        <v/>
      </c>
      <c r="AB416">
        <f>HYPERLINK("https://klasma.github.io/Logging_1293/klagomålsmail/S 673-2025 FSC-klagomål mail.docx", "S 673-2025")</f>
        <v/>
      </c>
      <c r="AC416">
        <f>HYPERLINK("https://klasma.github.io/Logging_1293/tillsyn/S 673-2025 tillsynsbegäran.docx", "S 673-2025")</f>
        <v/>
      </c>
      <c r="AD416">
        <f>HYPERLINK("https://klasma.github.io/Logging_1293/tillsynsmail/S 673-2025 tillsynsbegäran mail.docx", "S 673-2025")</f>
        <v/>
      </c>
    </row>
    <row r="417" ht="15" customHeight="1">
      <c r="A417" t="inlineStr">
        <is>
          <t>S 2661-2025</t>
        </is>
      </c>
      <c r="B417" t="inlineStr">
        <is>
          <t>samrådsanmälan</t>
        </is>
      </c>
      <c r="C417" t="inlineStr">
        <is>
          <t>Annan skogsbruksåtgärd</t>
        </is>
      </c>
      <c r="D417" s="1" t="n">
        <v>45923</v>
      </c>
      <c r="E417" s="1" t="n">
        <v>46312</v>
      </c>
      <c r="F417" t="inlineStr">
        <is>
          <t>SKÅNE LÄN</t>
        </is>
      </c>
      <c r="G417" t="inlineStr">
        <is>
          <t>ÖSTRA GÖINGE</t>
        </is>
      </c>
      <c r="I417" t="n">
        <v>0.1</v>
      </c>
      <c r="J417" t="n">
        <v>0</v>
      </c>
      <c r="K417" t="n">
        <v>1</v>
      </c>
      <c r="L417" t="n">
        <v>1</v>
      </c>
      <c r="M417" t="n">
        <v>0</v>
      </c>
      <c r="N417" t="n">
        <v>0</v>
      </c>
      <c r="O417" t="n">
        <v>0</v>
      </c>
      <c r="P417" t="n">
        <v>0</v>
      </c>
      <c r="Q417" t="n">
        <v>1</v>
      </c>
      <c r="R417" t="n">
        <v>0</v>
      </c>
      <c r="S417" t="n">
        <v>2</v>
      </c>
      <c r="T417" t="n">
        <v>2</v>
      </c>
      <c r="U417" t="n">
        <v>0</v>
      </c>
      <c r="V417" s="2" t="inlineStr">
        <is>
          <t>Bokvårtlav
Havstulpanlav</t>
        </is>
      </c>
      <c r="W417">
        <f>HYPERLINK("https://klasma.github.io/Logging_1256/artfynd/S 2661-2025 artfynd.xlsx", "S 2661-2025")</f>
        <v/>
      </c>
      <c r="X417">
        <f>HYPERLINK("https://klasma.github.io/Logging_1256/kartor/S 2661-2025 karta.png", "S 2661-2025")</f>
        <v/>
      </c>
      <c r="Y417">
        <f>HYPERLINK("https://klasma.github.io/Logging_1256/kartor_geotiff/S 2661-2025 georefererad karta.tif", "S 2661-2025")</f>
        <v/>
      </c>
      <c r="AA417">
        <f>HYPERLINK("https://klasma.github.io/Logging_1256/klagomål/S 2661-2025 FSC-klagomål.docx", "S 2661-2025")</f>
        <v/>
      </c>
      <c r="AB417">
        <f>HYPERLINK("https://klasma.github.io/Logging_1256/klagomålsmail/S 2661-2025 FSC-klagomål mail.docx", "S 2661-2025")</f>
        <v/>
      </c>
      <c r="AC417">
        <f>HYPERLINK("https://klasma.github.io/Logging_1256/tillsyn/S 2661-2025 tillsynsbegäran.docx", "S 2661-2025")</f>
        <v/>
      </c>
      <c r="AD417">
        <f>HYPERLINK("https://klasma.github.io/Logging_1256/tillsynsmail/S 2661-2025 tillsynsbegäran mail.docx", "S 2661-2025")</f>
        <v/>
      </c>
    </row>
    <row r="418" ht="15" customHeight="1">
      <c r="A418" t="inlineStr">
        <is>
          <t>S 47-2026</t>
        </is>
      </c>
      <c r="B418" t="inlineStr">
        <is>
          <t>samrådsanmälan</t>
        </is>
      </c>
      <c r="C418" t="inlineStr">
        <is>
          <t>Askåterföring</t>
        </is>
      </c>
      <c r="D418" s="1" t="n">
        <v>46030</v>
      </c>
      <c r="E418" s="1" t="n">
        <v>46312</v>
      </c>
      <c r="F418" t="inlineStr">
        <is>
          <t>SKÅNE LÄN</t>
        </is>
      </c>
      <c r="G418" t="inlineStr">
        <is>
          <t>KLIPPAN</t>
        </is>
      </c>
      <c r="I418" t="n">
        <v>28.2</v>
      </c>
      <c r="J418" t="n">
        <v>2</v>
      </c>
      <c r="K418" t="n">
        <v>0</v>
      </c>
      <c r="L418" t="n">
        <v>0</v>
      </c>
      <c r="M418" t="n">
        <v>0</v>
      </c>
      <c r="N418" t="n">
        <v>0</v>
      </c>
      <c r="O418" t="n">
        <v>0</v>
      </c>
      <c r="P418" t="n">
        <v>0</v>
      </c>
      <c r="Q418" t="n">
        <v>0</v>
      </c>
      <c r="R418" t="n">
        <v>0</v>
      </c>
      <c r="S418" t="n">
        <v>2</v>
      </c>
      <c r="T418" t="n">
        <v>2</v>
      </c>
      <c r="U418" t="n">
        <v>0</v>
      </c>
      <c r="V418" s="2" t="inlineStr">
        <is>
          <t>Större vattensalamander
Vanlig padda</t>
        </is>
      </c>
      <c r="W418">
        <f>HYPERLINK("https://klasma.github.io/Logging_1276/artfynd/S 47-2026 artfynd.xlsx", "S 47-2026")</f>
        <v/>
      </c>
      <c r="X418">
        <f>HYPERLINK("https://klasma.github.io/Logging_1276/kartor/S 47-2026 karta.png", "S 47-2026")</f>
        <v/>
      </c>
      <c r="Y418">
        <f>HYPERLINK("https://klasma.github.io/Logging_1276/kartor_geotiff/S 47-2026 georefererad karta.tif", "S 47-2026")</f>
        <v/>
      </c>
      <c r="AA418">
        <f>HYPERLINK("https://klasma.github.io/Logging_1276/klagomål/S 47-2026 FSC-klagomål.docx", "S 47-2026")</f>
        <v/>
      </c>
      <c r="AB418">
        <f>HYPERLINK("https://klasma.github.io/Logging_1276/klagomålsmail/S 47-2026 FSC-klagomål mail.docx", "S 47-2026")</f>
        <v/>
      </c>
      <c r="AC418">
        <f>HYPERLINK("https://klasma.github.io/Logging_1276/tillsyn/S 47-2026 tillsynsbegäran.docx", "S 47-2026")</f>
        <v/>
      </c>
      <c r="AD418">
        <f>HYPERLINK("https://klasma.github.io/Logging_1276/tillsynsmail/S 47-2026 tillsynsbegäran mail.docx", "S 47-2026")</f>
        <v/>
      </c>
    </row>
    <row r="419" ht="15" customHeight="1">
      <c r="A419" t="inlineStr">
        <is>
          <t>S 431-2026</t>
        </is>
      </c>
      <c r="B419" t="inlineStr">
        <is>
          <t>samrådsanmälan</t>
        </is>
      </c>
      <c r="C419" t="inlineStr">
        <is>
          <t>Askåterföring</t>
        </is>
      </c>
      <c r="D419" s="1" t="n">
        <v>46071</v>
      </c>
      <c r="E419" s="1" t="n">
        <v>46312</v>
      </c>
      <c r="F419" t="inlineStr">
        <is>
          <t>SKÅNE LÄN</t>
        </is>
      </c>
      <c r="G419" t="inlineStr">
        <is>
          <t>HÄSSLEHOLM</t>
        </is>
      </c>
      <c r="I419" t="n">
        <v>3.8</v>
      </c>
      <c r="J419" t="n">
        <v>1</v>
      </c>
      <c r="K419" t="n">
        <v>1</v>
      </c>
      <c r="L419" t="n">
        <v>0</v>
      </c>
      <c r="M419" t="n">
        <v>0</v>
      </c>
      <c r="N419" t="n">
        <v>0</v>
      </c>
      <c r="O419" t="n">
        <v>0</v>
      </c>
      <c r="P419" t="n">
        <v>0</v>
      </c>
      <c r="Q419" t="n">
        <v>0</v>
      </c>
      <c r="R419" t="n">
        <v>0</v>
      </c>
      <c r="S419" t="n">
        <v>2</v>
      </c>
      <c r="T419" t="n">
        <v>3</v>
      </c>
      <c r="U419" t="n">
        <v>0</v>
      </c>
      <c r="V419" s="2" t="inlineStr">
        <is>
          <t>Blomkålssvamp
Kungsfågel</t>
        </is>
      </c>
      <c r="W419">
        <f>HYPERLINK("https://klasma.github.io/Logging_1293/artfynd/S 431-2026 artfynd.xlsx", "S 431-2026")</f>
        <v/>
      </c>
      <c r="X419">
        <f>HYPERLINK("https://klasma.github.io/Logging_1293/kartor/S 431-2026 karta.png", "S 431-2026")</f>
        <v/>
      </c>
      <c r="Y419">
        <f>HYPERLINK("https://klasma.github.io/Logging_1293/kartor_geotiff/S 431-2026 georefererad karta.tif", "S 431-2026")</f>
        <v/>
      </c>
      <c r="AA419">
        <f>HYPERLINK("https://klasma.github.io/Logging_1293/klagomål/S 431-2026 FSC-klagomål.docx", "S 431-2026")</f>
        <v/>
      </c>
      <c r="AB419">
        <f>HYPERLINK("https://klasma.github.io/Logging_1293/klagomålsmail/S 431-2026 FSC-klagomål mail.docx", "S 431-2026")</f>
        <v/>
      </c>
      <c r="AC419">
        <f>HYPERLINK("https://klasma.github.io/Logging_1293/tillsyn/S 431-2026 tillsynsbegäran.docx", "S 431-2026")</f>
        <v/>
      </c>
      <c r="AD419">
        <f>HYPERLINK("https://klasma.github.io/Logging_1293/tillsynsmail/S 431-2026 tillsynsbegäran mail.docx", "S 431-2026")</f>
        <v/>
      </c>
    </row>
    <row r="420" ht="15" customHeight="1">
      <c r="A420" t="inlineStr">
        <is>
          <t>S 536-2026</t>
        </is>
      </c>
      <c r="B420" t="inlineStr">
        <is>
          <t>samrådsanmälan</t>
        </is>
      </c>
      <c r="C420" t="inlineStr">
        <is>
          <t>Askåterföring</t>
        </is>
      </c>
      <c r="D420" s="1" t="n">
        <v>46079</v>
      </c>
      <c r="E420" s="1" t="n">
        <v>46312</v>
      </c>
      <c r="F420" t="inlineStr">
        <is>
          <t>SKÅNE LÄN</t>
        </is>
      </c>
      <c r="G420" t="inlineStr">
        <is>
          <t>HÄSSLEHOLM</t>
        </is>
      </c>
      <c r="I420" t="n">
        <v>5.8</v>
      </c>
      <c r="J420" t="n">
        <v>0</v>
      </c>
      <c r="K420" t="n">
        <v>2</v>
      </c>
      <c r="L420" t="n">
        <v>0</v>
      </c>
      <c r="M420" t="n">
        <v>0</v>
      </c>
      <c r="N420" t="n">
        <v>0</v>
      </c>
      <c r="O420" t="n">
        <v>0</v>
      </c>
      <c r="P420" t="n">
        <v>0</v>
      </c>
      <c r="Q420" t="n">
        <v>0</v>
      </c>
      <c r="R420" t="n">
        <v>0</v>
      </c>
      <c r="S420" t="n">
        <v>2</v>
      </c>
      <c r="T420" t="n">
        <v>2</v>
      </c>
      <c r="U420" t="n">
        <v>0</v>
      </c>
      <c r="V420" s="2" t="inlineStr">
        <is>
          <t>Björksplintborre
Skuggsprötmossa</t>
        </is>
      </c>
      <c r="W420">
        <f>HYPERLINK("https://klasma.github.io/Logging_1293/artfynd/S 536-2026 artfynd.xlsx", "S 536-2026")</f>
        <v/>
      </c>
      <c r="X420">
        <f>HYPERLINK("https://klasma.github.io/Logging_1293/kartor/S 536-2026 karta.png", "S 536-2026")</f>
        <v/>
      </c>
      <c r="Y420">
        <f>HYPERLINK("https://klasma.github.io/Logging_1293/kartor_geotiff/S 536-2026 georefererad karta.tif", "S 536-2026")</f>
        <v/>
      </c>
      <c r="AA420">
        <f>HYPERLINK("https://klasma.github.io/Logging_1293/klagomål/S 536-2026 FSC-klagomål.docx", "S 536-2026")</f>
        <v/>
      </c>
      <c r="AB420">
        <f>HYPERLINK("https://klasma.github.io/Logging_1293/klagomålsmail/S 536-2026 FSC-klagomål mail.docx", "S 536-2026")</f>
        <v/>
      </c>
      <c r="AC420">
        <f>HYPERLINK("https://klasma.github.io/Logging_1293/tillsyn/S 536-2026 tillsynsbegäran.docx", "S 536-2026")</f>
        <v/>
      </c>
      <c r="AD420">
        <f>HYPERLINK("https://klasma.github.io/Logging_1293/tillsynsmail/S 536-2026 tillsynsbegäran mail.docx", "S 536-2026")</f>
        <v/>
      </c>
    </row>
    <row r="421" ht="15" customHeight="1">
      <c r="A421" t="inlineStr">
        <is>
          <t>S 683-2026</t>
        </is>
      </c>
      <c r="B421" t="inlineStr">
        <is>
          <t>samrådsanmälan</t>
        </is>
      </c>
      <c r="C421" t="inlineStr">
        <is>
          <t>Askåterföring</t>
        </is>
      </c>
      <c r="D421" s="1" t="n">
        <v>46091</v>
      </c>
      <c r="E421" s="1" t="n">
        <v>46312</v>
      </c>
      <c r="F421" t="inlineStr">
        <is>
          <t>SKÅNE LÄN</t>
        </is>
      </c>
      <c r="G421" t="inlineStr">
        <is>
          <t>KRISTIANSTAD</t>
        </is>
      </c>
      <c r="I421" t="n">
        <v>56.5</v>
      </c>
      <c r="J421" t="n">
        <v>0</v>
      </c>
      <c r="K421" t="n">
        <v>2</v>
      </c>
      <c r="L421" t="n">
        <v>0</v>
      </c>
      <c r="M421" t="n">
        <v>0</v>
      </c>
      <c r="N421" t="n">
        <v>0</v>
      </c>
      <c r="O421" t="n">
        <v>0</v>
      </c>
      <c r="P421" t="n">
        <v>0</v>
      </c>
      <c r="Q421" t="n">
        <v>0</v>
      </c>
      <c r="R421" t="n">
        <v>0</v>
      </c>
      <c r="S421" t="n">
        <v>2</v>
      </c>
      <c r="T421" t="n">
        <v>3</v>
      </c>
      <c r="U421" t="n">
        <v>0</v>
      </c>
      <c r="V421" s="2" t="inlineStr">
        <is>
          <t>Gulnål
Jättesvampmal</t>
        </is>
      </c>
      <c r="W421">
        <f>HYPERLINK("https://klasma.github.io/Logging_1290/artfynd/S 683-2026 artfynd.xlsx", "S 683-2026")</f>
        <v/>
      </c>
      <c r="X421">
        <f>HYPERLINK("https://klasma.github.io/Logging_1290/kartor/S 683-2026 karta.png", "S 683-2026")</f>
        <v/>
      </c>
      <c r="Y421">
        <f>HYPERLINK("https://klasma.github.io/Logging_1290/kartor_geotiff/S 683-2026 georefererad karta.tif", "S 683-2026")</f>
        <v/>
      </c>
      <c r="AA421">
        <f>HYPERLINK("https://klasma.github.io/Logging_1290/klagomål/S 683-2026 FSC-klagomål.docx", "S 683-2026")</f>
        <v/>
      </c>
      <c r="AB421">
        <f>HYPERLINK("https://klasma.github.io/Logging_1290/klagomålsmail/S 683-2026 FSC-klagomål mail.docx", "S 683-2026")</f>
        <v/>
      </c>
      <c r="AC421">
        <f>HYPERLINK("https://klasma.github.io/Logging_1290/tillsyn/S 683-2026 tillsynsbegäran.docx", "S 683-2026")</f>
        <v/>
      </c>
      <c r="AD421">
        <f>HYPERLINK("https://klasma.github.io/Logging_1290/tillsynsmail/S 683-2026 tillsynsbegäran mail.docx", "S 683-2026")</f>
        <v/>
      </c>
    </row>
    <row r="422" ht="15" customHeight="1">
      <c r="A422" t="inlineStr">
        <is>
          <t>S 1382-2026</t>
        </is>
      </c>
      <c r="B422" t="inlineStr">
        <is>
          <t>samrådsanmälan</t>
        </is>
      </c>
      <c r="C422" t="inlineStr">
        <is>
          <t>Askåterföring</t>
        </is>
      </c>
      <c r="D422" s="1" t="n">
        <v>46147</v>
      </c>
      <c r="E422" s="1" t="n">
        <v>46312</v>
      </c>
      <c r="F422" t="inlineStr">
        <is>
          <t>SKÅNE LÄN</t>
        </is>
      </c>
      <c r="G422" t="inlineStr">
        <is>
          <t>SJÖBO</t>
        </is>
      </c>
      <c r="H422" t="inlineStr">
        <is>
          <t>Övriga Aktiebolag</t>
        </is>
      </c>
      <c r="I422" t="n">
        <v>97.90000000000001</v>
      </c>
      <c r="J422" t="n">
        <v>0</v>
      </c>
      <c r="K422" t="n">
        <v>1</v>
      </c>
      <c r="L422" t="n">
        <v>1</v>
      </c>
      <c r="M422" t="n">
        <v>0</v>
      </c>
      <c r="N422" t="n">
        <v>0</v>
      </c>
      <c r="O422" t="n">
        <v>0</v>
      </c>
      <c r="P422" t="n">
        <v>0</v>
      </c>
      <c r="Q422" t="n">
        <v>1</v>
      </c>
      <c r="R422" t="n">
        <v>0</v>
      </c>
      <c r="S422" t="n">
        <v>2</v>
      </c>
      <c r="T422" t="n">
        <v>6</v>
      </c>
      <c r="U422" t="n">
        <v>0</v>
      </c>
      <c r="V422" s="2" t="inlineStr">
        <is>
          <t>Skogslysing
Dvärghäxört</t>
        </is>
      </c>
      <c r="W422">
        <f>HYPERLINK("https://klasma.github.io/Logging_1265/artfynd/S 1382-2026 artfynd.xlsx", "S 1382-2026")</f>
        <v/>
      </c>
      <c r="X422">
        <f>HYPERLINK("https://klasma.github.io/Logging_1265/kartor/S 1382-2026 karta.png", "S 1382-2026")</f>
        <v/>
      </c>
      <c r="Y422">
        <f>HYPERLINK("https://klasma.github.io/Logging_1265/kartor_geotiff/S 1382-2026 georefererad karta.tif", "S 1382-2026")</f>
        <v/>
      </c>
      <c r="AA422">
        <f>HYPERLINK("https://klasma.github.io/Logging_1265/klagomål/S 1382-2026 FSC-klagomål.docx", "S 1382-2026")</f>
        <v/>
      </c>
      <c r="AB422">
        <f>HYPERLINK("https://klasma.github.io/Logging_1265/klagomålsmail/S 1382-2026 FSC-klagomål mail.docx", "S 1382-2026")</f>
        <v/>
      </c>
      <c r="AC422">
        <f>HYPERLINK("https://klasma.github.io/Logging_1265/tillsyn/S 1382-2026 tillsynsbegäran.docx", "S 1382-2026")</f>
        <v/>
      </c>
      <c r="AD422">
        <f>HYPERLINK("https://klasma.github.io/Logging_1265/tillsynsmail/S 1382-2026 tillsynsbegäran mail.docx", "S 1382-2026")</f>
        <v/>
      </c>
    </row>
    <row r="423" ht="15" customHeight="1">
      <c r="A423" t="inlineStr">
        <is>
          <t>S 1992-2026</t>
        </is>
      </c>
      <c r="B423" t="inlineStr">
        <is>
          <t>samrådsanmälan</t>
        </is>
      </c>
      <c r="C423" t="inlineStr">
        <is>
          <t>Askåterföring</t>
        </is>
      </c>
      <c r="D423" s="1" t="n">
        <v>46213</v>
      </c>
      <c r="E423" s="1" t="n">
        <v>46312</v>
      </c>
      <c r="F423" t="inlineStr">
        <is>
          <t>SKÅNE LÄN</t>
        </is>
      </c>
      <c r="G423" t="inlineStr">
        <is>
          <t>LUND</t>
        </is>
      </c>
      <c r="I423" t="n">
        <v>5.2</v>
      </c>
      <c r="J423" t="n">
        <v>1</v>
      </c>
      <c r="K423" t="n">
        <v>0</v>
      </c>
      <c r="L423" t="n">
        <v>0</v>
      </c>
      <c r="M423" t="n">
        <v>1</v>
      </c>
      <c r="N423" t="n">
        <v>0</v>
      </c>
      <c r="O423" t="n">
        <v>0</v>
      </c>
      <c r="P423" t="n">
        <v>0</v>
      </c>
      <c r="Q423" t="n">
        <v>1</v>
      </c>
      <c r="R423" t="n">
        <v>1</v>
      </c>
      <c r="S423" t="n">
        <v>2</v>
      </c>
      <c r="T423" t="n">
        <v>2</v>
      </c>
      <c r="U423" t="n">
        <v>0</v>
      </c>
      <c r="V423" s="2" t="inlineStr">
        <is>
          <t>Slåttergubbe
Grönvit nattviol</t>
        </is>
      </c>
      <c r="W423">
        <f>HYPERLINK("https://klasma.github.io/Logging_1281/artfynd/S 1992-2026 artfynd.xlsx", "S 1992-2026")</f>
        <v/>
      </c>
      <c r="X423">
        <f>HYPERLINK("https://klasma.github.io/Logging_1281/kartor/S 1992-2026 karta.png", "S 1992-2026")</f>
        <v/>
      </c>
      <c r="Y423">
        <f>HYPERLINK("https://klasma.github.io/Logging_1281/kartor_geotiff/S 1992-2026 georefererad karta.tif", "S 1992-2026")</f>
        <v/>
      </c>
      <c r="AA423">
        <f>HYPERLINK("https://klasma.github.io/Logging_1281/klagomål/S 1992-2026 FSC-klagomål.docx", "S 1992-2026")</f>
        <v/>
      </c>
      <c r="AB423">
        <f>HYPERLINK("https://klasma.github.io/Logging_1281/klagomålsmail/S 1992-2026 FSC-klagomål mail.docx", "S 1992-2026")</f>
        <v/>
      </c>
      <c r="AC423">
        <f>HYPERLINK("https://klasma.github.io/Logging_1281/tillsyn/S 1992-2026 tillsynsbegäran.docx", "S 1992-2026")</f>
        <v/>
      </c>
      <c r="AD423">
        <f>HYPERLINK("https://klasma.github.io/Logging_1281/tillsynsmail/S 1992-2026 tillsynsbegäran mail.docx", "S 1992-2026")</f>
        <v/>
      </c>
    </row>
    <row r="424" ht="15" customHeight="1">
      <c r="A424" t="inlineStr">
        <is>
          <t>S 1998-2026</t>
        </is>
      </c>
      <c r="B424" t="inlineStr">
        <is>
          <t>samrådsanmälan</t>
        </is>
      </c>
      <c r="C424" t="inlineStr">
        <is>
          <t>Askåterföring</t>
        </is>
      </c>
      <c r="D424" s="1" t="n">
        <v>46213</v>
      </c>
      <c r="E424" s="1" t="n">
        <v>46312</v>
      </c>
      <c r="F424" t="inlineStr">
        <is>
          <t>SKÅNE LÄN</t>
        </is>
      </c>
      <c r="G424" t="inlineStr">
        <is>
          <t>SVEDALA</t>
        </is>
      </c>
      <c r="I424" t="n">
        <v>10.6</v>
      </c>
      <c r="J424" t="n">
        <v>2</v>
      </c>
      <c r="K424" t="n">
        <v>0</v>
      </c>
      <c r="L424" t="n">
        <v>1</v>
      </c>
      <c r="M424" t="n">
        <v>0</v>
      </c>
      <c r="N424" t="n">
        <v>0</v>
      </c>
      <c r="O424" t="n">
        <v>0</v>
      </c>
      <c r="P424" t="n">
        <v>0</v>
      </c>
      <c r="Q424" t="n">
        <v>1</v>
      </c>
      <c r="R424" t="n">
        <v>0</v>
      </c>
      <c r="S424" t="n">
        <v>2</v>
      </c>
      <c r="T424" t="n">
        <v>2</v>
      </c>
      <c r="U424" t="n">
        <v>0</v>
      </c>
      <c r="V424" s="2" t="inlineStr">
        <is>
          <t>Duvhök
Fiskgjuse</t>
        </is>
      </c>
      <c r="W424">
        <f>HYPERLINK("https://klasma.github.io/Logging_1263/artfynd/S 1998-2026 artfynd.xlsx", "S 1998-2026")</f>
        <v/>
      </c>
      <c r="X424">
        <f>HYPERLINK("https://klasma.github.io/Logging_1263/kartor/S 1998-2026 karta.png", "S 1998-2026")</f>
        <v/>
      </c>
      <c r="Y424">
        <f>HYPERLINK("https://klasma.github.io/Logging_1263/kartor_geotiff/S 1998-2026 georefererad karta.tif", "S 1998-2026")</f>
        <v/>
      </c>
      <c r="AA424">
        <f>HYPERLINK("https://klasma.github.io/Logging_1263/klagomål/S 1998-2026 FSC-klagomål.docx", "S 1998-2026")</f>
        <v/>
      </c>
      <c r="AB424">
        <f>HYPERLINK("https://klasma.github.io/Logging_1263/klagomålsmail/S 1998-2026 FSC-klagomål mail.docx", "S 1998-2026")</f>
        <v/>
      </c>
      <c r="AC424">
        <f>HYPERLINK("https://klasma.github.io/Logging_1263/tillsyn/S 1998-2026 tillsynsbegäran.docx", "S 1998-2026")</f>
        <v/>
      </c>
      <c r="AD424">
        <f>HYPERLINK("https://klasma.github.io/Logging_1263/tillsynsmail/S 1998-2026 tillsynsbegäran mail.docx", "S 1998-2026")</f>
        <v/>
      </c>
      <c r="AE424">
        <f>HYPERLINK("https://klasma.github.io/Logging_1263/fåglar/S 1998-2026 prioriterade fågelarter.docx", "S 1998-2026")</f>
        <v/>
      </c>
    </row>
    <row r="425" ht="15" customHeight="1">
      <c r="A425" t="inlineStr">
        <is>
          <t>S 1999-2026</t>
        </is>
      </c>
      <c r="B425" t="inlineStr">
        <is>
          <t>samrådsanmälan</t>
        </is>
      </c>
      <c r="C425" t="inlineStr">
        <is>
          <t>Askåterföring</t>
        </is>
      </c>
      <c r="D425" s="1" t="n">
        <v>46213</v>
      </c>
      <c r="E425" s="1" t="n">
        <v>46312</v>
      </c>
      <c r="F425" t="inlineStr">
        <is>
          <t>SKÅNE LÄN</t>
        </is>
      </c>
      <c r="G425" t="inlineStr">
        <is>
          <t>SVEDALA</t>
        </is>
      </c>
      <c r="I425" t="n">
        <v>14.9</v>
      </c>
      <c r="J425" t="n">
        <v>1</v>
      </c>
      <c r="K425" t="n">
        <v>1</v>
      </c>
      <c r="L425" t="n">
        <v>0</v>
      </c>
      <c r="M425" t="n">
        <v>1</v>
      </c>
      <c r="N425" t="n">
        <v>0</v>
      </c>
      <c r="O425" t="n">
        <v>0</v>
      </c>
      <c r="P425" t="n">
        <v>0</v>
      </c>
      <c r="Q425" t="n">
        <v>1</v>
      </c>
      <c r="R425" t="n">
        <v>1</v>
      </c>
      <c r="S425" t="n">
        <v>2</v>
      </c>
      <c r="T425" t="n">
        <v>3</v>
      </c>
      <c r="U425" t="n">
        <v>0</v>
      </c>
      <c r="V425" s="2" t="inlineStr">
        <is>
          <t>Revig blodrot
Ekoxe</t>
        </is>
      </c>
      <c r="W425">
        <f>HYPERLINK("https://klasma.github.io/Logging_1263/artfynd/S 1999-2026 artfynd.xlsx", "S 1999-2026")</f>
        <v/>
      </c>
      <c r="X425">
        <f>HYPERLINK("https://klasma.github.io/Logging_1263/kartor/S 1999-2026 karta.png", "S 1999-2026")</f>
        <v/>
      </c>
      <c r="Y425">
        <f>HYPERLINK("https://klasma.github.io/Logging_1263/kartor_geotiff/S 1999-2026 georefererad karta.tif", "S 1999-2026")</f>
        <v/>
      </c>
      <c r="AA425">
        <f>HYPERLINK("https://klasma.github.io/Logging_1263/klagomål/S 1999-2026 FSC-klagomål.docx", "S 1999-2026")</f>
        <v/>
      </c>
      <c r="AB425">
        <f>HYPERLINK("https://klasma.github.io/Logging_1263/klagomålsmail/S 1999-2026 FSC-klagomål mail.docx", "S 1999-2026")</f>
        <v/>
      </c>
      <c r="AC425">
        <f>HYPERLINK("https://klasma.github.io/Logging_1263/tillsyn/S 1999-2026 tillsynsbegäran.docx", "S 1999-2026")</f>
        <v/>
      </c>
      <c r="AD425">
        <f>HYPERLINK("https://klasma.github.io/Logging_1263/tillsynsmail/S 1999-2026 tillsynsbegäran mail.docx", "S 1999-2026")</f>
        <v/>
      </c>
    </row>
    <row r="426" ht="15" customHeight="1">
      <c r="A426" t="inlineStr">
        <is>
          <t>A 37457-2022</t>
        </is>
      </c>
      <c r="B426" t="inlineStr">
        <is>
          <t>avverkningsanmälan</t>
        </is>
      </c>
      <c r="C426" t="inlineStr">
        <is>
          <t>Föryngringsavverkning</t>
        </is>
      </c>
      <c r="D426" s="1" t="n">
        <v>44809</v>
      </c>
      <c r="E426" s="1" t="n">
        <v>46312</v>
      </c>
      <c r="F426" t="inlineStr">
        <is>
          <t>SKÅNE LÄN</t>
        </is>
      </c>
      <c r="G426" t="inlineStr">
        <is>
          <t>HÄSSLEHOLM</t>
        </is>
      </c>
      <c r="I426" t="n">
        <v>2.4</v>
      </c>
      <c r="J426" t="n">
        <v>1</v>
      </c>
      <c r="K426" t="n">
        <v>0</v>
      </c>
      <c r="L426" t="n">
        <v>0</v>
      </c>
      <c r="M426" t="n">
        <v>0</v>
      </c>
      <c r="N426" t="n">
        <v>0</v>
      </c>
      <c r="O426" t="n">
        <v>0</v>
      </c>
      <c r="P426" t="n">
        <v>0</v>
      </c>
      <c r="Q426" t="n">
        <v>0</v>
      </c>
      <c r="R426" t="n">
        <v>0</v>
      </c>
      <c r="S426" t="n">
        <v>1</v>
      </c>
      <c r="T426" t="n">
        <v>1</v>
      </c>
      <c r="U426" t="n">
        <v>1</v>
      </c>
      <c r="V426" s="2" t="inlineStr">
        <is>
          <t>Mindre vattensalamander</t>
        </is>
      </c>
      <c r="W426">
        <f>HYPERLINK("https://klasma.github.io/Logging_1293/artfynd/A 37457-2022 artfynd.xlsx", "A 37457-2022")</f>
        <v/>
      </c>
      <c r="X426">
        <f>HYPERLINK("https://klasma.github.io/Logging_1293/kartor/A 37457-2022 karta.png", "A 37457-2022")</f>
        <v/>
      </c>
      <c r="Y426">
        <f>HYPERLINK("https://klasma.github.io/Logging_1293/kartor_geotiff/A 37457-2022 georefererad karta.tif", "A 37457-2022")</f>
        <v/>
      </c>
      <c r="AA426">
        <f>HYPERLINK("https://klasma.github.io/Logging_1293/klagomål/A 37457-2022 FSC-klagomål.docx", "A 37457-2022")</f>
        <v/>
      </c>
      <c r="AB426">
        <f>HYPERLINK("https://klasma.github.io/Logging_1293/klagomålsmail/A 37457-2022 FSC-klagomål mail.docx", "A 37457-2022")</f>
        <v/>
      </c>
      <c r="AC426">
        <f>HYPERLINK("https://klasma.github.io/Logging_1293/tillsyn/A 37457-2022 tillsynsbegäran.docx", "A 37457-2022")</f>
        <v/>
      </c>
      <c r="AD426">
        <f>HYPERLINK("https://klasma.github.io/Logging_1293/tillsynsmail/A 37457-2022 tillsynsbegäran mail.docx", "A 37457-2022")</f>
        <v/>
      </c>
    </row>
    <row r="427" ht="15" customHeight="1">
      <c r="A427" t="inlineStr">
        <is>
          <t>A 44060-2022</t>
        </is>
      </c>
      <c r="B427" t="inlineStr">
        <is>
          <t>avverkningsanmälan</t>
        </is>
      </c>
      <c r="C427" t="inlineStr">
        <is>
          <t>Föryngringsavverkning</t>
        </is>
      </c>
      <c r="D427" s="1" t="n">
        <v>44839</v>
      </c>
      <c r="E427" s="1" t="n">
        <v>46312</v>
      </c>
      <c r="F427" t="inlineStr">
        <is>
          <t>SKÅNE LÄN</t>
        </is>
      </c>
      <c r="G427" t="inlineStr">
        <is>
          <t>ÄNGELHOLM</t>
        </is>
      </c>
      <c r="I427" t="n">
        <v>0.5</v>
      </c>
      <c r="J427" t="n">
        <v>0</v>
      </c>
      <c r="K427" t="n">
        <v>0</v>
      </c>
      <c r="L427" t="n">
        <v>0</v>
      </c>
      <c r="M427" t="n">
        <v>0</v>
      </c>
      <c r="N427" t="n">
        <v>1</v>
      </c>
      <c r="O427" t="n">
        <v>0</v>
      </c>
      <c r="P427" t="n">
        <v>0</v>
      </c>
      <c r="Q427" t="n">
        <v>1</v>
      </c>
      <c r="R427" t="n">
        <v>1</v>
      </c>
      <c r="S427" t="n">
        <v>1</v>
      </c>
      <c r="T427" t="n">
        <v>1</v>
      </c>
      <c r="U427" t="n">
        <v>0</v>
      </c>
      <c r="V427" s="2" t="inlineStr">
        <is>
          <t>Ask</t>
        </is>
      </c>
      <c r="W427">
        <f>HYPERLINK("https://klasma.github.io/Logging_1292/artfynd/A 44060-2022 artfynd.xlsx", "A 44060-2022")</f>
        <v/>
      </c>
      <c r="X427">
        <f>HYPERLINK("https://klasma.github.io/Logging_1292/kartor/A 44060-2022 karta.png", "A 44060-2022")</f>
        <v/>
      </c>
      <c r="Y427">
        <f>HYPERLINK("https://klasma.github.io/Logging_1292/kartor_geotiff/A 44060-2022 georefererad karta.tif", "A 44060-2022")</f>
        <v/>
      </c>
      <c r="AA427">
        <f>HYPERLINK("https://klasma.github.io/Logging_1292/klagomål/A 44060-2022 FSC-klagomål.docx", "A 44060-2022")</f>
        <v/>
      </c>
      <c r="AB427">
        <f>HYPERLINK("https://klasma.github.io/Logging_1292/klagomålsmail/A 44060-2022 FSC-klagomål mail.docx", "A 44060-2022")</f>
        <v/>
      </c>
      <c r="AC427">
        <f>HYPERLINK("https://klasma.github.io/Logging_1292/tillsyn/A 44060-2022 tillsynsbegäran.docx", "A 44060-2022")</f>
        <v/>
      </c>
      <c r="AD427">
        <f>HYPERLINK("https://klasma.github.io/Logging_1292/tillsynsmail/A 44060-2022 tillsynsbegäran mail.docx", "A 44060-2022")</f>
        <v/>
      </c>
    </row>
    <row r="428" ht="15" customHeight="1">
      <c r="A428" t="inlineStr">
        <is>
          <t>A 38643-2022</t>
        </is>
      </c>
      <c r="B428" t="inlineStr">
        <is>
          <t>avverkningsanmälan</t>
        </is>
      </c>
      <c r="C428" t="inlineStr">
        <is>
          <t>Föryngringsavverkning</t>
        </is>
      </c>
      <c r="D428" s="1" t="n">
        <v>44813</v>
      </c>
      <c r="E428" s="1" t="n">
        <v>46312</v>
      </c>
      <c r="F428" t="inlineStr">
        <is>
          <t>SKÅNE LÄN</t>
        </is>
      </c>
      <c r="G428" t="inlineStr">
        <is>
          <t>OSBY</t>
        </is>
      </c>
      <c r="H428" t="inlineStr">
        <is>
          <t>Kyrkan</t>
        </is>
      </c>
      <c r="I428" t="n">
        <v>9.5</v>
      </c>
      <c r="J428" t="n">
        <v>0</v>
      </c>
      <c r="K428" t="n">
        <v>1</v>
      </c>
      <c r="L428" t="n">
        <v>0</v>
      </c>
      <c r="M428" t="n">
        <v>0</v>
      </c>
      <c r="N428" t="n">
        <v>0</v>
      </c>
      <c r="O428" t="n">
        <v>0</v>
      </c>
      <c r="P428" t="n">
        <v>0</v>
      </c>
      <c r="Q428" t="n">
        <v>0</v>
      </c>
      <c r="R428" t="n">
        <v>0</v>
      </c>
      <c r="S428" t="n">
        <v>1</v>
      </c>
      <c r="T428" t="n">
        <v>1</v>
      </c>
      <c r="U428" t="n">
        <v>1</v>
      </c>
      <c r="V428" s="2" t="inlineStr">
        <is>
          <t>Havstulpanlav</t>
        </is>
      </c>
      <c r="W428">
        <f>HYPERLINK("https://klasma.github.io/Logging_1273/artfynd/A 38643-2022 artfynd.xlsx", "A 38643-2022")</f>
        <v/>
      </c>
      <c r="X428">
        <f>HYPERLINK("https://klasma.github.io/Logging_1273/kartor/A 38643-2022 karta.png", "A 38643-2022")</f>
        <v/>
      </c>
      <c r="Y428">
        <f>HYPERLINK("https://klasma.github.io/Logging_1273/kartor_geotiff/A 38643-2022 georefererad karta.tif", "A 38643-2022")</f>
        <v/>
      </c>
      <c r="AA428">
        <f>HYPERLINK("https://klasma.github.io/Logging_1273/klagomål/A 38643-2022 FSC-klagomål.docx", "A 38643-2022")</f>
        <v/>
      </c>
      <c r="AB428">
        <f>HYPERLINK("https://klasma.github.io/Logging_1273/klagomålsmail/A 38643-2022 FSC-klagomål mail.docx", "A 38643-2022")</f>
        <v/>
      </c>
      <c r="AC428">
        <f>HYPERLINK("https://klasma.github.io/Logging_1273/tillsyn/A 38643-2022 tillsynsbegäran.docx", "A 38643-2022")</f>
        <v/>
      </c>
      <c r="AD428">
        <f>HYPERLINK("https://klasma.github.io/Logging_1273/tillsynsmail/A 38643-2022 tillsynsbegäran mail.docx", "A 38643-2022")</f>
        <v/>
      </c>
    </row>
    <row r="429" ht="15" customHeight="1">
      <c r="A429" t="inlineStr">
        <is>
          <t>A 29858-2022</t>
        </is>
      </c>
      <c r="B429" t="inlineStr">
        <is>
          <t>avverkningsanmälan</t>
        </is>
      </c>
      <c r="C429" t="inlineStr">
        <is>
          <t>Avverkning för att bevara och utveckla /försöksver</t>
        </is>
      </c>
      <c r="D429" s="1" t="n">
        <v>44756</v>
      </c>
      <c r="E429" s="1" t="n">
        <v>46312</v>
      </c>
      <c r="F429" t="inlineStr">
        <is>
          <t>SKÅNE LÄN</t>
        </is>
      </c>
      <c r="G429" t="inlineStr">
        <is>
          <t>YSTAD</t>
        </is>
      </c>
      <c r="I429" t="n">
        <v>0.5</v>
      </c>
      <c r="J429" t="n">
        <v>0</v>
      </c>
      <c r="K429" t="n">
        <v>0</v>
      </c>
      <c r="L429" t="n">
        <v>0</v>
      </c>
      <c r="M429" t="n">
        <v>1</v>
      </c>
      <c r="N429" t="n">
        <v>0</v>
      </c>
      <c r="O429" t="n">
        <v>0</v>
      </c>
      <c r="P429" t="n">
        <v>0</v>
      </c>
      <c r="Q429" t="n">
        <v>1</v>
      </c>
      <c r="R429" t="n">
        <v>1</v>
      </c>
      <c r="S429" t="n">
        <v>1</v>
      </c>
      <c r="T429" t="n">
        <v>1</v>
      </c>
      <c r="U429" t="n">
        <v>1</v>
      </c>
      <c r="V429" s="2" t="inlineStr">
        <is>
          <t>Igelkott</t>
        </is>
      </c>
      <c r="W429">
        <f>HYPERLINK("https://klasma.github.io/Logging_1286/artfynd/A 29858-2022 artfynd.xlsx", "A 29858-2022")</f>
        <v/>
      </c>
      <c r="X429">
        <f>HYPERLINK("https://klasma.github.io/Logging_1286/kartor/A 29858-2022 karta.png", "A 29858-2022")</f>
        <v/>
      </c>
      <c r="Y429">
        <f>HYPERLINK("https://klasma.github.io/Logging_1286/kartor_geotiff/A 29858-2022 georefererad karta.tif", "A 29858-2022")</f>
        <v/>
      </c>
      <c r="AA429">
        <f>HYPERLINK("https://klasma.github.io/Logging_1286/klagomål/A 29858-2022 FSC-klagomål.docx", "A 29858-2022")</f>
        <v/>
      </c>
      <c r="AB429">
        <f>HYPERLINK("https://klasma.github.io/Logging_1286/klagomålsmail/A 29858-2022 FSC-klagomål mail.docx", "A 29858-2022")</f>
        <v/>
      </c>
      <c r="AC429">
        <f>HYPERLINK("https://klasma.github.io/Logging_1286/tillsyn/A 29858-2022 tillsynsbegäran.docx", "A 29858-2022")</f>
        <v/>
      </c>
      <c r="AD429">
        <f>HYPERLINK("https://klasma.github.io/Logging_1286/tillsynsmail/A 29858-2022 tillsynsbegäran mail.docx", "A 29858-2022")</f>
        <v/>
      </c>
    </row>
    <row r="430" ht="15" customHeight="1">
      <c r="A430" t="inlineStr">
        <is>
          <t>A 8700-2022</t>
        </is>
      </c>
      <c r="B430" t="inlineStr">
        <is>
          <t>avverkningsanmälan</t>
        </is>
      </c>
      <c r="C430" t="inlineStr">
        <is>
          <t>Föryngringsavverkning</t>
        </is>
      </c>
      <c r="D430" s="1" t="n">
        <v>44613</v>
      </c>
      <c r="E430" s="1" t="n">
        <v>46312</v>
      </c>
      <c r="F430" t="inlineStr">
        <is>
          <t>SKÅNE LÄN</t>
        </is>
      </c>
      <c r="G430" t="inlineStr">
        <is>
          <t>TOMELILLA</t>
        </is>
      </c>
      <c r="H430" t="inlineStr">
        <is>
          <t>Övriga Aktiebolag</t>
        </is>
      </c>
      <c r="I430" t="n">
        <v>9.800000000000001</v>
      </c>
      <c r="J430" t="n">
        <v>1</v>
      </c>
      <c r="K430" t="n">
        <v>0</v>
      </c>
      <c r="L430" t="n">
        <v>0</v>
      </c>
      <c r="M430" t="n">
        <v>0</v>
      </c>
      <c r="N430" t="n">
        <v>0</v>
      </c>
      <c r="O430" t="n">
        <v>0</v>
      </c>
      <c r="P430" t="n">
        <v>0</v>
      </c>
      <c r="Q430" t="n">
        <v>0</v>
      </c>
      <c r="R430" t="n">
        <v>0</v>
      </c>
      <c r="S430" t="n">
        <v>1</v>
      </c>
      <c r="T430" t="n">
        <v>1</v>
      </c>
      <c r="U430" t="n">
        <v>0</v>
      </c>
      <c r="V430" s="2" t="inlineStr">
        <is>
          <t>Spillkråka</t>
        </is>
      </c>
      <c r="W430">
        <f>HYPERLINK("https://klasma.github.io/Logging_1270/artfynd/A 8700-2022 artfynd.xlsx", "A 8700-2022")</f>
        <v/>
      </c>
      <c r="X430">
        <f>HYPERLINK("https://klasma.github.io/Logging_1270/kartor/A 8700-2022 karta.png", "A 8700-2022")</f>
        <v/>
      </c>
      <c r="Y430">
        <f>HYPERLINK("https://klasma.github.io/Logging_1270/kartor_geotiff/A 8700-2022 georefererad karta.tif", "A 8700-2022")</f>
        <v/>
      </c>
      <c r="AA430">
        <f>HYPERLINK("https://klasma.github.io/Logging_1270/klagomål/A 8700-2022 FSC-klagomål.docx", "A 8700-2022")</f>
        <v/>
      </c>
      <c r="AB430">
        <f>HYPERLINK("https://klasma.github.io/Logging_1270/klagomålsmail/A 8700-2022 FSC-klagomål mail.docx", "A 8700-2022")</f>
        <v/>
      </c>
      <c r="AC430">
        <f>HYPERLINK("https://klasma.github.io/Logging_1270/tillsyn/A 8700-2022 tillsynsbegäran.docx", "A 8700-2022")</f>
        <v/>
      </c>
      <c r="AD430">
        <f>HYPERLINK("https://klasma.github.io/Logging_1270/tillsynsmail/A 8700-2022 tillsynsbegäran mail.docx", "A 8700-2022")</f>
        <v/>
      </c>
      <c r="AE430">
        <f>HYPERLINK("https://klasma.github.io/Logging_1270/fåglar/A 8700-2022 prioriterade fågelarter.docx", "A 8700-2022")</f>
        <v/>
      </c>
    </row>
    <row r="431" ht="15" customHeight="1">
      <c r="A431" t="inlineStr">
        <is>
          <t>A 23466-2022</t>
        </is>
      </c>
      <c r="B431" t="inlineStr">
        <is>
          <t>avverkningsanmälan</t>
        </is>
      </c>
      <c r="C431" t="inlineStr">
        <is>
          <t>Föryngringsavverkning</t>
        </is>
      </c>
      <c r="D431" s="1" t="n">
        <v>44721</v>
      </c>
      <c r="E431" s="1" t="n">
        <v>46312</v>
      </c>
      <c r="F431" t="inlineStr">
        <is>
          <t>SKÅNE LÄN</t>
        </is>
      </c>
      <c r="G431" t="inlineStr">
        <is>
          <t>TOMELILLA</t>
        </is>
      </c>
      <c r="H431" t="inlineStr">
        <is>
          <t>Övriga Aktiebolag</t>
        </is>
      </c>
      <c r="I431" t="n">
        <v>6.3</v>
      </c>
      <c r="J431" t="n">
        <v>0</v>
      </c>
      <c r="K431" t="n">
        <v>0</v>
      </c>
      <c r="L431" t="n">
        <v>1</v>
      </c>
      <c r="M431" t="n">
        <v>0</v>
      </c>
      <c r="N431" t="n">
        <v>0</v>
      </c>
      <c r="O431" t="n">
        <v>0</v>
      </c>
      <c r="P431" t="n">
        <v>0</v>
      </c>
      <c r="Q431" t="n">
        <v>1</v>
      </c>
      <c r="R431" t="n">
        <v>0</v>
      </c>
      <c r="S431" t="n">
        <v>1</v>
      </c>
      <c r="T431" t="n">
        <v>1</v>
      </c>
      <c r="U431" t="n">
        <v>1</v>
      </c>
      <c r="V431" s="2" t="inlineStr">
        <is>
          <t>Skogslysing</t>
        </is>
      </c>
      <c r="W431">
        <f>HYPERLINK("https://klasma.github.io/Logging_1270/artfynd/A 23466-2022 artfynd.xlsx", "A 23466-2022")</f>
        <v/>
      </c>
      <c r="X431">
        <f>HYPERLINK("https://klasma.github.io/Logging_1270/kartor/A 23466-2022 karta.png", "A 23466-2022")</f>
        <v/>
      </c>
      <c r="Y431">
        <f>HYPERLINK("https://klasma.github.io/Logging_1270/kartor_geotiff/A 23466-2022 georefererad karta.tif", "A 23466-2022")</f>
        <v/>
      </c>
      <c r="AA431">
        <f>HYPERLINK("https://klasma.github.io/Logging_1270/klagomål/A 23466-2022 FSC-klagomål.docx", "A 23466-2022")</f>
        <v/>
      </c>
      <c r="AB431">
        <f>HYPERLINK("https://klasma.github.io/Logging_1270/klagomålsmail/A 23466-2022 FSC-klagomål mail.docx", "A 23466-2022")</f>
        <v/>
      </c>
      <c r="AC431">
        <f>HYPERLINK("https://klasma.github.io/Logging_1270/tillsyn/A 23466-2022 tillsynsbegäran.docx", "A 23466-2022")</f>
        <v/>
      </c>
      <c r="AD431">
        <f>HYPERLINK("https://klasma.github.io/Logging_1270/tillsynsmail/A 23466-2022 tillsynsbegäran mail.docx", "A 23466-2022")</f>
        <v/>
      </c>
    </row>
    <row r="432" ht="15" customHeight="1">
      <c r="A432" t="inlineStr">
        <is>
          <t>A 47612-2022</t>
        </is>
      </c>
      <c r="B432" t="inlineStr">
        <is>
          <t>avverkningsanmälan</t>
        </is>
      </c>
      <c r="C432" t="inlineStr">
        <is>
          <t>Föryngringsavverkning</t>
        </is>
      </c>
      <c r="D432" s="1" t="n">
        <v>44852</v>
      </c>
      <c r="E432" s="1" t="n">
        <v>46312</v>
      </c>
      <c r="F432" t="inlineStr">
        <is>
          <t>SKÅNE LÄN</t>
        </is>
      </c>
      <c r="G432" t="inlineStr">
        <is>
          <t>OSBY</t>
        </is>
      </c>
      <c r="H432" t="inlineStr">
        <is>
          <t>Kyrkan</t>
        </is>
      </c>
      <c r="I432" t="n">
        <v>16.4</v>
      </c>
      <c r="J432" t="n">
        <v>1</v>
      </c>
      <c r="K432" t="n">
        <v>0</v>
      </c>
      <c r="L432" t="n">
        <v>0</v>
      </c>
      <c r="M432" t="n">
        <v>0</v>
      </c>
      <c r="N432" t="n">
        <v>0</v>
      </c>
      <c r="O432" t="n">
        <v>0</v>
      </c>
      <c r="P432" t="n">
        <v>0</v>
      </c>
      <c r="Q432" t="n">
        <v>0</v>
      </c>
      <c r="R432" t="n">
        <v>0</v>
      </c>
      <c r="S432" t="n">
        <v>1</v>
      </c>
      <c r="T432" t="n">
        <v>1</v>
      </c>
      <c r="U432" t="n">
        <v>1</v>
      </c>
      <c r="V432" s="2" t="inlineStr">
        <is>
          <t>Ärtsångare</t>
        </is>
      </c>
      <c r="W432">
        <f>HYPERLINK("https://klasma.github.io/Logging_1273/artfynd/A 47612-2022 artfynd.xlsx", "A 47612-2022")</f>
        <v/>
      </c>
      <c r="X432">
        <f>HYPERLINK("https://klasma.github.io/Logging_1273/kartor/A 47612-2022 karta.png", "A 47612-2022")</f>
        <v/>
      </c>
      <c r="Y432">
        <f>HYPERLINK("https://klasma.github.io/Logging_1273/kartor_geotiff/A 47612-2022 georefererad karta.tif", "A 47612-2022")</f>
        <v/>
      </c>
      <c r="AA432">
        <f>HYPERLINK("https://klasma.github.io/Logging_1273/klagomål/A 47612-2022 FSC-klagomål.docx", "A 47612-2022")</f>
        <v/>
      </c>
      <c r="AB432">
        <f>HYPERLINK("https://klasma.github.io/Logging_1273/klagomålsmail/A 47612-2022 FSC-klagomål mail.docx", "A 47612-2022")</f>
        <v/>
      </c>
      <c r="AC432">
        <f>HYPERLINK("https://klasma.github.io/Logging_1273/tillsyn/A 47612-2022 tillsynsbegäran.docx", "A 47612-2022")</f>
        <v/>
      </c>
      <c r="AD432">
        <f>HYPERLINK("https://klasma.github.io/Logging_1273/tillsynsmail/A 47612-2022 tillsynsbegäran mail.docx", "A 47612-2022")</f>
        <v/>
      </c>
    </row>
    <row r="433" ht="15" customHeight="1">
      <c r="A433" t="inlineStr">
        <is>
          <t>A 27327-2022</t>
        </is>
      </c>
      <c r="B433" t="inlineStr">
        <is>
          <t>avverkningsanmälan</t>
        </is>
      </c>
      <c r="C433" t="inlineStr">
        <is>
          <t>Föryngringsavverkning</t>
        </is>
      </c>
      <c r="D433" s="1" t="n">
        <v>44742</v>
      </c>
      <c r="E433" s="1" t="n">
        <v>46312</v>
      </c>
      <c r="F433" t="inlineStr">
        <is>
          <t>SKÅNE LÄN</t>
        </is>
      </c>
      <c r="G433" t="inlineStr">
        <is>
          <t>ÄNGELHOLM</t>
        </is>
      </c>
      <c r="I433" t="n">
        <v>0.6</v>
      </c>
      <c r="J433" t="n">
        <v>0</v>
      </c>
      <c r="K433" t="n">
        <v>0</v>
      </c>
      <c r="L433" t="n">
        <v>0</v>
      </c>
      <c r="M433" t="n">
        <v>1</v>
      </c>
      <c r="N433" t="n">
        <v>0</v>
      </c>
      <c r="O433" t="n">
        <v>0</v>
      </c>
      <c r="P433" t="n">
        <v>0</v>
      </c>
      <c r="Q433" t="n">
        <v>1</v>
      </c>
      <c r="R433" t="n">
        <v>1</v>
      </c>
      <c r="S433" t="n">
        <v>1</v>
      </c>
      <c r="T433" t="n">
        <v>1</v>
      </c>
      <c r="U433" t="n">
        <v>1</v>
      </c>
      <c r="V433" s="2" t="inlineStr">
        <is>
          <t>Småvänderot</t>
        </is>
      </c>
      <c r="W433">
        <f>HYPERLINK("https://klasma.github.io/Logging_1292/artfynd/A 27327-2022 artfynd.xlsx", "A 27327-2022")</f>
        <v/>
      </c>
      <c r="X433">
        <f>HYPERLINK("https://klasma.github.io/Logging_1292/kartor/A 27327-2022 karta.png", "A 27327-2022")</f>
        <v/>
      </c>
      <c r="Y433">
        <f>HYPERLINK("https://klasma.github.io/Logging_1292/kartor_geotiff/A 27327-2022 georefererad karta.tif", "A 27327-2022")</f>
        <v/>
      </c>
      <c r="AA433">
        <f>HYPERLINK("https://klasma.github.io/Logging_1292/klagomål/A 27327-2022 FSC-klagomål.docx", "A 27327-2022")</f>
        <v/>
      </c>
      <c r="AB433">
        <f>HYPERLINK("https://klasma.github.io/Logging_1292/klagomålsmail/A 27327-2022 FSC-klagomål mail.docx", "A 27327-2022")</f>
        <v/>
      </c>
      <c r="AC433">
        <f>HYPERLINK("https://klasma.github.io/Logging_1292/tillsyn/A 27327-2022 tillsynsbegäran.docx", "A 27327-2022")</f>
        <v/>
      </c>
      <c r="AD433">
        <f>HYPERLINK("https://klasma.github.io/Logging_1292/tillsynsmail/A 27327-2022 tillsynsbegäran mail.docx", "A 27327-2022")</f>
        <v/>
      </c>
    </row>
    <row r="434" ht="15" customHeight="1">
      <c r="A434" t="inlineStr">
        <is>
          <t>A 18939-2022</t>
        </is>
      </c>
      <c r="B434" t="inlineStr">
        <is>
          <t>avverkningsanmälan</t>
        </is>
      </c>
      <c r="C434" t="inlineStr">
        <is>
          <t>Föryngringsavverkning</t>
        </is>
      </c>
      <c r="D434" s="1" t="n">
        <v>44690</v>
      </c>
      <c r="E434" s="1" t="n">
        <v>46312</v>
      </c>
      <c r="F434" t="inlineStr">
        <is>
          <t>SKÅNE LÄN</t>
        </is>
      </c>
      <c r="G434" t="inlineStr">
        <is>
          <t>HÖÖR</t>
        </is>
      </c>
      <c r="I434" t="n">
        <v>1.5</v>
      </c>
      <c r="J434" t="n">
        <v>0</v>
      </c>
      <c r="K434" t="n">
        <v>1</v>
      </c>
      <c r="L434" t="n">
        <v>0</v>
      </c>
      <c r="M434" t="n">
        <v>0</v>
      </c>
      <c r="N434" t="n">
        <v>0</v>
      </c>
      <c r="O434" t="n">
        <v>0</v>
      </c>
      <c r="P434" t="n">
        <v>0</v>
      </c>
      <c r="Q434" t="n">
        <v>0</v>
      </c>
      <c r="R434" t="n">
        <v>0</v>
      </c>
      <c r="S434" t="n">
        <v>1</v>
      </c>
      <c r="T434" t="n">
        <v>1</v>
      </c>
      <c r="U434" t="n">
        <v>0</v>
      </c>
      <c r="V434" s="2" t="inlineStr">
        <is>
          <t>Vätteros</t>
        </is>
      </c>
      <c r="W434">
        <f>HYPERLINK("https://klasma.github.io/Logging_1267/artfynd/A 18939-2022 artfynd.xlsx", "A 18939-2022")</f>
        <v/>
      </c>
      <c r="X434">
        <f>HYPERLINK("https://klasma.github.io/Logging_1267/kartor/A 18939-2022 karta.png", "A 18939-2022")</f>
        <v/>
      </c>
      <c r="Y434">
        <f>HYPERLINK("https://klasma.github.io/Logging_1267/kartor_geotiff/A 18939-2022 georefererad karta.tif", "A 18939-2022")</f>
        <v/>
      </c>
      <c r="AA434">
        <f>HYPERLINK("https://klasma.github.io/Logging_1267/klagomål/A 18939-2022 FSC-klagomål.docx", "A 18939-2022")</f>
        <v/>
      </c>
      <c r="AB434">
        <f>HYPERLINK("https://klasma.github.io/Logging_1267/klagomålsmail/A 18939-2022 FSC-klagomål mail.docx", "A 18939-2022")</f>
        <v/>
      </c>
      <c r="AC434">
        <f>HYPERLINK("https://klasma.github.io/Logging_1267/tillsyn/A 18939-2022 tillsynsbegäran.docx", "A 18939-2022")</f>
        <v/>
      </c>
      <c r="AD434">
        <f>HYPERLINK("https://klasma.github.io/Logging_1267/tillsynsmail/A 18939-2022 tillsynsbegäran mail.docx", "A 18939-2022")</f>
        <v/>
      </c>
    </row>
    <row r="435" ht="15" customHeight="1">
      <c r="A435" t="inlineStr">
        <is>
          <t>A 28265-2022</t>
        </is>
      </c>
      <c r="B435" t="inlineStr">
        <is>
          <t>avverkningsanmälan</t>
        </is>
      </c>
      <c r="C435" t="inlineStr">
        <is>
          <t>Föryngringsavverkning</t>
        </is>
      </c>
      <c r="D435" s="1" t="n">
        <v>44746</v>
      </c>
      <c r="E435" s="1" t="n">
        <v>46312</v>
      </c>
      <c r="F435" t="inlineStr">
        <is>
          <t>SKÅNE LÄN</t>
        </is>
      </c>
      <c r="G435" t="inlineStr">
        <is>
          <t>ÄNGELHOLM</t>
        </is>
      </c>
      <c r="I435" t="n">
        <v>3.3</v>
      </c>
      <c r="J435" t="n">
        <v>1</v>
      </c>
      <c r="K435" t="n">
        <v>0</v>
      </c>
      <c r="L435" t="n">
        <v>0</v>
      </c>
      <c r="M435" t="n">
        <v>0</v>
      </c>
      <c r="N435" t="n">
        <v>0</v>
      </c>
      <c r="O435" t="n">
        <v>0</v>
      </c>
      <c r="P435" t="n">
        <v>0</v>
      </c>
      <c r="Q435" t="n">
        <v>0</v>
      </c>
      <c r="R435" t="n">
        <v>0</v>
      </c>
      <c r="S435" t="n">
        <v>1</v>
      </c>
      <c r="T435" t="n">
        <v>1</v>
      </c>
      <c r="U435" t="n">
        <v>1</v>
      </c>
      <c r="V435" s="2" t="inlineStr">
        <is>
          <t>Havsörn</t>
        </is>
      </c>
      <c r="W435">
        <f>HYPERLINK("https://klasma.github.io/Logging_1292/artfynd/A 28265-2022 artfynd.xlsx", "A 28265-2022")</f>
        <v/>
      </c>
      <c r="X435">
        <f>HYPERLINK("https://klasma.github.io/Logging_1292/kartor/A 28265-2022 karta.png", "A 28265-2022")</f>
        <v/>
      </c>
      <c r="Y435">
        <f>HYPERLINK("https://klasma.github.io/Logging_1292/kartor_geotiff/A 28265-2022 georefererad karta.tif", "A 28265-2022")</f>
        <v/>
      </c>
      <c r="AA435">
        <f>HYPERLINK("https://klasma.github.io/Logging_1292/klagomål/A 28265-2022 FSC-klagomål.docx", "A 28265-2022")</f>
        <v/>
      </c>
      <c r="AB435">
        <f>HYPERLINK("https://klasma.github.io/Logging_1292/klagomålsmail/A 28265-2022 FSC-klagomål mail.docx", "A 28265-2022")</f>
        <v/>
      </c>
      <c r="AC435">
        <f>HYPERLINK("https://klasma.github.io/Logging_1292/tillsyn/A 28265-2022 tillsynsbegäran.docx", "A 28265-2022")</f>
        <v/>
      </c>
      <c r="AD435">
        <f>HYPERLINK("https://klasma.github.io/Logging_1292/tillsynsmail/A 28265-2022 tillsynsbegäran mail.docx", "A 28265-2022")</f>
        <v/>
      </c>
      <c r="AE435">
        <f>HYPERLINK("https://klasma.github.io/Logging_1292/fåglar/A 28265-2022 prioriterade fågelarter.docx", "A 28265-2022")</f>
        <v/>
      </c>
    </row>
    <row r="436" ht="15" customHeight="1">
      <c r="A436" t="inlineStr">
        <is>
          <t>A 3276-2022</t>
        </is>
      </c>
      <c r="B436" t="inlineStr">
        <is>
          <t>avverkningsanmälan</t>
        </is>
      </c>
      <c r="C436" t="inlineStr">
        <is>
          <t>Avverkning för annat ändamål</t>
        </is>
      </c>
      <c r="D436" s="1" t="n">
        <v>44584</v>
      </c>
      <c r="E436" s="1" t="n">
        <v>46312</v>
      </c>
      <c r="F436" t="inlineStr">
        <is>
          <t>SKÅNE LÄN</t>
        </is>
      </c>
      <c r="G436" t="inlineStr">
        <is>
          <t>HÄSSLEHOLM</t>
        </is>
      </c>
      <c r="I436" t="n">
        <v>0.2</v>
      </c>
      <c r="J436" t="n">
        <v>0</v>
      </c>
      <c r="K436" t="n">
        <v>0</v>
      </c>
      <c r="L436" t="n">
        <v>1</v>
      </c>
      <c r="M436" t="n">
        <v>0</v>
      </c>
      <c r="N436" t="n">
        <v>0</v>
      </c>
      <c r="O436" t="n">
        <v>0</v>
      </c>
      <c r="P436" t="n">
        <v>0</v>
      </c>
      <c r="Q436" t="n">
        <v>1</v>
      </c>
      <c r="R436" t="n">
        <v>0</v>
      </c>
      <c r="S436" t="n">
        <v>1</v>
      </c>
      <c r="T436" t="n">
        <v>1</v>
      </c>
      <c r="U436" t="n">
        <v>0</v>
      </c>
      <c r="V436" s="2" t="inlineStr">
        <is>
          <t>Svinrot</t>
        </is>
      </c>
      <c r="W436">
        <f>HYPERLINK("https://klasma.github.io/Logging_1293/artfynd/A 3276-2022 artfynd.xlsx", "A 3276-2022")</f>
        <v/>
      </c>
      <c r="X436">
        <f>HYPERLINK("https://klasma.github.io/Logging_1293/kartor/A 3276-2022 karta.png", "A 3276-2022")</f>
        <v/>
      </c>
      <c r="Y436">
        <f>HYPERLINK("https://klasma.github.io/Logging_1293/kartor_geotiff/A 3276-2022 georefererad karta.tif", "A 3276-2022")</f>
        <v/>
      </c>
      <c r="AA436">
        <f>HYPERLINK("https://klasma.github.io/Logging_1293/klagomål/A 3276-2022 FSC-klagomål.docx", "A 3276-2022")</f>
        <v/>
      </c>
      <c r="AB436">
        <f>HYPERLINK("https://klasma.github.io/Logging_1293/klagomålsmail/A 3276-2022 FSC-klagomål mail.docx", "A 3276-2022")</f>
        <v/>
      </c>
      <c r="AC436">
        <f>HYPERLINK("https://klasma.github.io/Logging_1293/tillsyn/A 3276-2022 tillsynsbegäran.docx", "A 3276-2022")</f>
        <v/>
      </c>
      <c r="AD436">
        <f>HYPERLINK("https://klasma.github.io/Logging_1293/tillsynsmail/A 3276-2022 tillsynsbegäran mail.docx", "A 3276-2022")</f>
        <v/>
      </c>
    </row>
    <row r="437" ht="15" customHeight="1">
      <c r="A437" t="inlineStr">
        <is>
          <t>A 65473-2021</t>
        </is>
      </c>
      <c r="B437" t="inlineStr">
        <is>
          <t>avverkningsanmälan</t>
        </is>
      </c>
      <c r="C437" t="inlineStr">
        <is>
          <t>Föryngringsavverkning</t>
        </is>
      </c>
      <c r="D437" s="1" t="n">
        <v>44516</v>
      </c>
      <c r="E437" s="1" t="n">
        <v>46312</v>
      </c>
      <c r="F437" t="inlineStr">
        <is>
          <t>SKÅNE LÄN</t>
        </is>
      </c>
      <c r="G437" t="inlineStr">
        <is>
          <t>ÖRKELLJUNGA</t>
        </is>
      </c>
      <c r="I437" t="n">
        <v>0.5</v>
      </c>
      <c r="J437" t="n">
        <v>0</v>
      </c>
      <c r="K437" t="n">
        <v>1</v>
      </c>
      <c r="L437" t="n">
        <v>0</v>
      </c>
      <c r="M437" t="n">
        <v>0</v>
      </c>
      <c r="N437" t="n">
        <v>0</v>
      </c>
      <c r="O437" t="n">
        <v>0</v>
      </c>
      <c r="P437" t="n">
        <v>0</v>
      </c>
      <c r="Q437" t="n">
        <v>0</v>
      </c>
      <c r="R437" t="n">
        <v>0</v>
      </c>
      <c r="S437" t="n">
        <v>1</v>
      </c>
      <c r="T437" t="n">
        <v>1</v>
      </c>
      <c r="U437" t="n">
        <v>1</v>
      </c>
      <c r="V437" s="2" t="inlineStr">
        <is>
          <t>Blåmossa</t>
        </is>
      </c>
      <c r="W437">
        <f>HYPERLINK("https://klasma.github.io/Logging_1257/artfynd/A 65473-2021 artfynd.xlsx", "A 65473-2021")</f>
        <v/>
      </c>
      <c r="X437">
        <f>HYPERLINK("https://klasma.github.io/Logging_1257/kartor/A 65473-2021 karta.png", "A 65473-2021")</f>
        <v/>
      </c>
      <c r="Y437">
        <f>HYPERLINK("https://klasma.github.io/Logging_1257/kartor_geotiff/A 65473-2021 georefererad karta.tif", "A 65473-2021")</f>
        <v/>
      </c>
      <c r="AA437">
        <f>HYPERLINK("https://klasma.github.io/Logging_1257/klagomål/A 65473-2021 FSC-klagomål.docx", "A 65473-2021")</f>
        <v/>
      </c>
      <c r="AB437">
        <f>HYPERLINK("https://klasma.github.io/Logging_1257/klagomålsmail/A 65473-2021 FSC-klagomål mail.docx", "A 65473-2021")</f>
        <v/>
      </c>
      <c r="AC437">
        <f>HYPERLINK("https://klasma.github.io/Logging_1257/tillsyn/A 65473-2021 tillsynsbegäran.docx", "A 65473-2021")</f>
        <v/>
      </c>
      <c r="AD437">
        <f>HYPERLINK("https://klasma.github.io/Logging_1257/tillsynsmail/A 65473-2021 tillsynsbegäran mail.docx", "A 65473-2021")</f>
        <v/>
      </c>
    </row>
    <row r="438" ht="15" customHeight="1">
      <c r="A438" t="inlineStr">
        <is>
          <t>A 2697-2022</t>
        </is>
      </c>
      <c r="B438" t="inlineStr">
        <is>
          <t>avverkningsanmälan</t>
        </is>
      </c>
      <c r="C438" t="inlineStr">
        <is>
          <t>Föryngringsavverkning</t>
        </is>
      </c>
      <c r="D438" s="1" t="n">
        <v>44580</v>
      </c>
      <c r="E438" s="1" t="n">
        <v>46312</v>
      </c>
      <c r="F438" t="inlineStr">
        <is>
          <t>SKÅNE LÄN</t>
        </is>
      </c>
      <c r="G438" t="inlineStr">
        <is>
          <t>ÖSTRA GÖINGE</t>
        </is>
      </c>
      <c r="I438" t="n">
        <v>1.3</v>
      </c>
      <c r="J438" t="n">
        <v>1</v>
      </c>
      <c r="K438" t="n">
        <v>0</v>
      </c>
      <c r="L438" t="n">
        <v>1</v>
      </c>
      <c r="M438" t="n">
        <v>0</v>
      </c>
      <c r="N438" t="n">
        <v>0</v>
      </c>
      <c r="O438" t="n">
        <v>0</v>
      </c>
      <c r="P438" t="n">
        <v>0</v>
      </c>
      <c r="Q438" t="n">
        <v>1</v>
      </c>
      <c r="R438" t="n">
        <v>0</v>
      </c>
      <c r="S438" t="n">
        <v>1</v>
      </c>
      <c r="T438" t="n">
        <v>1</v>
      </c>
      <c r="U438" t="n">
        <v>1</v>
      </c>
      <c r="V438" s="2" t="inlineStr">
        <is>
          <t>Grönsångare</t>
        </is>
      </c>
      <c r="W438">
        <f>HYPERLINK("https://klasma.github.io/Logging_1256/artfynd/A 2697-2022 artfynd.xlsx", "A 2697-2022")</f>
        <v/>
      </c>
      <c r="X438">
        <f>HYPERLINK("https://klasma.github.io/Logging_1256/kartor/A 2697-2022 karta.png", "A 2697-2022")</f>
        <v/>
      </c>
      <c r="Y438">
        <f>HYPERLINK("https://klasma.github.io/Logging_1256/kartor_geotiff/A 2697-2022 georefererad karta.tif", "A 2697-2022")</f>
        <v/>
      </c>
      <c r="AA438">
        <f>HYPERLINK("https://klasma.github.io/Logging_1256/klagomål/A 2697-2022 FSC-klagomål.docx", "A 2697-2022")</f>
        <v/>
      </c>
      <c r="AB438">
        <f>HYPERLINK("https://klasma.github.io/Logging_1256/klagomålsmail/A 2697-2022 FSC-klagomål mail.docx", "A 2697-2022")</f>
        <v/>
      </c>
      <c r="AC438">
        <f>HYPERLINK("https://klasma.github.io/Logging_1256/tillsyn/A 2697-2022 tillsynsbegäran.docx", "A 2697-2022")</f>
        <v/>
      </c>
      <c r="AD438">
        <f>HYPERLINK("https://klasma.github.io/Logging_1256/tillsynsmail/A 2697-2022 tillsynsbegäran mail.docx", "A 2697-2022")</f>
        <v/>
      </c>
      <c r="AE438">
        <f>HYPERLINK("https://klasma.github.io/Logging_1256/fåglar/A 2697-2022 prioriterade fågelarter.docx", "A 2697-2022")</f>
        <v/>
      </c>
    </row>
    <row r="439" ht="15" customHeight="1">
      <c r="A439" t="inlineStr">
        <is>
          <t>A 2063-2022</t>
        </is>
      </c>
      <c r="B439" t="inlineStr">
        <is>
          <t>avverkningsanmälan</t>
        </is>
      </c>
      <c r="C439" t="inlineStr">
        <is>
          <t>Föryngringsavverkning</t>
        </is>
      </c>
      <c r="D439" s="1" t="n">
        <v>44575</v>
      </c>
      <c r="E439" s="1" t="n">
        <v>46312</v>
      </c>
      <c r="F439" t="inlineStr">
        <is>
          <t>SKÅNE LÄN</t>
        </is>
      </c>
      <c r="G439" t="inlineStr">
        <is>
          <t>ÖSTRA GÖINGE</t>
        </is>
      </c>
      <c r="I439" t="n">
        <v>1.5</v>
      </c>
      <c r="J439" t="n">
        <v>0</v>
      </c>
      <c r="K439" t="n">
        <v>1</v>
      </c>
      <c r="L439" t="n">
        <v>0</v>
      </c>
      <c r="M439" t="n">
        <v>0</v>
      </c>
      <c r="N439" t="n">
        <v>0</v>
      </c>
      <c r="O439" t="n">
        <v>0</v>
      </c>
      <c r="P439" t="n">
        <v>0</v>
      </c>
      <c r="Q439" t="n">
        <v>0</v>
      </c>
      <c r="R439" t="n">
        <v>0</v>
      </c>
      <c r="S439" t="n">
        <v>1</v>
      </c>
      <c r="T439" t="n">
        <v>1</v>
      </c>
      <c r="U439" t="n">
        <v>0</v>
      </c>
      <c r="V439" s="2" t="inlineStr">
        <is>
          <t>Safsa</t>
        </is>
      </c>
      <c r="W439">
        <f>HYPERLINK("https://klasma.github.io/Logging_1256/artfynd/A 2063-2022 artfynd.xlsx", "A 2063-2022")</f>
        <v/>
      </c>
      <c r="X439">
        <f>HYPERLINK("https://klasma.github.io/Logging_1256/kartor/A 2063-2022 karta.png", "A 2063-2022")</f>
        <v/>
      </c>
      <c r="Y439">
        <f>HYPERLINK("https://klasma.github.io/Logging_1256/kartor_geotiff/A 2063-2022 georefererad karta.tif", "A 2063-2022")</f>
        <v/>
      </c>
      <c r="AA439">
        <f>HYPERLINK("https://klasma.github.io/Logging_1256/klagomål/A 2063-2022 FSC-klagomål.docx", "A 2063-2022")</f>
        <v/>
      </c>
      <c r="AB439">
        <f>HYPERLINK("https://klasma.github.io/Logging_1256/klagomålsmail/A 2063-2022 FSC-klagomål mail.docx", "A 2063-2022")</f>
        <v/>
      </c>
      <c r="AC439">
        <f>HYPERLINK("https://klasma.github.io/Logging_1256/tillsyn/A 2063-2022 tillsynsbegäran.docx", "A 2063-2022")</f>
        <v/>
      </c>
      <c r="AD439">
        <f>HYPERLINK("https://klasma.github.io/Logging_1256/tillsynsmail/A 2063-2022 tillsynsbegäran mail.docx", "A 2063-2022")</f>
        <v/>
      </c>
    </row>
    <row r="440" ht="15" customHeight="1">
      <c r="A440" t="inlineStr">
        <is>
          <t>A 18464-2022</t>
        </is>
      </c>
      <c r="B440" t="inlineStr">
        <is>
          <t>avverkningsanmälan</t>
        </is>
      </c>
      <c r="C440" t="inlineStr">
        <is>
          <t>Föryngringsavverkning</t>
        </is>
      </c>
      <c r="D440" s="1" t="n">
        <v>44686</v>
      </c>
      <c r="E440" s="1" t="n">
        <v>46312</v>
      </c>
      <c r="F440" t="inlineStr">
        <is>
          <t>SKÅNE LÄN</t>
        </is>
      </c>
      <c r="G440" t="inlineStr">
        <is>
          <t>SVEDALA</t>
        </is>
      </c>
      <c r="I440" t="n">
        <v>1.5</v>
      </c>
      <c r="J440" t="n">
        <v>1</v>
      </c>
      <c r="K440" t="n">
        <v>0</v>
      </c>
      <c r="L440" t="n">
        <v>0</v>
      </c>
      <c r="M440" t="n">
        <v>0</v>
      </c>
      <c r="N440" t="n">
        <v>0</v>
      </c>
      <c r="O440" t="n">
        <v>0</v>
      </c>
      <c r="P440" t="n">
        <v>0</v>
      </c>
      <c r="Q440" t="n">
        <v>0</v>
      </c>
      <c r="R440" t="n">
        <v>0</v>
      </c>
      <c r="S440" t="n">
        <v>1</v>
      </c>
      <c r="T440" t="n">
        <v>1</v>
      </c>
      <c r="U440" t="n">
        <v>0</v>
      </c>
      <c r="V440" s="2" t="inlineStr">
        <is>
          <t>Vanlig groda</t>
        </is>
      </c>
      <c r="W440">
        <f>HYPERLINK("https://klasma.github.io/Logging_1263/artfynd/A 18464-2022 artfynd.xlsx", "A 18464-2022")</f>
        <v/>
      </c>
      <c r="X440">
        <f>HYPERLINK("https://klasma.github.io/Logging_1263/kartor/A 18464-2022 karta.png", "A 18464-2022")</f>
        <v/>
      </c>
      <c r="Y440">
        <f>HYPERLINK("https://klasma.github.io/Logging_1263/kartor_geotiff/A 18464-2022 georefererad karta.tif", "A 18464-2022")</f>
        <v/>
      </c>
      <c r="AA440">
        <f>HYPERLINK("https://klasma.github.io/Logging_1263/klagomål/A 18464-2022 FSC-klagomål.docx", "A 18464-2022")</f>
        <v/>
      </c>
      <c r="AB440">
        <f>HYPERLINK("https://klasma.github.io/Logging_1263/klagomålsmail/A 18464-2022 FSC-klagomål mail.docx", "A 18464-2022")</f>
        <v/>
      </c>
      <c r="AC440">
        <f>HYPERLINK("https://klasma.github.io/Logging_1263/tillsyn/A 18464-2022 tillsynsbegäran.docx", "A 18464-2022")</f>
        <v/>
      </c>
      <c r="AD440">
        <f>HYPERLINK("https://klasma.github.io/Logging_1263/tillsynsmail/A 18464-2022 tillsynsbegäran mail.docx", "A 18464-2022")</f>
        <v/>
      </c>
    </row>
    <row r="441" ht="15" customHeight="1">
      <c r="A441" t="inlineStr">
        <is>
          <t>A 15423-2022</t>
        </is>
      </c>
      <c r="B441" t="inlineStr">
        <is>
          <t>avverkningsanmälan</t>
        </is>
      </c>
      <c r="C441" t="inlineStr">
        <is>
          <t>Föryngringsavverkning</t>
        </is>
      </c>
      <c r="D441" s="1" t="n">
        <v>44659</v>
      </c>
      <c r="E441" s="1" t="n">
        <v>46312</v>
      </c>
      <c r="F441" t="inlineStr">
        <is>
          <t>SKÅNE LÄN</t>
        </is>
      </c>
      <c r="G441" t="inlineStr">
        <is>
          <t>HÄSSLEHOLM</t>
        </is>
      </c>
      <c r="H441" t="inlineStr">
        <is>
          <t>Kyrkan</t>
        </is>
      </c>
      <c r="I441" t="n">
        <v>0.9</v>
      </c>
      <c r="J441" t="n">
        <v>1</v>
      </c>
      <c r="K441" t="n">
        <v>0</v>
      </c>
      <c r="L441" t="n">
        <v>0</v>
      </c>
      <c r="M441" t="n">
        <v>0</v>
      </c>
      <c r="N441" t="n">
        <v>0</v>
      </c>
      <c r="O441" t="n">
        <v>0</v>
      </c>
      <c r="P441" t="n">
        <v>0</v>
      </c>
      <c r="Q441" t="n">
        <v>0</v>
      </c>
      <c r="R441" t="n">
        <v>0</v>
      </c>
      <c r="S441" t="n">
        <v>1</v>
      </c>
      <c r="T441" t="n">
        <v>1</v>
      </c>
      <c r="U441" t="n">
        <v>1</v>
      </c>
      <c r="V441" s="2" t="inlineStr">
        <is>
          <t>Revlummer</t>
        </is>
      </c>
      <c r="W441">
        <f>HYPERLINK("https://klasma.github.io/Logging_1293/artfynd/A 15423-2022 artfynd.xlsx", "A 15423-2022")</f>
        <v/>
      </c>
      <c r="X441">
        <f>HYPERLINK("https://klasma.github.io/Logging_1293/kartor/A 15423-2022 karta.png", "A 15423-2022")</f>
        <v/>
      </c>
      <c r="Y441">
        <f>HYPERLINK("https://klasma.github.io/Logging_1293/kartor_geotiff/A 15423-2022 georefererad karta.tif", "A 15423-2022")</f>
        <v/>
      </c>
      <c r="AA441">
        <f>HYPERLINK("https://klasma.github.io/Logging_1293/klagomål/A 15423-2022 FSC-klagomål.docx", "A 15423-2022")</f>
        <v/>
      </c>
      <c r="AB441">
        <f>HYPERLINK("https://klasma.github.io/Logging_1293/klagomålsmail/A 15423-2022 FSC-klagomål mail.docx", "A 15423-2022")</f>
        <v/>
      </c>
      <c r="AC441">
        <f>HYPERLINK("https://klasma.github.io/Logging_1293/tillsyn/A 15423-2022 tillsynsbegäran.docx", "A 15423-2022")</f>
        <v/>
      </c>
      <c r="AD441">
        <f>HYPERLINK("https://klasma.github.io/Logging_1293/tillsynsmail/A 15423-2022 tillsynsbegäran mail.docx", "A 15423-2022")</f>
        <v/>
      </c>
    </row>
    <row r="442" ht="15" customHeight="1">
      <c r="A442" t="inlineStr">
        <is>
          <t>A 13705-2022</t>
        </is>
      </c>
      <c r="B442" t="inlineStr">
        <is>
          <t>avverkningsanmälan</t>
        </is>
      </c>
      <c r="C442" t="inlineStr">
        <is>
          <t>Föryngringsavverkning</t>
        </is>
      </c>
      <c r="D442" s="1" t="n">
        <v>44648</v>
      </c>
      <c r="E442" s="1" t="n">
        <v>46312</v>
      </c>
      <c r="F442" t="inlineStr">
        <is>
          <t>SKÅNE LÄN</t>
        </is>
      </c>
      <c r="G442" t="inlineStr">
        <is>
          <t>HÄSSLEHOLM</t>
        </is>
      </c>
      <c r="I442" t="n">
        <v>1.5</v>
      </c>
      <c r="J442" t="n">
        <v>1</v>
      </c>
      <c r="K442" t="n">
        <v>0</v>
      </c>
      <c r="L442" t="n">
        <v>0</v>
      </c>
      <c r="M442" t="n">
        <v>0</v>
      </c>
      <c r="N442" t="n">
        <v>0</v>
      </c>
      <c r="O442" t="n">
        <v>0</v>
      </c>
      <c r="P442" t="n">
        <v>0</v>
      </c>
      <c r="Q442" t="n">
        <v>0</v>
      </c>
      <c r="R442" t="n">
        <v>0</v>
      </c>
      <c r="S442" t="n">
        <v>1</v>
      </c>
      <c r="T442" t="n">
        <v>1</v>
      </c>
      <c r="U442" t="n">
        <v>0</v>
      </c>
      <c r="V442" s="2" t="inlineStr">
        <is>
          <t>Grönvit nattviol</t>
        </is>
      </c>
      <c r="W442">
        <f>HYPERLINK("https://klasma.github.io/Logging_1293/artfynd/A 13705-2022 artfynd.xlsx", "A 13705-2022")</f>
        <v/>
      </c>
      <c r="X442">
        <f>HYPERLINK("https://klasma.github.io/Logging_1293/kartor/A 13705-2022 karta.png", "A 13705-2022")</f>
        <v/>
      </c>
      <c r="Y442">
        <f>HYPERLINK("https://klasma.github.io/Logging_1293/kartor_geotiff/A 13705-2022 georefererad karta.tif", "A 13705-2022")</f>
        <v/>
      </c>
      <c r="AA442">
        <f>HYPERLINK("https://klasma.github.io/Logging_1293/klagomål/A 13705-2022 FSC-klagomål.docx", "A 13705-2022")</f>
        <v/>
      </c>
      <c r="AB442">
        <f>HYPERLINK("https://klasma.github.io/Logging_1293/klagomålsmail/A 13705-2022 FSC-klagomål mail.docx", "A 13705-2022")</f>
        <v/>
      </c>
      <c r="AC442">
        <f>HYPERLINK("https://klasma.github.io/Logging_1293/tillsyn/A 13705-2022 tillsynsbegäran.docx", "A 13705-2022")</f>
        <v/>
      </c>
      <c r="AD442">
        <f>HYPERLINK("https://klasma.github.io/Logging_1293/tillsynsmail/A 13705-2022 tillsynsbegäran mail.docx", "A 13705-2022")</f>
        <v/>
      </c>
    </row>
    <row r="443" ht="15" customHeight="1">
      <c r="A443" t="inlineStr">
        <is>
          <t>A 25834-2022</t>
        </is>
      </c>
      <c r="B443" t="inlineStr">
        <is>
          <t>avverkningsanmälan</t>
        </is>
      </c>
      <c r="C443" t="inlineStr">
        <is>
          <t>Föryngringsavverkning</t>
        </is>
      </c>
      <c r="D443" s="1" t="n">
        <v>44733</v>
      </c>
      <c r="E443" s="1" t="n">
        <v>46312</v>
      </c>
      <c r="F443" t="inlineStr">
        <is>
          <t>SKÅNE LÄN</t>
        </is>
      </c>
      <c r="G443" t="inlineStr">
        <is>
          <t>SIMRISHAMN</t>
        </is>
      </c>
      <c r="I443" t="n">
        <v>0.6</v>
      </c>
      <c r="J443" t="n">
        <v>1</v>
      </c>
      <c r="K443" t="n">
        <v>0</v>
      </c>
      <c r="L443" t="n">
        <v>0</v>
      </c>
      <c r="M443" t="n">
        <v>0</v>
      </c>
      <c r="N443" t="n">
        <v>0</v>
      </c>
      <c r="O443" t="n">
        <v>0</v>
      </c>
      <c r="P443" t="n">
        <v>0</v>
      </c>
      <c r="Q443" t="n">
        <v>0</v>
      </c>
      <c r="R443" t="n">
        <v>0</v>
      </c>
      <c r="S443" t="n">
        <v>1</v>
      </c>
      <c r="T443" t="n">
        <v>2</v>
      </c>
      <c r="U443" t="n">
        <v>0</v>
      </c>
      <c r="V443" s="2" t="inlineStr">
        <is>
          <t>Hasselmus</t>
        </is>
      </c>
      <c r="W443">
        <f>HYPERLINK("https://klasma.github.io/Logging_1291/artfynd/A 25834-2022 artfynd.xlsx", "A 25834-2022")</f>
        <v/>
      </c>
      <c r="X443">
        <f>HYPERLINK("https://klasma.github.io/Logging_1291/kartor/A 25834-2022 karta.png", "A 25834-2022")</f>
        <v/>
      </c>
      <c r="Y443">
        <f>HYPERLINK("https://klasma.github.io/Logging_1291/kartor_geotiff/A 25834-2022 georefererad karta.tif", "A 25834-2022")</f>
        <v/>
      </c>
      <c r="AA443">
        <f>HYPERLINK("https://klasma.github.io/Logging_1291/klagomål/A 25834-2022 FSC-klagomål.docx", "A 25834-2022")</f>
        <v/>
      </c>
      <c r="AB443">
        <f>HYPERLINK("https://klasma.github.io/Logging_1291/klagomålsmail/A 25834-2022 FSC-klagomål mail.docx", "A 25834-2022")</f>
        <v/>
      </c>
      <c r="AC443">
        <f>HYPERLINK("https://klasma.github.io/Logging_1291/tillsyn/A 25834-2022 tillsynsbegäran.docx", "A 25834-2022")</f>
        <v/>
      </c>
      <c r="AD443">
        <f>HYPERLINK("https://klasma.github.io/Logging_1291/tillsynsmail/A 25834-2022 tillsynsbegäran mail.docx", "A 25834-2022")</f>
        <v/>
      </c>
    </row>
    <row r="444" ht="15" customHeight="1">
      <c r="A444" t="inlineStr">
        <is>
          <t>A 27107-2022</t>
        </is>
      </c>
      <c r="B444" t="inlineStr">
        <is>
          <t>avverkningsanmälan</t>
        </is>
      </c>
      <c r="C444" t="inlineStr">
        <is>
          <t>Föryngringsavverkning</t>
        </is>
      </c>
      <c r="D444" s="1" t="n">
        <v>44741</v>
      </c>
      <c r="E444" s="1" t="n">
        <v>46312</v>
      </c>
      <c r="F444" t="inlineStr">
        <is>
          <t>SKÅNE LÄN</t>
        </is>
      </c>
      <c r="G444" t="inlineStr">
        <is>
          <t>SVEDALA</t>
        </is>
      </c>
      <c r="I444" t="n">
        <v>10</v>
      </c>
      <c r="J444" t="n">
        <v>1</v>
      </c>
      <c r="K444" t="n">
        <v>0</v>
      </c>
      <c r="L444" t="n">
        <v>0</v>
      </c>
      <c r="M444" t="n">
        <v>0</v>
      </c>
      <c r="N444" t="n">
        <v>0</v>
      </c>
      <c r="O444" t="n">
        <v>0</v>
      </c>
      <c r="P444" t="n">
        <v>0</v>
      </c>
      <c r="Q444" t="n">
        <v>0</v>
      </c>
      <c r="R444" t="n">
        <v>0</v>
      </c>
      <c r="S444" t="n">
        <v>1</v>
      </c>
      <c r="T444" t="n">
        <v>1</v>
      </c>
      <c r="U444" t="n">
        <v>1</v>
      </c>
      <c r="V444" s="2" t="inlineStr">
        <is>
          <t>Kungsfågel</t>
        </is>
      </c>
      <c r="W444">
        <f>HYPERLINK("https://klasma.github.io/Logging_1263/artfynd/A 27107-2022 artfynd.xlsx", "A 27107-2022")</f>
        <v/>
      </c>
      <c r="X444">
        <f>HYPERLINK("https://klasma.github.io/Logging_1263/kartor/A 27107-2022 karta.png", "A 27107-2022")</f>
        <v/>
      </c>
      <c r="Y444">
        <f>HYPERLINK("https://klasma.github.io/Logging_1263/kartor_geotiff/A 27107-2022 georefererad karta.tif", "A 27107-2022")</f>
        <v/>
      </c>
      <c r="AA444">
        <f>HYPERLINK("https://klasma.github.io/Logging_1263/klagomål/A 27107-2022 FSC-klagomål.docx", "A 27107-2022")</f>
        <v/>
      </c>
      <c r="AB444">
        <f>HYPERLINK("https://klasma.github.io/Logging_1263/klagomålsmail/A 27107-2022 FSC-klagomål mail.docx", "A 27107-2022")</f>
        <v/>
      </c>
      <c r="AC444">
        <f>HYPERLINK("https://klasma.github.io/Logging_1263/tillsyn/A 27107-2022 tillsynsbegäran.docx", "A 27107-2022")</f>
        <v/>
      </c>
      <c r="AD444">
        <f>HYPERLINK("https://klasma.github.io/Logging_1263/tillsynsmail/A 27107-2022 tillsynsbegäran mail.docx", "A 27107-2022")</f>
        <v/>
      </c>
    </row>
    <row r="445" ht="15" customHeight="1">
      <c r="A445" t="inlineStr">
        <is>
          <t>A 38938-2022</t>
        </is>
      </c>
      <c r="B445" t="inlineStr">
        <is>
          <t>avverkningsanmälan</t>
        </is>
      </c>
      <c r="C445" t="inlineStr">
        <is>
          <t>Föryngringsavverkning</t>
        </is>
      </c>
      <c r="D445" s="1" t="n">
        <v>44816</v>
      </c>
      <c r="E445" s="1" t="n">
        <v>46312</v>
      </c>
      <c r="F445" t="inlineStr">
        <is>
          <t>SKÅNE LÄN</t>
        </is>
      </c>
      <c r="G445" t="inlineStr">
        <is>
          <t>KRISTIANSTAD</t>
        </is>
      </c>
      <c r="H445" t="inlineStr">
        <is>
          <t>Sveaskog</t>
        </is>
      </c>
      <c r="I445" t="n">
        <v>5.5</v>
      </c>
      <c r="J445" t="n">
        <v>0</v>
      </c>
      <c r="K445" t="n">
        <v>0</v>
      </c>
      <c r="L445" t="n">
        <v>0</v>
      </c>
      <c r="M445" t="n">
        <v>1</v>
      </c>
      <c r="N445" t="n">
        <v>0</v>
      </c>
      <c r="O445" t="n">
        <v>0</v>
      </c>
      <c r="P445" t="n">
        <v>0</v>
      </c>
      <c r="Q445" t="n">
        <v>1</v>
      </c>
      <c r="R445" t="n">
        <v>1</v>
      </c>
      <c r="S445" t="n">
        <v>1</v>
      </c>
      <c r="T445" t="n">
        <v>1</v>
      </c>
      <c r="U445" t="n">
        <v>1</v>
      </c>
      <c r="V445" s="2" t="inlineStr">
        <is>
          <t>Småvänderot</t>
        </is>
      </c>
      <c r="W445">
        <f>HYPERLINK("https://klasma.github.io/Logging_1290/artfynd/A 38938-2022 artfynd.xlsx", "A 38938-2022")</f>
        <v/>
      </c>
      <c r="X445">
        <f>HYPERLINK("https://klasma.github.io/Logging_1290/kartor/A 38938-2022 karta.png", "A 38938-2022")</f>
        <v/>
      </c>
      <c r="Y445">
        <f>HYPERLINK("https://klasma.github.io/Logging_1290/kartor_geotiff/A 38938-2022 georefererad karta.tif", "A 38938-2022")</f>
        <v/>
      </c>
      <c r="AA445">
        <f>HYPERLINK("https://klasma.github.io/Logging_1290/klagomål/A 38938-2022 FSC-klagomål.docx", "A 38938-2022")</f>
        <v/>
      </c>
      <c r="AB445">
        <f>HYPERLINK("https://klasma.github.io/Logging_1290/klagomålsmail/A 38938-2022 FSC-klagomål mail.docx", "A 38938-2022")</f>
        <v/>
      </c>
      <c r="AC445">
        <f>HYPERLINK("https://klasma.github.io/Logging_1290/tillsyn/A 38938-2022 tillsynsbegäran.docx", "A 38938-2022")</f>
        <v/>
      </c>
      <c r="AD445">
        <f>HYPERLINK("https://klasma.github.io/Logging_1290/tillsynsmail/A 38938-2022 tillsynsbegäran mail.docx", "A 38938-2022")</f>
        <v/>
      </c>
    </row>
    <row r="446" ht="15" customHeight="1">
      <c r="A446" t="inlineStr">
        <is>
          <t>A 46195-2022</t>
        </is>
      </c>
      <c r="B446" t="inlineStr">
        <is>
          <t>avverkningsanmälan</t>
        </is>
      </c>
      <c r="C446" t="inlineStr">
        <is>
          <t>Föryngringsavverkning</t>
        </is>
      </c>
      <c r="D446" s="1" t="n">
        <v>44845</v>
      </c>
      <c r="E446" s="1" t="n">
        <v>46312</v>
      </c>
      <c r="F446" t="inlineStr">
        <is>
          <t>SKÅNE LÄN</t>
        </is>
      </c>
      <c r="G446" t="inlineStr">
        <is>
          <t>PERSTORP</t>
        </is>
      </c>
      <c r="I446" t="n">
        <v>0.7</v>
      </c>
      <c r="J446" t="n">
        <v>0</v>
      </c>
      <c r="K446" t="n">
        <v>1</v>
      </c>
      <c r="L446" t="n">
        <v>0</v>
      </c>
      <c r="M446" t="n">
        <v>0</v>
      </c>
      <c r="N446" t="n">
        <v>0</v>
      </c>
      <c r="O446" t="n">
        <v>0</v>
      </c>
      <c r="P446" t="n">
        <v>0</v>
      </c>
      <c r="Q446" t="n">
        <v>0</v>
      </c>
      <c r="R446" t="n">
        <v>0</v>
      </c>
      <c r="S446" t="n">
        <v>1</v>
      </c>
      <c r="T446" t="n">
        <v>1</v>
      </c>
      <c r="U446" t="n">
        <v>0</v>
      </c>
      <c r="V446" s="2" t="inlineStr">
        <is>
          <t>Brandticka</t>
        </is>
      </c>
      <c r="W446">
        <f>HYPERLINK("https://klasma.github.io/Logging_1275/artfynd/A 46195-2022 artfynd.xlsx", "A 46195-2022")</f>
        <v/>
      </c>
      <c r="X446">
        <f>HYPERLINK("https://klasma.github.io/Logging_1275/kartor/A 46195-2022 karta.png", "A 46195-2022")</f>
        <v/>
      </c>
      <c r="Y446">
        <f>HYPERLINK("https://klasma.github.io/Logging_1275/kartor_geotiff/A 46195-2022 georefererad karta.tif", "A 46195-2022")</f>
        <v/>
      </c>
      <c r="AA446">
        <f>HYPERLINK("https://klasma.github.io/Logging_1275/klagomål/A 46195-2022 FSC-klagomål.docx", "A 46195-2022")</f>
        <v/>
      </c>
      <c r="AB446">
        <f>HYPERLINK("https://klasma.github.io/Logging_1275/klagomålsmail/A 46195-2022 FSC-klagomål mail.docx", "A 46195-2022")</f>
        <v/>
      </c>
      <c r="AC446">
        <f>HYPERLINK("https://klasma.github.io/Logging_1275/tillsyn/A 46195-2022 tillsynsbegäran.docx", "A 46195-2022")</f>
        <v/>
      </c>
      <c r="AD446">
        <f>HYPERLINK("https://klasma.github.io/Logging_1275/tillsynsmail/A 46195-2022 tillsynsbegäran mail.docx", "A 46195-2022")</f>
        <v/>
      </c>
    </row>
    <row r="447" ht="15" customHeight="1">
      <c r="A447" t="inlineStr">
        <is>
          <t>A 4989-2022</t>
        </is>
      </c>
      <c r="B447" t="inlineStr">
        <is>
          <t>avverkningsanmälan</t>
        </is>
      </c>
      <c r="C447" t="inlineStr">
        <is>
          <t>Föryngringsavverkning</t>
        </is>
      </c>
      <c r="D447" s="1" t="n">
        <v>44593</v>
      </c>
      <c r="E447" s="1" t="n">
        <v>46312</v>
      </c>
      <c r="F447" t="inlineStr">
        <is>
          <t>SKÅNE LÄN</t>
        </is>
      </c>
      <c r="G447" t="inlineStr">
        <is>
          <t>PERSTORP</t>
        </is>
      </c>
      <c r="I447" t="n">
        <v>6.7</v>
      </c>
      <c r="J447" t="n">
        <v>1</v>
      </c>
      <c r="K447" t="n">
        <v>0</v>
      </c>
      <c r="L447" t="n">
        <v>0</v>
      </c>
      <c r="M447" t="n">
        <v>0</v>
      </c>
      <c r="N447" t="n">
        <v>0</v>
      </c>
      <c r="O447" t="n">
        <v>0</v>
      </c>
      <c r="P447" t="n">
        <v>0</v>
      </c>
      <c r="Q447" t="n">
        <v>0</v>
      </c>
      <c r="R447" t="n">
        <v>0</v>
      </c>
      <c r="S447" t="n">
        <v>1</v>
      </c>
      <c r="T447" t="n">
        <v>1</v>
      </c>
      <c r="U447" t="n">
        <v>1</v>
      </c>
      <c r="V447" s="2" t="inlineStr">
        <is>
          <t>Spillkråka</t>
        </is>
      </c>
      <c r="W447">
        <f>HYPERLINK("https://klasma.github.io/Logging_1275/artfynd/A 4989-2022 artfynd.xlsx", "A 4989-2022")</f>
        <v/>
      </c>
      <c r="X447">
        <f>HYPERLINK("https://klasma.github.io/Logging_1275/kartor/A 4989-2022 karta.png", "A 4989-2022")</f>
        <v/>
      </c>
      <c r="Y447">
        <f>HYPERLINK("https://klasma.github.io/Logging_1275/kartor_geotiff/A 4989-2022 georefererad karta.tif", "A 4989-2022")</f>
        <v/>
      </c>
      <c r="AA447">
        <f>HYPERLINK("https://klasma.github.io/Logging_1275/klagomål/A 4989-2022 FSC-klagomål.docx", "A 4989-2022")</f>
        <v/>
      </c>
      <c r="AB447">
        <f>HYPERLINK("https://klasma.github.io/Logging_1275/klagomålsmail/A 4989-2022 FSC-klagomål mail.docx", "A 4989-2022")</f>
        <v/>
      </c>
      <c r="AC447">
        <f>HYPERLINK("https://klasma.github.io/Logging_1275/tillsyn/A 4989-2022 tillsynsbegäran.docx", "A 4989-2022")</f>
        <v/>
      </c>
      <c r="AD447">
        <f>HYPERLINK("https://klasma.github.io/Logging_1275/tillsynsmail/A 4989-2022 tillsynsbegäran mail.docx", "A 4989-2022")</f>
        <v/>
      </c>
      <c r="AE447">
        <f>HYPERLINK("https://klasma.github.io/Logging_1275/fåglar/A 4989-2022 prioriterade fågelarter.docx", "A 4989-2022")</f>
        <v/>
      </c>
    </row>
    <row r="448" ht="15" customHeight="1">
      <c r="A448" t="inlineStr">
        <is>
          <t>A 13055-2022</t>
        </is>
      </c>
      <c r="B448" t="inlineStr">
        <is>
          <t>avverkningsanmälan</t>
        </is>
      </c>
      <c r="C448" t="inlineStr">
        <is>
          <t>Föryngringsavverkning</t>
        </is>
      </c>
      <c r="D448" s="1" t="n">
        <v>44643</v>
      </c>
      <c r="E448" s="1" t="n">
        <v>46312</v>
      </c>
      <c r="F448" t="inlineStr">
        <is>
          <t>SKÅNE LÄN</t>
        </is>
      </c>
      <c r="G448" t="inlineStr">
        <is>
          <t>SJÖBO</t>
        </is>
      </c>
      <c r="I448" t="n">
        <v>0.6</v>
      </c>
      <c r="J448" t="n">
        <v>0</v>
      </c>
      <c r="K448" t="n">
        <v>0</v>
      </c>
      <c r="L448" t="n">
        <v>1</v>
      </c>
      <c r="M448" t="n">
        <v>0</v>
      </c>
      <c r="N448" t="n">
        <v>0</v>
      </c>
      <c r="O448" t="n">
        <v>0</v>
      </c>
      <c r="P448" t="n">
        <v>0</v>
      </c>
      <c r="Q448" t="n">
        <v>1</v>
      </c>
      <c r="R448" t="n">
        <v>0</v>
      </c>
      <c r="S448" t="n">
        <v>1</v>
      </c>
      <c r="T448" t="n">
        <v>1</v>
      </c>
      <c r="U448" t="n">
        <v>0</v>
      </c>
      <c r="V448" s="2" t="inlineStr">
        <is>
          <t>Silversmygare</t>
        </is>
      </c>
      <c r="W448">
        <f>HYPERLINK("https://klasma.github.io/Logging_1265/artfynd/A 13055-2022 artfynd.xlsx", "A 13055-2022")</f>
        <v/>
      </c>
      <c r="X448">
        <f>HYPERLINK("https://klasma.github.io/Logging_1265/kartor/A 13055-2022 karta.png", "A 13055-2022")</f>
        <v/>
      </c>
      <c r="Y448">
        <f>HYPERLINK("https://klasma.github.io/Logging_1265/kartor_geotiff/A 13055-2022 georefererad karta.tif", "A 13055-2022")</f>
        <v/>
      </c>
      <c r="AA448">
        <f>HYPERLINK("https://klasma.github.io/Logging_1265/klagomål/A 13055-2022 FSC-klagomål.docx", "A 13055-2022")</f>
        <v/>
      </c>
      <c r="AB448">
        <f>HYPERLINK("https://klasma.github.io/Logging_1265/klagomålsmail/A 13055-2022 FSC-klagomål mail.docx", "A 13055-2022")</f>
        <v/>
      </c>
      <c r="AC448">
        <f>HYPERLINK("https://klasma.github.io/Logging_1265/tillsyn/A 13055-2022 tillsynsbegäran.docx", "A 13055-2022")</f>
        <v/>
      </c>
      <c r="AD448">
        <f>HYPERLINK("https://klasma.github.io/Logging_1265/tillsynsmail/A 13055-2022 tillsynsbegäran mail.docx", "A 13055-2022")</f>
        <v/>
      </c>
    </row>
    <row r="449" ht="15" customHeight="1">
      <c r="A449" t="inlineStr">
        <is>
          <t>A 23963-2022</t>
        </is>
      </c>
      <c r="B449" t="inlineStr">
        <is>
          <t>avverkningsanmälan</t>
        </is>
      </c>
      <c r="C449" t="inlineStr">
        <is>
          <t>Föryngringsavverkning</t>
        </is>
      </c>
      <c r="D449" s="1" t="n">
        <v>44722</v>
      </c>
      <c r="E449" s="1" t="n">
        <v>46312</v>
      </c>
      <c r="F449" t="inlineStr">
        <is>
          <t>SKÅNE LÄN</t>
        </is>
      </c>
      <c r="G449" t="inlineStr">
        <is>
          <t>OSBY</t>
        </is>
      </c>
      <c r="H449" t="inlineStr">
        <is>
          <t>Kyrkan</t>
        </is>
      </c>
      <c r="I449" t="n">
        <v>4.5</v>
      </c>
      <c r="J449" t="n">
        <v>1</v>
      </c>
      <c r="K449" t="n">
        <v>0</v>
      </c>
      <c r="L449" t="n">
        <v>0</v>
      </c>
      <c r="M449" t="n">
        <v>0</v>
      </c>
      <c r="N449" t="n">
        <v>0</v>
      </c>
      <c r="O449" t="n">
        <v>0</v>
      </c>
      <c r="P449" t="n">
        <v>0</v>
      </c>
      <c r="Q449" t="n">
        <v>0</v>
      </c>
      <c r="R449" t="n">
        <v>0</v>
      </c>
      <c r="S449" t="n">
        <v>1</v>
      </c>
      <c r="T449" t="n">
        <v>4</v>
      </c>
      <c r="U449" t="n">
        <v>4</v>
      </c>
      <c r="V449" s="2" t="inlineStr">
        <is>
          <t>Kungsfågel</t>
        </is>
      </c>
      <c r="W449">
        <f>HYPERLINK("https://klasma.github.io/Logging_1273/artfynd/A 23963-2022 artfynd.xlsx", "A 23963-2022")</f>
        <v/>
      </c>
      <c r="X449">
        <f>HYPERLINK("https://klasma.github.io/Logging_1273/kartor/A 23963-2022 karta.png", "A 23963-2022")</f>
        <v/>
      </c>
      <c r="Y449">
        <f>HYPERLINK("https://klasma.github.io/Logging_1273/kartor_geotiff/A 23963-2022 georefererad karta.tif", "A 23963-2022")</f>
        <v/>
      </c>
      <c r="AA449">
        <f>HYPERLINK("https://klasma.github.io/Logging_1273/klagomål/A 23963-2022 FSC-klagomål.docx", "A 23963-2022")</f>
        <v/>
      </c>
      <c r="AB449">
        <f>HYPERLINK("https://klasma.github.io/Logging_1273/klagomålsmail/A 23963-2022 FSC-klagomål mail.docx", "A 23963-2022")</f>
        <v/>
      </c>
      <c r="AC449">
        <f>HYPERLINK("https://klasma.github.io/Logging_1273/tillsyn/A 23963-2022 tillsynsbegäran.docx", "A 23963-2022")</f>
        <v/>
      </c>
      <c r="AD449">
        <f>HYPERLINK("https://klasma.github.io/Logging_1273/tillsynsmail/A 23963-2022 tillsynsbegäran mail.docx", "A 23963-2022")</f>
        <v/>
      </c>
    </row>
    <row r="450" ht="15" customHeight="1">
      <c r="A450" t="inlineStr">
        <is>
          <t>A 27955-2022</t>
        </is>
      </c>
      <c r="B450" t="inlineStr">
        <is>
          <t>avverkningsanmälan</t>
        </is>
      </c>
      <c r="C450" t="inlineStr">
        <is>
          <t>Föryngringsavverkning</t>
        </is>
      </c>
      <c r="D450" s="1" t="n">
        <v>44743</v>
      </c>
      <c r="E450" s="1" t="n">
        <v>46312</v>
      </c>
      <c r="F450" t="inlineStr">
        <is>
          <t>SKÅNE LÄN</t>
        </is>
      </c>
      <c r="G450" t="inlineStr">
        <is>
          <t>KRISTIANSTAD</t>
        </is>
      </c>
      <c r="I450" t="n">
        <v>3.6</v>
      </c>
      <c r="J450" t="n">
        <v>1</v>
      </c>
      <c r="K450" t="n">
        <v>0</v>
      </c>
      <c r="L450" t="n">
        <v>0</v>
      </c>
      <c r="M450" t="n">
        <v>0</v>
      </c>
      <c r="N450" t="n">
        <v>0</v>
      </c>
      <c r="O450" t="n">
        <v>0</v>
      </c>
      <c r="P450" t="n">
        <v>0</v>
      </c>
      <c r="Q450" t="n">
        <v>0</v>
      </c>
      <c r="R450" t="n">
        <v>0</v>
      </c>
      <c r="S450" t="n">
        <v>1</v>
      </c>
      <c r="T450" t="n">
        <v>1</v>
      </c>
      <c r="U450" t="n">
        <v>1</v>
      </c>
      <c r="V450" s="2" t="inlineStr">
        <is>
          <t>Spillkråka</t>
        </is>
      </c>
      <c r="W450">
        <f>HYPERLINK("https://klasma.github.io/Logging_1290/artfynd/A 27955-2022 artfynd.xlsx", "A 27955-2022")</f>
        <v/>
      </c>
      <c r="X450">
        <f>HYPERLINK("https://klasma.github.io/Logging_1290/kartor/A 27955-2022 karta.png", "A 27955-2022")</f>
        <v/>
      </c>
      <c r="Y450">
        <f>HYPERLINK("https://klasma.github.io/Logging_1290/kartor_geotiff/A 27955-2022 georefererad karta.tif", "A 27955-2022")</f>
        <v/>
      </c>
      <c r="AA450">
        <f>HYPERLINK("https://klasma.github.io/Logging_1290/klagomål/A 27955-2022 FSC-klagomål.docx", "A 27955-2022")</f>
        <v/>
      </c>
      <c r="AB450">
        <f>HYPERLINK("https://klasma.github.io/Logging_1290/klagomålsmail/A 27955-2022 FSC-klagomål mail.docx", "A 27955-2022")</f>
        <v/>
      </c>
      <c r="AC450">
        <f>HYPERLINK("https://klasma.github.io/Logging_1290/tillsyn/A 27955-2022 tillsynsbegäran.docx", "A 27955-2022")</f>
        <v/>
      </c>
      <c r="AD450">
        <f>HYPERLINK("https://klasma.github.io/Logging_1290/tillsynsmail/A 27955-2022 tillsynsbegäran mail.docx", "A 27955-2022")</f>
        <v/>
      </c>
      <c r="AE450">
        <f>HYPERLINK("https://klasma.github.io/Logging_1290/fåglar/A 27955-2022 prioriterade fågelarter.docx", "A 27955-2022")</f>
        <v/>
      </c>
    </row>
    <row r="451" ht="15" customHeight="1">
      <c r="A451" t="inlineStr">
        <is>
          <t>A 33491-2022</t>
        </is>
      </c>
      <c r="B451" t="inlineStr">
        <is>
          <t>avverkningsanmälan</t>
        </is>
      </c>
      <c r="C451" t="inlineStr">
        <is>
          <t>Föryngringsavverkning</t>
        </is>
      </c>
      <c r="D451" s="1" t="n">
        <v>44788</v>
      </c>
      <c r="E451" s="1" t="n">
        <v>46312</v>
      </c>
      <c r="F451" t="inlineStr">
        <is>
          <t>SKÅNE LÄN</t>
        </is>
      </c>
      <c r="G451" t="inlineStr">
        <is>
          <t>OSBY</t>
        </is>
      </c>
      <c r="I451" t="n">
        <v>11.8</v>
      </c>
      <c r="J451" t="n">
        <v>0</v>
      </c>
      <c r="K451" t="n">
        <v>0</v>
      </c>
      <c r="L451" t="n">
        <v>0</v>
      </c>
      <c r="M451" t="n">
        <v>0</v>
      </c>
      <c r="N451" t="n">
        <v>0</v>
      </c>
      <c r="O451" t="n">
        <v>0</v>
      </c>
      <c r="P451" t="n">
        <v>1</v>
      </c>
      <c r="Q451" t="n">
        <v>1</v>
      </c>
      <c r="R451" t="n">
        <v>0</v>
      </c>
      <c r="S451" t="n">
        <v>1</v>
      </c>
      <c r="T451" t="n">
        <v>1</v>
      </c>
      <c r="U451" t="n">
        <v>1</v>
      </c>
      <c r="V451" s="2" t="inlineStr">
        <is>
          <t>Pimpinellros</t>
        </is>
      </c>
      <c r="W451">
        <f>HYPERLINK("https://klasma.github.io/Logging_1273/artfynd/A 33491-2022 artfynd.xlsx", "A 33491-2022")</f>
        <v/>
      </c>
      <c r="X451">
        <f>HYPERLINK("https://klasma.github.io/Logging_1273/kartor/A 33491-2022 karta.png", "A 33491-2022")</f>
        <v/>
      </c>
      <c r="Y451">
        <f>HYPERLINK("https://klasma.github.io/Logging_1273/kartor_geotiff/A 33491-2022 georefererad karta.tif", "A 33491-2022")</f>
        <v/>
      </c>
      <c r="AA451">
        <f>HYPERLINK("https://klasma.github.io/Logging_1273/klagomål/A 33491-2022 FSC-klagomål.docx", "A 33491-2022")</f>
        <v/>
      </c>
      <c r="AB451">
        <f>HYPERLINK("https://klasma.github.io/Logging_1273/klagomålsmail/A 33491-2022 FSC-klagomål mail.docx", "A 33491-2022")</f>
        <v/>
      </c>
      <c r="AC451">
        <f>HYPERLINK("https://klasma.github.io/Logging_1273/tillsyn/A 33491-2022 tillsynsbegäran.docx", "A 33491-2022")</f>
        <v/>
      </c>
      <c r="AD451">
        <f>HYPERLINK("https://klasma.github.io/Logging_1273/tillsynsmail/A 33491-2022 tillsynsbegäran mail.docx", "A 33491-2022")</f>
        <v/>
      </c>
    </row>
    <row r="452" ht="15" customHeight="1">
      <c r="A452" t="inlineStr">
        <is>
          <t>A 44062-2022</t>
        </is>
      </c>
      <c r="B452" t="inlineStr">
        <is>
          <t>avverkningsanmälan</t>
        </is>
      </c>
      <c r="C452" t="inlineStr">
        <is>
          <t>Föryngringsavverkning</t>
        </is>
      </c>
      <c r="D452" s="1" t="n">
        <v>44839</v>
      </c>
      <c r="E452" s="1" t="n">
        <v>46312</v>
      </c>
      <c r="F452" t="inlineStr">
        <is>
          <t>SKÅNE LÄN</t>
        </is>
      </c>
      <c r="G452" t="inlineStr">
        <is>
          <t>ÄNGELHOLM</t>
        </is>
      </c>
      <c r="I452" t="n">
        <v>1.2</v>
      </c>
      <c r="J452" t="n">
        <v>0</v>
      </c>
      <c r="K452" t="n">
        <v>1</v>
      </c>
      <c r="L452" t="n">
        <v>0</v>
      </c>
      <c r="M452" t="n">
        <v>0</v>
      </c>
      <c r="N452" t="n">
        <v>0</v>
      </c>
      <c r="O452" t="n">
        <v>0</v>
      </c>
      <c r="P452" t="n">
        <v>0</v>
      </c>
      <c r="Q452" t="n">
        <v>0</v>
      </c>
      <c r="R452" t="n">
        <v>0</v>
      </c>
      <c r="S452" t="n">
        <v>1</v>
      </c>
      <c r="T452" t="n">
        <v>1</v>
      </c>
      <c r="U452" t="n">
        <v>1</v>
      </c>
      <c r="V452" s="2" t="inlineStr">
        <is>
          <t>Blåmossa</t>
        </is>
      </c>
      <c r="W452">
        <f>HYPERLINK("https://klasma.github.io/Logging_1292/artfynd/A 44062-2022 artfynd.xlsx", "A 44062-2022")</f>
        <v/>
      </c>
      <c r="X452">
        <f>HYPERLINK("https://klasma.github.io/Logging_1292/kartor/A 44062-2022 karta.png", "A 44062-2022")</f>
        <v/>
      </c>
      <c r="Y452">
        <f>HYPERLINK("https://klasma.github.io/Logging_1292/kartor_geotiff/A 44062-2022 georefererad karta.tif", "A 44062-2022")</f>
        <v/>
      </c>
      <c r="AA452">
        <f>HYPERLINK("https://klasma.github.io/Logging_1292/klagomål/A 44062-2022 FSC-klagomål.docx", "A 44062-2022")</f>
        <v/>
      </c>
      <c r="AB452">
        <f>HYPERLINK("https://klasma.github.io/Logging_1292/klagomålsmail/A 44062-2022 FSC-klagomål mail.docx", "A 44062-2022")</f>
        <v/>
      </c>
      <c r="AC452">
        <f>HYPERLINK("https://klasma.github.io/Logging_1292/tillsyn/A 44062-2022 tillsynsbegäran.docx", "A 44062-2022")</f>
        <v/>
      </c>
      <c r="AD452">
        <f>HYPERLINK("https://klasma.github.io/Logging_1292/tillsynsmail/A 44062-2022 tillsynsbegäran mail.docx", "A 44062-2022")</f>
        <v/>
      </c>
    </row>
    <row r="453" ht="15" customHeight="1">
      <c r="A453" t="inlineStr">
        <is>
          <t>A 2695-2022</t>
        </is>
      </c>
      <c r="B453" t="inlineStr">
        <is>
          <t>avverkningsanmälan</t>
        </is>
      </c>
      <c r="C453" t="inlineStr">
        <is>
          <t>Föryngringsavverkning</t>
        </is>
      </c>
      <c r="D453" s="1" t="n">
        <v>44580</v>
      </c>
      <c r="E453" s="1" t="n">
        <v>46312</v>
      </c>
      <c r="F453" t="inlineStr">
        <is>
          <t>SKÅNE LÄN</t>
        </is>
      </c>
      <c r="G453" t="inlineStr">
        <is>
          <t>ÖSTRA GÖINGE</t>
        </is>
      </c>
      <c r="I453" t="n">
        <v>2.5</v>
      </c>
      <c r="J453" t="n">
        <v>1</v>
      </c>
      <c r="K453" t="n">
        <v>0</v>
      </c>
      <c r="L453" t="n">
        <v>1</v>
      </c>
      <c r="M453" t="n">
        <v>0</v>
      </c>
      <c r="N453" t="n">
        <v>0</v>
      </c>
      <c r="O453" t="n">
        <v>0</v>
      </c>
      <c r="P453" t="n">
        <v>0</v>
      </c>
      <c r="Q453" t="n">
        <v>1</v>
      </c>
      <c r="R453" t="n">
        <v>0</v>
      </c>
      <c r="S453" t="n">
        <v>1</v>
      </c>
      <c r="T453" t="n">
        <v>1</v>
      </c>
      <c r="U453" t="n">
        <v>1</v>
      </c>
      <c r="V453" s="2" t="inlineStr">
        <is>
          <t>Grönsångare</t>
        </is>
      </c>
      <c r="W453">
        <f>HYPERLINK("https://klasma.github.io/Logging_1256/artfynd/A 2695-2022 artfynd.xlsx", "A 2695-2022")</f>
        <v/>
      </c>
      <c r="X453">
        <f>HYPERLINK("https://klasma.github.io/Logging_1256/kartor/A 2695-2022 karta.png", "A 2695-2022")</f>
        <v/>
      </c>
      <c r="Y453">
        <f>HYPERLINK("https://klasma.github.io/Logging_1256/kartor_geotiff/A 2695-2022 georefererad karta.tif", "A 2695-2022")</f>
        <v/>
      </c>
      <c r="AA453">
        <f>HYPERLINK("https://klasma.github.io/Logging_1256/klagomål/A 2695-2022 FSC-klagomål.docx", "A 2695-2022")</f>
        <v/>
      </c>
      <c r="AB453">
        <f>HYPERLINK("https://klasma.github.io/Logging_1256/klagomålsmail/A 2695-2022 FSC-klagomål mail.docx", "A 2695-2022")</f>
        <v/>
      </c>
      <c r="AC453">
        <f>HYPERLINK("https://klasma.github.io/Logging_1256/tillsyn/A 2695-2022 tillsynsbegäran.docx", "A 2695-2022")</f>
        <v/>
      </c>
      <c r="AD453">
        <f>HYPERLINK("https://klasma.github.io/Logging_1256/tillsynsmail/A 2695-2022 tillsynsbegäran mail.docx", "A 2695-2022")</f>
        <v/>
      </c>
      <c r="AE453">
        <f>HYPERLINK("https://klasma.github.io/Logging_1256/fåglar/A 2695-2022 prioriterade fågelarter.docx", "A 2695-2022")</f>
        <v/>
      </c>
    </row>
    <row r="454" ht="15" customHeight="1">
      <c r="A454" t="inlineStr">
        <is>
          <t>A 27233-2022</t>
        </is>
      </c>
      <c r="B454" t="inlineStr">
        <is>
          <t>avverkningsanmälan</t>
        </is>
      </c>
      <c r="C454" t="inlineStr">
        <is>
          <t>Föryngringsavverkning</t>
        </is>
      </c>
      <c r="D454" s="1" t="n">
        <v>44741</v>
      </c>
      <c r="E454" s="1" t="n">
        <v>46312</v>
      </c>
      <c r="F454" t="inlineStr">
        <is>
          <t>SKÅNE LÄN</t>
        </is>
      </c>
      <c r="G454" t="inlineStr">
        <is>
          <t>HÖÖR</t>
        </is>
      </c>
      <c r="I454" t="n">
        <v>5.4</v>
      </c>
      <c r="J454" t="n">
        <v>0</v>
      </c>
      <c r="K454" t="n">
        <v>0</v>
      </c>
      <c r="L454" t="n">
        <v>0</v>
      </c>
      <c r="M454" t="n">
        <v>1</v>
      </c>
      <c r="N454" t="n">
        <v>0</v>
      </c>
      <c r="O454" t="n">
        <v>0</v>
      </c>
      <c r="P454" t="n">
        <v>0</v>
      </c>
      <c r="Q454" t="n">
        <v>1</v>
      </c>
      <c r="R454" t="n">
        <v>1</v>
      </c>
      <c r="S454" t="n">
        <v>1</v>
      </c>
      <c r="T454" t="n">
        <v>1</v>
      </c>
      <c r="U454" t="n">
        <v>1</v>
      </c>
      <c r="V454" s="2" t="inlineStr">
        <is>
          <t>Igelkott</t>
        </is>
      </c>
      <c r="W454">
        <f>HYPERLINK("https://klasma.github.io/Logging_1267/artfynd/A 27233-2022 artfynd.xlsx", "A 27233-2022")</f>
        <v/>
      </c>
      <c r="X454">
        <f>HYPERLINK("https://klasma.github.io/Logging_1267/kartor/A 27233-2022 karta.png", "A 27233-2022")</f>
        <v/>
      </c>
      <c r="Y454">
        <f>HYPERLINK("https://klasma.github.io/Logging_1267/kartor_geotiff/A 27233-2022 georefererad karta.tif", "A 27233-2022")</f>
        <v/>
      </c>
      <c r="AA454">
        <f>HYPERLINK("https://klasma.github.io/Logging_1267/klagomål/A 27233-2022 FSC-klagomål.docx", "A 27233-2022")</f>
        <v/>
      </c>
      <c r="AB454">
        <f>HYPERLINK("https://klasma.github.io/Logging_1267/klagomålsmail/A 27233-2022 FSC-klagomål mail.docx", "A 27233-2022")</f>
        <v/>
      </c>
      <c r="AC454">
        <f>HYPERLINK("https://klasma.github.io/Logging_1267/tillsyn/A 27233-2022 tillsynsbegäran.docx", "A 27233-2022")</f>
        <v/>
      </c>
      <c r="AD454">
        <f>HYPERLINK("https://klasma.github.io/Logging_1267/tillsynsmail/A 27233-2022 tillsynsbegäran mail.docx", "A 27233-2022")</f>
        <v/>
      </c>
    </row>
    <row r="455" ht="15" customHeight="1">
      <c r="A455" t="inlineStr">
        <is>
          <t>A 4892-2023</t>
        </is>
      </c>
      <c r="B455" t="inlineStr">
        <is>
          <t>avverkningsanmälan</t>
        </is>
      </c>
      <c r="C455" t="inlineStr">
        <is>
          <t>Avverkning för annat ändamål</t>
        </is>
      </c>
      <c r="D455" s="1" t="n">
        <v>44958</v>
      </c>
      <c r="E455" s="1" t="n">
        <v>46312</v>
      </c>
      <c r="F455" t="inlineStr">
        <is>
          <t>SKÅNE LÄN</t>
        </is>
      </c>
      <c r="G455" t="inlineStr">
        <is>
          <t>ÖSTRA GÖINGE</t>
        </is>
      </c>
      <c r="I455" t="n">
        <v>2</v>
      </c>
      <c r="J455" t="n">
        <v>1</v>
      </c>
      <c r="K455" t="n">
        <v>0</v>
      </c>
      <c r="L455" t="n">
        <v>1</v>
      </c>
      <c r="M455" t="n">
        <v>0</v>
      </c>
      <c r="N455" t="n">
        <v>0</v>
      </c>
      <c r="O455" t="n">
        <v>0</v>
      </c>
      <c r="P455" t="n">
        <v>0</v>
      </c>
      <c r="Q455" t="n">
        <v>1</v>
      </c>
      <c r="R455" t="n">
        <v>0</v>
      </c>
      <c r="S455" t="n">
        <v>1</v>
      </c>
      <c r="T455" t="n">
        <v>1</v>
      </c>
      <c r="U455" t="n">
        <v>0</v>
      </c>
      <c r="V455" s="2" t="inlineStr">
        <is>
          <t>Gulsparv</t>
        </is>
      </c>
      <c r="W455">
        <f>HYPERLINK("https://klasma.github.io/Logging_1256/artfynd/A 4892-2023 artfynd.xlsx", "A 4892-2023")</f>
        <v/>
      </c>
      <c r="X455">
        <f>HYPERLINK("https://klasma.github.io/Logging_1256/kartor/A 4892-2023 karta.png", "A 4892-2023")</f>
        <v/>
      </c>
      <c r="Y455">
        <f>HYPERLINK("https://klasma.github.io/Logging_1256/kartor_geotiff/A 4892-2023 georefererad karta.tif", "A 4892-2023")</f>
        <v/>
      </c>
      <c r="AA455">
        <f>HYPERLINK("https://klasma.github.io/Logging_1256/klagomål/A 4892-2023 FSC-klagomål.docx", "A 4892-2023")</f>
        <v/>
      </c>
      <c r="AB455">
        <f>HYPERLINK("https://klasma.github.io/Logging_1256/klagomålsmail/A 4892-2023 FSC-klagomål mail.docx", "A 4892-2023")</f>
        <v/>
      </c>
      <c r="AC455">
        <f>HYPERLINK("https://klasma.github.io/Logging_1256/tillsyn/A 4892-2023 tillsynsbegäran.docx", "A 4892-2023")</f>
        <v/>
      </c>
      <c r="AD455">
        <f>HYPERLINK("https://klasma.github.io/Logging_1256/tillsynsmail/A 4892-2023 tillsynsbegäran mail.docx", "A 4892-2023")</f>
        <v/>
      </c>
      <c r="AE455">
        <f>HYPERLINK("https://klasma.github.io/Logging_1256/fåglar/A 4892-2023 prioriterade fågelarter.docx", "A 4892-2023")</f>
        <v/>
      </c>
    </row>
    <row r="456" ht="15" customHeight="1">
      <c r="A456" t="inlineStr">
        <is>
          <t>A 15698-2023</t>
        </is>
      </c>
      <c r="B456" t="inlineStr">
        <is>
          <t>avverkningsanmälan</t>
        </is>
      </c>
      <c r="C456" t="inlineStr">
        <is>
          <t>Föryngringsavverkning</t>
        </is>
      </c>
      <c r="D456" s="1" t="n">
        <v>45021</v>
      </c>
      <c r="E456" s="1" t="n">
        <v>46312</v>
      </c>
      <c r="F456" t="inlineStr">
        <is>
          <t>SKÅNE LÄN</t>
        </is>
      </c>
      <c r="G456" t="inlineStr">
        <is>
          <t>HÄSSLEHOLM</t>
        </is>
      </c>
      <c r="H456" t="inlineStr">
        <is>
          <t>Kommuner</t>
        </is>
      </c>
      <c r="I456" t="n">
        <v>5.5</v>
      </c>
      <c r="J456" t="n">
        <v>0</v>
      </c>
      <c r="K456" t="n">
        <v>0</v>
      </c>
      <c r="L456" t="n">
        <v>0</v>
      </c>
      <c r="M456" t="n">
        <v>1</v>
      </c>
      <c r="N456" t="n">
        <v>0</v>
      </c>
      <c r="O456" t="n">
        <v>0</v>
      </c>
      <c r="P456" t="n">
        <v>0</v>
      </c>
      <c r="Q456" t="n">
        <v>1</v>
      </c>
      <c r="R456" t="n">
        <v>1</v>
      </c>
      <c r="S456" t="n">
        <v>1</v>
      </c>
      <c r="T456" t="n">
        <v>1</v>
      </c>
      <c r="U456" t="n">
        <v>1</v>
      </c>
      <c r="V456" s="2" t="inlineStr">
        <is>
          <t>Igelkott</t>
        </is>
      </c>
      <c r="W456">
        <f>HYPERLINK("https://klasma.github.io/Logging_1293/artfynd/A 15698-2023 artfynd.xlsx", "A 15698-2023")</f>
        <v/>
      </c>
      <c r="X456">
        <f>HYPERLINK("https://klasma.github.io/Logging_1293/kartor/A 15698-2023 karta.png", "A 15698-2023")</f>
        <v/>
      </c>
      <c r="Y456">
        <f>HYPERLINK("https://klasma.github.io/Logging_1293/kartor_geotiff/A 15698-2023 georefererad karta.tif", "A 15698-2023")</f>
        <v/>
      </c>
      <c r="AA456">
        <f>HYPERLINK("https://klasma.github.io/Logging_1293/klagomål/A 15698-2023 FSC-klagomål.docx", "A 15698-2023")</f>
        <v/>
      </c>
      <c r="AB456">
        <f>HYPERLINK("https://klasma.github.io/Logging_1293/klagomålsmail/A 15698-2023 FSC-klagomål mail.docx", "A 15698-2023")</f>
        <v/>
      </c>
      <c r="AC456">
        <f>HYPERLINK("https://klasma.github.io/Logging_1293/tillsyn/A 15698-2023 tillsynsbegäran.docx", "A 15698-2023")</f>
        <v/>
      </c>
      <c r="AD456">
        <f>HYPERLINK("https://klasma.github.io/Logging_1293/tillsynsmail/A 15698-2023 tillsynsbegäran mail.docx", "A 15698-2023")</f>
        <v/>
      </c>
    </row>
    <row r="457" ht="15" customHeight="1">
      <c r="A457" t="inlineStr">
        <is>
          <t>A 15571-2024</t>
        </is>
      </c>
      <c r="B457" t="inlineStr">
        <is>
          <t>avverkningsanmälan</t>
        </is>
      </c>
      <c r="C457" t="inlineStr">
        <is>
          <t>Föryngringsavverkning</t>
        </is>
      </c>
      <c r="D457" s="1" t="n">
        <v>45401</v>
      </c>
      <c r="E457" s="1" t="n">
        <v>46312</v>
      </c>
      <c r="F457" t="inlineStr">
        <is>
          <t>SKÅNE LÄN</t>
        </is>
      </c>
      <c r="G457" t="inlineStr">
        <is>
          <t>SVEDALA</t>
        </is>
      </c>
      <c r="I457" t="n">
        <v>11.1</v>
      </c>
      <c r="J457" t="n">
        <v>0</v>
      </c>
      <c r="K457" t="n">
        <v>0</v>
      </c>
      <c r="L457" t="n">
        <v>1</v>
      </c>
      <c r="M457" t="n">
        <v>0</v>
      </c>
      <c r="N457" t="n">
        <v>0</v>
      </c>
      <c r="O457" t="n">
        <v>0</v>
      </c>
      <c r="P457" t="n">
        <v>0</v>
      </c>
      <c r="Q457" t="n">
        <v>1</v>
      </c>
      <c r="R457" t="n">
        <v>0</v>
      </c>
      <c r="S457" t="n">
        <v>1</v>
      </c>
      <c r="T457" t="n">
        <v>1</v>
      </c>
      <c r="U457" t="n">
        <v>0</v>
      </c>
      <c r="V457" s="2" t="inlineStr">
        <is>
          <t>Svart skogssnigel</t>
        </is>
      </c>
      <c r="W457">
        <f>HYPERLINK("https://klasma.github.io/Logging_1263/artfynd/A 15571-2024 artfynd.xlsx", "A 15571-2024")</f>
        <v/>
      </c>
      <c r="X457">
        <f>HYPERLINK("https://klasma.github.io/Logging_1263/kartor/A 15571-2024 karta.png", "A 15571-2024")</f>
        <v/>
      </c>
      <c r="Y457">
        <f>HYPERLINK("https://klasma.github.io/Logging_1263/kartor_geotiff/A 15571-2024 georefererad karta.tif", "A 15571-2024")</f>
        <v/>
      </c>
      <c r="AA457">
        <f>HYPERLINK("https://klasma.github.io/Logging_1263/klagomål/A 15571-2024 FSC-klagomål.docx", "A 15571-2024")</f>
        <v/>
      </c>
      <c r="AB457">
        <f>HYPERLINK("https://klasma.github.io/Logging_1263/klagomålsmail/A 15571-2024 FSC-klagomål mail.docx", "A 15571-2024")</f>
        <v/>
      </c>
      <c r="AC457">
        <f>HYPERLINK("https://klasma.github.io/Logging_1263/tillsyn/A 15571-2024 tillsynsbegäran.docx", "A 15571-2024")</f>
        <v/>
      </c>
      <c r="AD457">
        <f>HYPERLINK("https://klasma.github.io/Logging_1263/tillsynsmail/A 15571-2024 tillsynsbegäran mail.docx", "A 15571-2024")</f>
        <v/>
      </c>
    </row>
    <row r="458" ht="15" customHeight="1">
      <c r="A458" t="inlineStr">
        <is>
          <t>A 55158-2023</t>
        </is>
      </c>
      <c r="B458" t="inlineStr">
        <is>
          <t>avverkningsanmälan</t>
        </is>
      </c>
      <c r="C458" t="inlineStr">
        <is>
          <t>Föryngringsavverkning</t>
        </is>
      </c>
      <c r="D458" s="1" t="n">
        <v>45237</v>
      </c>
      <c r="E458" s="1" t="n">
        <v>46312</v>
      </c>
      <c r="F458" t="inlineStr">
        <is>
          <t>SKÅNE LÄN</t>
        </is>
      </c>
      <c r="G458" t="inlineStr">
        <is>
          <t>LUND</t>
        </is>
      </c>
      <c r="H458" t="inlineStr">
        <is>
          <t>Kommuner</t>
        </is>
      </c>
      <c r="I458" t="n">
        <v>0.7</v>
      </c>
      <c r="J458" t="n">
        <v>0</v>
      </c>
      <c r="K458" t="n">
        <v>0</v>
      </c>
      <c r="L458" t="n">
        <v>1</v>
      </c>
      <c r="M458" t="n">
        <v>0</v>
      </c>
      <c r="N458" t="n">
        <v>0</v>
      </c>
      <c r="O458" t="n">
        <v>0</v>
      </c>
      <c r="P458" t="n">
        <v>0</v>
      </c>
      <c r="Q458" t="n">
        <v>1</v>
      </c>
      <c r="R458" t="n">
        <v>0</v>
      </c>
      <c r="S458" t="n">
        <v>1</v>
      </c>
      <c r="T458" t="n">
        <v>2</v>
      </c>
      <c r="U458" t="n">
        <v>0</v>
      </c>
      <c r="V458" s="2" t="inlineStr">
        <is>
          <t>Backtimjan</t>
        </is>
      </c>
      <c r="W458">
        <f>HYPERLINK("https://klasma.github.io/Logging_1281/artfynd/A 55158-2023 artfynd.xlsx", "A 55158-2023")</f>
        <v/>
      </c>
      <c r="X458">
        <f>HYPERLINK("https://klasma.github.io/Logging_1281/kartor/A 55158-2023 karta.png", "A 55158-2023")</f>
        <v/>
      </c>
      <c r="Y458">
        <f>HYPERLINK("https://klasma.github.io/Logging_1281/kartor_geotiff/A 55158-2023 georefererad karta.tif", "A 55158-2023")</f>
        <v/>
      </c>
      <c r="AA458">
        <f>HYPERLINK("https://klasma.github.io/Logging_1281/klagomål/A 55158-2023 FSC-klagomål.docx", "A 55158-2023")</f>
        <v/>
      </c>
      <c r="AB458">
        <f>HYPERLINK("https://klasma.github.io/Logging_1281/klagomålsmail/A 55158-2023 FSC-klagomål mail.docx", "A 55158-2023")</f>
        <v/>
      </c>
      <c r="AC458">
        <f>HYPERLINK("https://klasma.github.io/Logging_1281/tillsyn/A 55158-2023 tillsynsbegäran.docx", "A 55158-2023")</f>
        <v/>
      </c>
      <c r="AD458">
        <f>HYPERLINK("https://klasma.github.io/Logging_1281/tillsynsmail/A 55158-2023 tillsynsbegäran mail.docx", "A 55158-2023")</f>
        <v/>
      </c>
    </row>
    <row r="459" ht="15" customHeight="1">
      <c r="A459" t="inlineStr">
        <is>
          <t>A 62060-2022</t>
        </is>
      </c>
      <c r="B459" t="inlineStr">
        <is>
          <t>avverkningsanmälan</t>
        </is>
      </c>
      <c r="C459" t="inlineStr">
        <is>
          <t>Föryngringsavverkning</t>
        </is>
      </c>
      <c r="D459" s="1" t="n">
        <v>44918</v>
      </c>
      <c r="E459" s="1" t="n">
        <v>46312</v>
      </c>
      <c r="F459" t="inlineStr">
        <is>
          <t>SKÅNE LÄN</t>
        </is>
      </c>
      <c r="G459" t="inlineStr">
        <is>
          <t>ÖSTRA GÖINGE</t>
        </is>
      </c>
      <c r="I459" t="n">
        <v>2.7</v>
      </c>
      <c r="J459" t="n">
        <v>0</v>
      </c>
      <c r="K459" t="n">
        <v>0</v>
      </c>
      <c r="L459" t="n">
        <v>1</v>
      </c>
      <c r="M459" t="n">
        <v>0</v>
      </c>
      <c r="N459" t="n">
        <v>0</v>
      </c>
      <c r="O459" t="n">
        <v>0</v>
      </c>
      <c r="P459" t="n">
        <v>0</v>
      </c>
      <c r="Q459" t="n">
        <v>1</v>
      </c>
      <c r="R459" t="n">
        <v>0</v>
      </c>
      <c r="S459" t="n">
        <v>1</v>
      </c>
      <c r="T459" t="n">
        <v>1</v>
      </c>
      <c r="U459" t="n">
        <v>0</v>
      </c>
      <c r="V459" s="2" t="inlineStr">
        <is>
          <t>Desmeknopp</t>
        </is>
      </c>
      <c r="W459">
        <f>HYPERLINK("https://klasma.github.io/Logging_1256/artfynd/A 62060-2022 artfynd.xlsx", "A 62060-2022")</f>
        <v/>
      </c>
      <c r="X459">
        <f>HYPERLINK("https://klasma.github.io/Logging_1256/kartor/A 62060-2022 karta.png", "A 62060-2022")</f>
        <v/>
      </c>
      <c r="Y459">
        <f>HYPERLINK("https://klasma.github.io/Logging_1256/kartor_geotiff/A 62060-2022 georefererad karta.tif", "A 62060-2022")</f>
        <v/>
      </c>
      <c r="AA459">
        <f>HYPERLINK("https://klasma.github.io/Logging_1256/klagomål/A 62060-2022 FSC-klagomål.docx", "A 62060-2022")</f>
        <v/>
      </c>
      <c r="AB459">
        <f>HYPERLINK("https://klasma.github.io/Logging_1256/klagomålsmail/A 62060-2022 FSC-klagomål mail.docx", "A 62060-2022")</f>
        <v/>
      </c>
      <c r="AC459">
        <f>HYPERLINK("https://klasma.github.io/Logging_1256/tillsyn/A 62060-2022 tillsynsbegäran.docx", "A 62060-2022")</f>
        <v/>
      </c>
      <c r="AD459">
        <f>HYPERLINK("https://klasma.github.io/Logging_1256/tillsynsmail/A 62060-2022 tillsynsbegäran mail.docx", "A 62060-2022")</f>
        <v/>
      </c>
    </row>
    <row r="460" ht="15" customHeight="1">
      <c r="A460" t="inlineStr">
        <is>
          <t>A 27956-2022</t>
        </is>
      </c>
      <c r="B460" t="inlineStr">
        <is>
          <t>avverkningsanmälan</t>
        </is>
      </c>
      <c r="C460" t="inlineStr">
        <is>
          <t>Föryngringsavverkning</t>
        </is>
      </c>
      <c r="D460" s="1" t="n">
        <v>44743</v>
      </c>
      <c r="E460" s="1" t="n">
        <v>46312</v>
      </c>
      <c r="F460" t="inlineStr">
        <is>
          <t>SKÅNE LÄN</t>
        </is>
      </c>
      <c r="G460" t="inlineStr">
        <is>
          <t>KRISTIANSTAD</t>
        </is>
      </c>
      <c r="I460" t="n">
        <v>14.1</v>
      </c>
      <c r="J460" t="n">
        <v>0</v>
      </c>
      <c r="K460" t="n">
        <v>0</v>
      </c>
      <c r="L460" t="n">
        <v>0</v>
      </c>
      <c r="M460" t="n">
        <v>0</v>
      </c>
      <c r="N460" t="n">
        <v>0</v>
      </c>
      <c r="O460" t="n">
        <v>0</v>
      </c>
      <c r="P460" t="n">
        <v>0</v>
      </c>
      <c r="Q460" t="n">
        <v>0</v>
      </c>
      <c r="R460" t="n">
        <v>0</v>
      </c>
      <c r="S460" t="n">
        <v>1</v>
      </c>
      <c r="T460" t="n">
        <v>1</v>
      </c>
      <c r="U460" t="n">
        <v>1</v>
      </c>
      <c r="V460" s="2" t="inlineStr">
        <is>
          <t>Kärrviol</t>
        </is>
      </c>
      <c r="W460">
        <f>HYPERLINK("https://klasma.github.io/Logging_1290/artfynd/A 27956-2022 artfynd.xlsx", "A 27956-2022")</f>
        <v/>
      </c>
      <c r="X460">
        <f>HYPERLINK("https://klasma.github.io/Logging_1290/kartor/A 27956-2022 karta.png", "A 27956-2022")</f>
        <v/>
      </c>
      <c r="Y460">
        <f>HYPERLINK("https://klasma.github.io/Logging_1290/kartor_geotiff/A 27956-2022 georefererad karta.tif", "A 27956-2022")</f>
        <v/>
      </c>
      <c r="AA460">
        <f>HYPERLINK("https://klasma.github.io/Logging_1290/klagomål/A 27956-2022 FSC-klagomål.docx", "A 27956-2022")</f>
        <v/>
      </c>
      <c r="AB460">
        <f>HYPERLINK("https://klasma.github.io/Logging_1290/klagomålsmail/A 27956-2022 FSC-klagomål mail.docx", "A 27956-2022")</f>
        <v/>
      </c>
      <c r="AC460">
        <f>HYPERLINK("https://klasma.github.io/Logging_1290/tillsyn/A 27956-2022 tillsynsbegäran.docx", "A 27956-2022")</f>
        <v/>
      </c>
      <c r="AD460">
        <f>HYPERLINK("https://klasma.github.io/Logging_1290/tillsynsmail/A 27956-2022 tillsynsbegäran mail.docx", "A 27956-2022")</f>
        <v/>
      </c>
    </row>
    <row r="461" ht="15" customHeight="1">
      <c r="A461" t="inlineStr">
        <is>
          <t>A 45495-2024</t>
        </is>
      </c>
      <c r="B461" t="inlineStr">
        <is>
          <t>avverkningsanmälan</t>
        </is>
      </c>
      <c r="C461" t="inlineStr">
        <is>
          <t>Föryngringsavverkning</t>
        </is>
      </c>
      <c r="D461" s="1" t="n">
        <v>45577</v>
      </c>
      <c r="E461" s="1" t="n">
        <v>46312</v>
      </c>
      <c r="F461" t="inlineStr">
        <is>
          <t>SKÅNE LÄN</t>
        </is>
      </c>
      <c r="G461" t="inlineStr">
        <is>
          <t>KRISTIANSTAD</t>
        </is>
      </c>
      <c r="I461" t="n">
        <v>9.1</v>
      </c>
      <c r="J461" t="n">
        <v>0</v>
      </c>
      <c r="K461" t="n">
        <v>0</v>
      </c>
      <c r="L461" t="n">
        <v>1</v>
      </c>
      <c r="M461" t="n">
        <v>0</v>
      </c>
      <c r="N461" t="n">
        <v>0</v>
      </c>
      <c r="O461" t="n">
        <v>0</v>
      </c>
      <c r="P461" t="n">
        <v>0</v>
      </c>
      <c r="Q461" t="n">
        <v>1</v>
      </c>
      <c r="R461" t="n">
        <v>0</v>
      </c>
      <c r="S461" t="n">
        <v>1</v>
      </c>
      <c r="T461" t="n">
        <v>1</v>
      </c>
      <c r="U461" t="n">
        <v>0</v>
      </c>
      <c r="V461" s="2" t="inlineStr">
        <is>
          <t>Koralltaggsvamp</t>
        </is>
      </c>
      <c r="W461">
        <f>HYPERLINK("https://klasma.github.io/Logging_1290/artfynd/A 45495-2024 artfynd.xlsx", "A 45495-2024")</f>
        <v/>
      </c>
      <c r="X461">
        <f>HYPERLINK("https://klasma.github.io/Logging_1290/kartor/A 45495-2024 karta.png", "A 45495-2024")</f>
        <v/>
      </c>
      <c r="Y461">
        <f>HYPERLINK("https://klasma.github.io/Logging_1290/kartor_geotiff/A 45495-2024 georefererad karta.tif", "A 45495-2024")</f>
        <v/>
      </c>
      <c r="AA461">
        <f>HYPERLINK("https://klasma.github.io/Logging_1290/klagomål/A 45495-2024 FSC-klagomål.docx", "A 45495-2024")</f>
        <v/>
      </c>
      <c r="AB461">
        <f>HYPERLINK("https://klasma.github.io/Logging_1290/klagomålsmail/A 45495-2024 FSC-klagomål mail.docx", "A 45495-2024")</f>
        <v/>
      </c>
      <c r="AC461">
        <f>HYPERLINK("https://klasma.github.io/Logging_1290/tillsyn/A 45495-2024 tillsynsbegäran.docx", "A 45495-2024")</f>
        <v/>
      </c>
      <c r="AD461">
        <f>HYPERLINK("https://klasma.github.io/Logging_1290/tillsynsmail/A 45495-2024 tillsynsbegäran mail.docx", "A 45495-2024")</f>
        <v/>
      </c>
    </row>
    <row r="462" ht="15" customHeight="1">
      <c r="A462" t="inlineStr">
        <is>
          <t>A 50134-2024</t>
        </is>
      </c>
      <c r="B462" t="inlineStr">
        <is>
          <t>avverkningsanmälan</t>
        </is>
      </c>
      <c r="C462" t="inlineStr">
        <is>
          <t>Föryngringsavverkning</t>
        </is>
      </c>
      <c r="D462" s="1" t="n">
        <v>45600</v>
      </c>
      <c r="E462" s="1" t="n">
        <v>46312</v>
      </c>
      <c r="F462" t="inlineStr">
        <is>
          <t>SKÅNE LÄN</t>
        </is>
      </c>
      <c r="G462" t="inlineStr">
        <is>
          <t>SIMRISHAMN</t>
        </is>
      </c>
      <c r="I462" t="n">
        <v>1.8</v>
      </c>
      <c r="J462" t="n">
        <v>1</v>
      </c>
      <c r="K462" t="n">
        <v>0</v>
      </c>
      <c r="L462" t="n">
        <v>0</v>
      </c>
      <c r="M462" t="n">
        <v>0</v>
      </c>
      <c r="N462" t="n">
        <v>0</v>
      </c>
      <c r="O462" t="n">
        <v>0</v>
      </c>
      <c r="P462" t="n">
        <v>0</v>
      </c>
      <c r="Q462" t="n">
        <v>0</v>
      </c>
      <c r="R462" t="n">
        <v>0</v>
      </c>
      <c r="S462" t="n">
        <v>1</v>
      </c>
      <c r="T462" t="n">
        <v>1</v>
      </c>
      <c r="U462" t="n">
        <v>0</v>
      </c>
      <c r="V462" s="2" t="inlineStr">
        <is>
          <t>Hasselmus</t>
        </is>
      </c>
      <c r="W462">
        <f>HYPERLINK("https://klasma.github.io/Logging_1291/artfynd/A 50134-2024 artfynd.xlsx", "A 50134-2024")</f>
        <v/>
      </c>
      <c r="X462">
        <f>HYPERLINK("https://klasma.github.io/Logging_1291/kartor/A 50134-2024 karta.png", "A 50134-2024")</f>
        <v/>
      </c>
      <c r="Y462">
        <f>HYPERLINK("https://klasma.github.io/Logging_1291/kartor_geotiff/A 50134-2024 georefererad karta.tif", "A 50134-2024")</f>
        <v/>
      </c>
      <c r="AA462">
        <f>HYPERLINK("https://klasma.github.io/Logging_1291/klagomål/A 50134-2024 FSC-klagomål.docx", "A 50134-2024")</f>
        <v/>
      </c>
      <c r="AB462">
        <f>HYPERLINK("https://klasma.github.io/Logging_1291/klagomålsmail/A 50134-2024 FSC-klagomål mail.docx", "A 50134-2024")</f>
        <v/>
      </c>
      <c r="AC462">
        <f>HYPERLINK("https://klasma.github.io/Logging_1291/tillsyn/A 50134-2024 tillsynsbegäran.docx", "A 50134-2024")</f>
        <v/>
      </c>
      <c r="AD462">
        <f>HYPERLINK("https://klasma.github.io/Logging_1291/tillsynsmail/A 50134-2024 tillsynsbegäran mail.docx", "A 50134-2024")</f>
        <v/>
      </c>
    </row>
    <row r="463" ht="15" customHeight="1">
      <c r="A463" t="inlineStr">
        <is>
          <t>A 42053-2023</t>
        </is>
      </c>
      <c r="B463" t="inlineStr">
        <is>
          <t>avverkningsanmälan</t>
        </is>
      </c>
      <c r="C463" t="inlineStr">
        <is>
          <t>Föryngringsavverkning</t>
        </is>
      </c>
      <c r="D463" s="1" t="n">
        <v>45174</v>
      </c>
      <c r="E463" s="1" t="n">
        <v>46312</v>
      </c>
      <c r="F463" t="inlineStr">
        <is>
          <t>SKÅNE LÄN</t>
        </is>
      </c>
      <c r="G463" t="inlineStr">
        <is>
          <t>HÖÖR</t>
        </is>
      </c>
      <c r="I463" t="n">
        <v>1</v>
      </c>
      <c r="J463" t="n">
        <v>0</v>
      </c>
      <c r="K463" t="n">
        <v>0</v>
      </c>
      <c r="L463" t="n">
        <v>0</v>
      </c>
      <c r="M463" t="n">
        <v>1</v>
      </c>
      <c r="N463" t="n">
        <v>0</v>
      </c>
      <c r="O463" t="n">
        <v>0</v>
      </c>
      <c r="P463" t="n">
        <v>0</v>
      </c>
      <c r="Q463" t="n">
        <v>1</v>
      </c>
      <c r="R463" t="n">
        <v>1</v>
      </c>
      <c r="S463" t="n">
        <v>1</v>
      </c>
      <c r="T463" t="n">
        <v>1</v>
      </c>
      <c r="U463" t="n">
        <v>1</v>
      </c>
      <c r="V463" s="2" t="inlineStr">
        <is>
          <t>Småvänderot</t>
        </is>
      </c>
      <c r="W463">
        <f>HYPERLINK("https://klasma.github.io/Logging_1267/artfynd/A 42053-2023 artfynd.xlsx", "A 42053-2023")</f>
        <v/>
      </c>
      <c r="X463">
        <f>HYPERLINK("https://klasma.github.io/Logging_1267/kartor/A 42053-2023 karta.png", "A 42053-2023")</f>
        <v/>
      </c>
      <c r="Y463">
        <f>HYPERLINK("https://klasma.github.io/Logging_1267/kartor_geotiff/A 42053-2023 georefererad karta.tif", "A 42053-2023")</f>
        <v/>
      </c>
      <c r="AA463">
        <f>HYPERLINK("https://klasma.github.io/Logging_1267/klagomål/A 42053-2023 FSC-klagomål.docx", "A 42053-2023")</f>
        <v/>
      </c>
      <c r="AB463">
        <f>HYPERLINK("https://klasma.github.io/Logging_1267/klagomålsmail/A 42053-2023 FSC-klagomål mail.docx", "A 42053-2023")</f>
        <v/>
      </c>
      <c r="AC463">
        <f>HYPERLINK("https://klasma.github.io/Logging_1267/tillsyn/A 42053-2023 tillsynsbegäran.docx", "A 42053-2023")</f>
        <v/>
      </c>
      <c r="AD463">
        <f>HYPERLINK("https://klasma.github.io/Logging_1267/tillsynsmail/A 42053-2023 tillsynsbegäran mail.docx", "A 42053-2023")</f>
        <v/>
      </c>
    </row>
    <row r="464" ht="15" customHeight="1">
      <c r="A464" t="inlineStr">
        <is>
          <t>A 1604-2025</t>
        </is>
      </c>
      <c r="B464" t="inlineStr">
        <is>
          <t>avverkningsanmälan</t>
        </is>
      </c>
      <c r="C464" t="inlineStr">
        <is>
          <t>Föryngringsavverkning</t>
        </is>
      </c>
      <c r="D464" s="1" t="n">
        <v>45670</v>
      </c>
      <c r="E464" s="1" t="n">
        <v>46312</v>
      </c>
      <c r="F464" t="inlineStr">
        <is>
          <t>SKÅNE LÄN</t>
        </is>
      </c>
      <c r="G464" t="inlineStr">
        <is>
          <t>ÖRKELLJUNGA</t>
        </is>
      </c>
      <c r="H464" t="inlineStr">
        <is>
          <t>Kommuner</t>
        </is>
      </c>
      <c r="I464" t="n">
        <v>7</v>
      </c>
      <c r="J464" t="n">
        <v>0</v>
      </c>
      <c r="K464" t="n">
        <v>0</v>
      </c>
      <c r="L464" t="n">
        <v>0</v>
      </c>
      <c r="M464" t="n">
        <v>1</v>
      </c>
      <c r="N464" t="n">
        <v>0</v>
      </c>
      <c r="O464" t="n">
        <v>0</v>
      </c>
      <c r="P464" t="n">
        <v>0</v>
      </c>
      <c r="Q464" t="n">
        <v>1</v>
      </c>
      <c r="R464" t="n">
        <v>1</v>
      </c>
      <c r="S464" t="n">
        <v>1</v>
      </c>
      <c r="T464" t="n">
        <v>1</v>
      </c>
      <c r="U464" t="n">
        <v>1</v>
      </c>
      <c r="V464" s="2" t="inlineStr">
        <is>
          <t>Igelkott</t>
        </is>
      </c>
      <c r="W464">
        <f>HYPERLINK("https://klasma.github.io/Logging_1257/artfynd/A 1604-2025 artfynd.xlsx", "A 1604-2025")</f>
        <v/>
      </c>
      <c r="X464">
        <f>HYPERLINK("https://klasma.github.io/Logging_1257/kartor/A 1604-2025 karta.png", "A 1604-2025")</f>
        <v/>
      </c>
      <c r="Y464">
        <f>HYPERLINK("https://klasma.github.io/Logging_1257/kartor_geotiff/A 1604-2025 georefererad karta.tif", "A 1604-2025")</f>
        <v/>
      </c>
      <c r="AA464">
        <f>HYPERLINK("https://klasma.github.io/Logging_1257/klagomål/A 1604-2025 FSC-klagomål.docx", "A 1604-2025")</f>
        <v/>
      </c>
      <c r="AB464">
        <f>HYPERLINK("https://klasma.github.io/Logging_1257/klagomålsmail/A 1604-2025 FSC-klagomål mail.docx", "A 1604-2025")</f>
        <v/>
      </c>
      <c r="AC464">
        <f>HYPERLINK("https://klasma.github.io/Logging_1257/tillsyn/A 1604-2025 tillsynsbegäran.docx", "A 1604-2025")</f>
        <v/>
      </c>
      <c r="AD464">
        <f>HYPERLINK("https://klasma.github.io/Logging_1257/tillsynsmail/A 1604-2025 tillsynsbegäran mail.docx", "A 1604-2025")</f>
        <v/>
      </c>
    </row>
    <row r="465" ht="15" customHeight="1">
      <c r="A465" t="inlineStr">
        <is>
          <t>A 4386-2024</t>
        </is>
      </c>
      <c r="B465" t="inlineStr">
        <is>
          <t>avverkningsanmälan</t>
        </is>
      </c>
      <c r="C465" t="inlineStr">
        <is>
          <t>Föryngringsavverkning</t>
        </is>
      </c>
      <c r="D465" s="1" t="n">
        <v>45327</v>
      </c>
      <c r="E465" s="1" t="n">
        <v>46312</v>
      </c>
      <c r="F465" t="inlineStr">
        <is>
          <t>SKÅNE LÄN</t>
        </is>
      </c>
      <c r="G465" t="inlineStr">
        <is>
          <t>ÖSTRA GÖINGE</t>
        </is>
      </c>
      <c r="I465" t="n">
        <v>1.8</v>
      </c>
      <c r="J465" t="n">
        <v>0</v>
      </c>
      <c r="K465" t="n">
        <v>0</v>
      </c>
      <c r="L465" t="n">
        <v>0</v>
      </c>
      <c r="M465" t="n">
        <v>1</v>
      </c>
      <c r="N465" t="n">
        <v>0</v>
      </c>
      <c r="O465" t="n">
        <v>0</v>
      </c>
      <c r="P465" t="n">
        <v>0</v>
      </c>
      <c r="Q465" t="n">
        <v>1</v>
      </c>
      <c r="R465" t="n">
        <v>1</v>
      </c>
      <c r="S465" t="n">
        <v>1</v>
      </c>
      <c r="T465" t="n">
        <v>1</v>
      </c>
      <c r="U465" t="n">
        <v>1</v>
      </c>
      <c r="V465" s="2" t="inlineStr">
        <is>
          <t>Igelkott</t>
        </is>
      </c>
      <c r="W465">
        <f>HYPERLINK("https://klasma.github.io/Logging_1256/artfynd/A 4386-2024 artfynd.xlsx", "A 4386-2024")</f>
        <v/>
      </c>
      <c r="X465">
        <f>HYPERLINK("https://klasma.github.io/Logging_1256/kartor/A 4386-2024 karta.png", "A 4386-2024")</f>
        <v/>
      </c>
      <c r="Y465">
        <f>HYPERLINK("https://klasma.github.io/Logging_1256/kartor_geotiff/A 4386-2024 georefererad karta.tif", "A 4386-2024")</f>
        <v/>
      </c>
      <c r="AA465">
        <f>HYPERLINK("https://klasma.github.io/Logging_1256/klagomål/A 4386-2024 FSC-klagomål.docx", "A 4386-2024")</f>
        <v/>
      </c>
      <c r="AB465">
        <f>HYPERLINK("https://klasma.github.io/Logging_1256/klagomålsmail/A 4386-2024 FSC-klagomål mail.docx", "A 4386-2024")</f>
        <v/>
      </c>
      <c r="AC465">
        <f>HYPERLINK("https://klasma.github.io/Logging_1256/tillsyn/A 4386-2024 tillsynsbegäran.docx", "A 4386-2024")</f>
        <v/>
      </c>
      <c r="AD465">
        <f>HYPERLINK("https://klasma.github.io/Logging_1256/tillsynsmail/A 4386-2024 tillsynsbegäran mail.docx", "A 4386-2024")</f>
        <v/>
      </c>
    </row>
    <row r="466" ht="15" customHeight="1">
      <c r="A466" t="inlineStr">
        <is>
          <t>A 12338-2024</t>
        </is>
      </c>
      <c r="B466" t="inlineStr">
        <is>
          <t>avverkningsanmälan</t>
        </is>
      </c>
      <c r="C466" t="inlineStr">
        <is>
          <t>Föryngringsavverkning</t>
        </is>
      </c>
      <c r="D466" s="1" t="n">
        <v>45378</v>
      </c>
      <c r="E466" s="1" t="n">
        <v>46312</v>
      </c>
      <c r="F466" t="inlineStr">
        <is>
          <t>SKÅNE LÄN</t>
        </is>
      </c>
      <c r="G466" t="inlineStr">
        <is>
          <t>HÄSSLEHOLM</t>
        </is>
      </c>
      <c r="I466" t="n">
        <v>1.8</v>
      </c>
      <c r="J466" t="n">
        <v>0</v>
      </c>
      <c r="K466" t="n">
        <v>0</v>
      </c>
      <c r="L466" t="n">
        <v>0</v>
      </c>
      <c r="M466" t="n">
        <v>0</v>
      </c>
      <c r="N466" t="n">
        <v>1</v>
      </c>
      <c r="O466" t="n">
        <v>0</v>
      </c>
      <c r="P466" t="n">
        <v>0</v>
      </c>
      <c r="Q466" t="n">
        <v>1</v>
      </c>
      <c r="R466" t="n">
        <v>1</v>
      </c>
      <c r="S466" t="n">
        <v>1</v>
      </c>
      <c r="T466" t="n">
        <v>1</v>
      </c>
      <c r="U466" t="n">
        <v>0</v>
      </c>
      <c r="V466" s="2" t="inlineStr">
        <is>
          <t>Skogsalm</t>
        </is>
      </c>
      <c r="W466">
        <f>HYPERLINK("https://klasma.github.io/Logging_1293/artfynd/A 12338-2024 artfynd.xlsx", "A 12338-2024")</f>
        <v/>
      </c>
      <c r="X466">
        <f>HYPERLINK("https://klasma.github.io/Logging_1293/kartor/A 12338-2024 karta.png", "A 12338-2024")</f>
        <v/>
      </c>
      <c r="Y466">
        <f>HYPERLINK("https://klasma.github.io/Logging_1293/kartor_geotiff/A 12338-2024 georefererad karta.tif", "A 12338-2024")</f>
        <v/>
      </c>
      <c r="AA466">
        <f>HYPERLINK("https://klasma.github.io/Logging_1293/klagomål/A 12338-2024 FSC-klagomål.docx", "A 12338-2024")</f>
        <v/>
      </c>
      <c r="AB466">
        <f>HYPERLINK("https://klasma.github.io/Logging_1293/klagomålsmail/A 12338-2024 FSC-klagomål mail.docx", "A 12338-2024")</f>
        <v/>
      </c>
      <c r="AC466">
        <f>HYPERLINK("https://klasma.github.io/Logging_1293/tillsyn/A 12338-2024 tillsynsbegäran.docx", "A 12338-2024")</f>
        <v/>
      </c>
      <c r="AD466">
        <f>HYPERLINK("https://klasma.github.io/Logging_1293/tillsynsmail/A 12338-2024 tillsynsbegäran mail.docx", "A 12338-2024")</f>
        <v/>
      </c>
    </row>
    <row r="467" ht="15" customHeight="1">
      <c r="A467" t="inlineStr">
        <is>
          <t>A 28425-2024</t>
        </is>
      </c>
      <c r="B467" t="inlineStr">
        <is>
          <t>avverkningsanmälan</t>
        </is>
      </c>
      <c r="C467" t="inlineStr">
        <is>
          <t>Föryngringsavverkning</t>
        </is>
      </c>
      <c r="D467" s="1" t="n">
        <v>45477</v>
      </c>
      <c r="E467" s="1" t="n">
        <v>46312</v>
      </c>
      <c r="F467" t="inlineStr">
        <is>
          <t>SKÅNE LÄN</t>
        </is>
      </c>
      <c r="G467" t="inlineStr">
        <is>
          <t>KRISTIANSTAD</t>
        </is>
      </c>
      <c r="H467" t="inlineStr">
        <is>
          <t>Sveaskog</t>
        </is>
      </c>
      <c r="I467" t="n">
        <v>2.5</v>
      </c>
      <c r="J467" t="n">
        <v>0</v>
      </c>
      <c r="K467" t="n">
        <v>0</v>
      </c>
      <c r="L467" t="n">
        <v>0</v>
      </c>
      <c r="M467" t="n">
        <v>0</v>
      </c>
      <c r="N467" t="n">
        <v>0</v>
      </c>
      <c r="O467" t="n">
        <v>0</v>
      </c>
      <c r="P467" t="n">
        <v>0</v>
      </c>
      <c r="Q467" t="n">
        <v>0</v>
      </c>
      <c r="R467" t="n">
        <v>0</v>
      </c>
      <c r="S467" t="n">
        <v>1</v>
      </c>
      <c r="T467" t="n">
        <v>1</v>
      </c>
      <c r="U467" t="n">
        <v>1</v>
      </c>
      <c r="V467" s="2" t="inlineStr">
        <is>
          <t>Missne</t>
        </is>
      </c>
      <c r="W467">
        <f>HYPERLINK("https://klasma.github.io/Logging_1290/artfynd/A 28425-2024 artfynd.xlsx", "A 28425-2024")</f>
        <v/>
      </c>
      <c r="X467">
        <f>HYPERLINK("https://klasma.github.io/Logging_1290/kartor/A 28425-2024 karta.png", "A 28425-2024")</f>
        <v/>
      </c>
      <c r="Y467">
        <f>HYPERLINK("https://klasma.github.io/Logging_1290/kartor_geotiff/A 28425-2024 georefererad karta.tif", "A 28425-2024")</f>
        <v/>
      </c>
      <c r="AA467">
        <f>HYPERLINK("https://klasma.github.io/Logging_1290/klagomål/A 28425-2024 FSC-klagomål.docx", "A 28425-2024")</f>
        <v/>
      </c>
      <c r="AB467">
        <f>HYPERLINK("https://klasma.github.io/Logging_1290/klagomålsmail/A 28425-2024 FSC-klagomål mail.docx", "A 28425-2024")</f>
        <v/>
      </c>
      <c r="AC467">
        <f>HYPERLINK("https://klasma.github.io/Logging_1290/tillsyn/A 28425-2024 tillsynsbegäran.docx", "A 28425-2024")</f>
        <v/>
      </c>
      <c r="AD467">
        <f>HYPERLINK("https://klasma.github.io/Logging_1290/tillsynsmail/A 28425-2024 tillsynsbegäran mail.docx", "A 28425-2024")</f>
        <v/>
      </c>
    </row>
    <row r="468" ht="15" customHeight="1">
      <c r="A468" t="inlineStr">
        <is>
          <t>A 9018-2024</t>
        </is>
      </c>
      <c r="B468" t="inlineStr">
        <is>
          <t>avverkningsanmälan</t>
        </is>
      </c>
      <c r="C468" t="inlineStr">
        <is>
          <t>Föryngringsavverkning</t>
        </is>
      </c>
      <c r="D468" s="1" t="n">
        <v>45357</v>
      </c>
      <c r="E468" s="1" t="n">
        <v>46312</v>
      </c>
      <c r="F468" t="inlineStr">
        <is>
          <t>SKÅNE LÄN</t>
        </is>
      </c>
      <c r="G468" t="inlineStr">
        <is>
          <t>KRISTIANSTAD</t>
        </is>
      </c>
      <c r="I468" t="n">
        <v>2</v>
      </c>
      <c r="J468" t="n">
        <v>1</v>
      </c>
      <c r="K468" t="n">
        <v>0</v>
      </c>
      <c r="L468" t="n">
        <v>0</v>
      </c>
      <c r="M468" t="n">
        <v>1</v>
      </c>
      <c r="N468" t="n">
        <v>0</v>
      </c>
      <c r="O468" t="n">
        <v>0</v>
      </c>
      <c r="P468" t="n">
        <v>0</v>
      </c>
      <c r="Q468" t="n">
        <v>1</v>
      </c>
      <c r="R468" t="n">
        <v>1</v>
      </c>
      <c r="S468" t="n">
        <v>1</v>
      </c>
      <c r="T468" t="n">
        <v>1</v>
      </c>
      <c r="U468" t="n">
        <v>1</v>
      </c>
      <c r="V468" s="2" t="inlineStr">
        <is>
          <t>Hedblomster</t>
        </is>
      </c>
      <c r="W468">
        <f>HYPERLINK("https://klasma.github.io/Logging_1290/artfynd/A 9018-2024 artfynd.xlsx", "A 9018-2024")</f>
        <v/>
      </c>
      <c r="X468">
        <f>HYPERLINK("https://klasma.github.io/Logging_1290/kartor/A 9018-2024 karta.png", "A 9018-2024")</f>
        <v/>
      </c>
      <c r="Y468">
        <f>HYPERLINK("https://klasma.github.io/Logging_1290/kartor_geotiff/A 9018-2024 georefererad karta.tif", "A 9018-2024")</f>
        <v/>
      </c>
      <c r="AA468">
        <f>HYPERLINK("https://klasma.github.io/Logging_1290/klagomål/A 9018-2024 FSC-klagomål.docx", "A 9018-2024")</f>
        <v/>
      </c>
      <c r="AB468">
        <f>HYPERLINK("https://klasma.github.io/Logging_1290/klagomålsmail/A 9018-2024 FSC-klagomål mail.docx", "A 9018-2024")</f>
        <v/>
      </c>
      <c r="AC468">
        <f>HYPERLINK("https://klasma.github.io/Logging_1290/tillsyn/A 9018-2024 tillsynsbegäran.docx", "A 9018-2024")</f>
        <v/>
      </c>
      <c r="AD468">
        <f>HYPERLINK("https://klasma.github.io/Logging_1290/tillsynsmail/A 9018-2024 tillsynsbegäran mail.docx", "A 9018-2024")</f>
        <v/>
      </c>
    </row>
    <row r="469" ht="15" customHeight="1">
      <c r="A469" t="inlineStr">
        <is>
          <t>A 13766-2023</t>
        </is>
      </c>
      <c r="B469" t="inlineStr">
        <is>
          <t>avverkningsanmälan</t>
        </is>
      </c>
      <c r="C469" t="inlineStr">
        <is>
          <t>Avverkning för annat ändamål</t>
        </is>
      </c>
      <c r="D469" s="1" t="n">
        <v>45007</v>
      </c>
      <c r="E469" s="1" t="n">
        <v>46312</v>
      </c>
      <c r="F469" t="inlineStr">
        <is>
          <t>SKÅNE LÄN</t>
        </is>
      </c>
      <c r="G469" t="inlineStr">
        <is>
          <t>YSTAD</t>
        </is>
      </c>
      <c r="I469" t="n">
        <v>0.9</v>
      </c>
      <c r="J469" t="n">
        <v>1</v>
      </c>
      <c r="K469" t="n">
        <v>0</v>
      </c>
      <c r="L469" t="n">
        <v>0</v>
      </c>
      <c r="M469" t="n">
        <v>0</v>
      </c>
      <c r="N469" t="n">
        <v>0</v>
      </c>
      <c r="O469" t="n">
        <v>0</v>
      </c>
      <c r="P469" t="n">
        <v>0</v>
      </c>
      <c r="Q469" t="n">
        <v>0</v>
      </c>
      <c r="R469" t="n">
        <v>0</v>
      </c>
      <c r="S469" t="n">
        <v>1</v>
      </c>
      <c r="T469" t="n">
        <v>1</v>
      </c>
      <c r="U469" t="n">
        <v>0</v>
      </c>
      <c r="V469" s="2" t="inlineStr">
        <is>
          <t>Större vattensalamander</t>
        </is>
      </c>
      <c r="W469">
        <f>HYPERLINK("https://klasma.github.io/Logging_1286/artfynd/A 13766-2023 artfynd.xlsx", "A 13766-2023")</f>
        <v/>
      </c>
      <c r="X469">
        <f>HYPERLINK("https://klasma.github.io/Logging_1286/kartor/A 13766-2023 karta.png", "A 13766-2023")</f>
        <v/>
      </c>
      <c r="Y469">
        <f>HYPERLINK("https://klasma.github.io/Logging_1286/kartor_geotiff/A 13766-2023 georefererad karta.tif", "A 13766-2023")</f>
        <v/>
      </c>
      <c r="AA469">
        <f>HYPERLINK("https://klasma.github.io/Logging_1286/klagomål/A 13766-2023 FSC-klagomål.docx", "A 13766-2023")</f>
        <v/>
      </c>
      <c r="AB469">
        <f>HYPERLINK("https://klasma.github.io/Logging_1286/klagomålsmail/A 13766-2023 FSC-klagomål mail.docx", "A 13766-2023")</f>
        <v/>
      </c>
      <c r="AC469">
        <f>HYPERLINK("https://klasma.github.io/Logging_1286/tillsyn/A 13766-2023 tillsynsbegäran.docx", "A 13766-2023")</f>
        <v/>
      </c>
      <c r="AD469">
        <f>HYPERLINK("https://klasma.github.io/Logging_1286/tillsynsmail/A 13766-2023 tillsynsbegäran mail.docx", "A 13766-2023")</f>
        <v/>
      </c>
    </row>
    <row r="470" ht="15" customHeight="1">
      <c r="A470" t="inlineStr">
        <is>
          <t>A 11170-2023</t>
        </is>
      </c>
      <c r="B470" t="inlineStr">
        <is>
          <t>avverkningsanmälan</t>
        </is>
      </c>
      <c r="C470" t="inlineStr">
        <is>
          <t>Föryngringsavverkning</t>
        </is>
      </c>
      <c r="D470" s="1" t="n">
        <v>44987</v>
      </c>
      <c r="E470" s="1" t="n">
        <v>46312</v>
      </c>
      <c r="F470" t="inlineStr">
        <is>
          <t>SKÅNE LÄN</t>
        </is>
      </c>
      <c r="G470" t="inlineStr">
        <is>
          <t>SVALÖV</t>
        </is>
      </c>
      <c r="I470" t="n">
        <v>0.9</v>
      </c>
      <c r="J470" t="n">
        <v>0</v>
      </c>
      <c r="K470" t="n">
        <v>0</v>
      </c>
      <c r="L470" t="n">
        <v>0</v>
      </c>
      <c r="M470" t="n">
        <v>0</v>
      </c>
      <c r="N470" t="n">
        <v>1</v>
      </c>
      <c r="O470" t="n">
        <v>0</v>
      </c>
      <c r="P470" t="n">
        <v>0</v>
      </c>
      <c r="Q470" t="n">
        <v>1</v>
      </c>
      <c r="R470" t="n">
        <v>1</v>
      </c>
      <c r="S470" t="n">
        <v>1</v>
      </c>
      <c r="T470" t="n">
        <v>1</v>
      </c>
      <c r="U470" t="n">
        <v>1</v>
      </c>
      <c r="V470" s="2" t="inlineStr">
        <is>
          <t>Korndådra</t>
        </is>
      </c>
      <c r="W470">
        <f>HYPERLINK("https://klasma.github.io/Logging_1214/artfynd/A 11170-2023 artfynd.xlsx", "A 11170-2023")</f>
        <v/>
      </c>
      <c r="X470">
        <f>HYPERLINK("https://klasma.github.io/Logging_1214/kartor/A 11170-2023 karta.png", "A 11170-2023")</f>
        <v/>
      </c>
      <c r="Y470">
        <f>HYPERLINK("https://klasma.github.io/Logging_1214/kartor_geotiff/A 11170-2023 georefererad karta.tif", "A 11170-2023")</f>
        <v/>
      </c>
      <c r="AA470">
        <f>HYPERLINK("https://klasma.github.io/Logging_1214/klagomål/A 11170-2023 FSC-klagomål.docx", "A 11170-2023")</f>
        <v/>
      </c>
      <c r="AB470">
        <f>HYPERLINK("https://klasma.github.io/Logging_1214/klagomålsmail/A 11170-2023 FSC-klagomål mail.docx", "A 11170-2023")</f>
        <v/>
      </c>
      <c r="AC470">
        <f>HYPERLINK("https://klasma.github.io/Logging_1214/tillsyn/A 11170-2023 tillsynsbegäran.docx", "A 11170-2023")</f>
        <v/>
      </c>
      <c r="AD470">
        <f>HYPERLINK("https://klasma.github.io/Logging_1214/tillsynsmail/A 11170-2023 tillsynsbegäran mail.docx", "A 11170-2023")</f>
        <v/>
      </c>
    </row>
    <row r="471" ht="15" customHeight="1">
      <c r="A471" t="inlineStr">
        <is>
          <t>A 31115-2024</t>
        </is>
      </c>
      <c r="B471" t="inlineStr">
        <is>
          <t>avverkningsanmälan</t>
        </is>
      </c>
      <c r="C471" t="inlineStr">
        <is>
          <t>Föryngringsavverkning</t>
        </is>
      </c>
      <c r="D471" s="1" t="n">
        <v>45502</v>
      </c>
      <c r="E471" s="1" t="n">
        <v>46312</v>
      </c>
      <c r="F471" t="inlineStr">
        <is>
          <t>SKÅNE LÄN</t>
        </is>
      </c>
      <c r="G471" t="inlineStr">
        <is>
          <t>HÖRBY</t>
        </is>
      </c>
      <c r="I471" t="n">
        <v>0.8</v>
      </c>
      <c r="J471" t="n">
        <v>0</v>
      </c>
      <c r="K471" t="n">
        <v>0</v>
      </c>
      <c r="L471" t="n">
        <v>1</v>
      </c>
      <c r="M471" t="n">
        <v>0</v>
      </c>
      <c r="N471" t="n">
        <v>0</v>
      </c>
      <c r="O471" t="n">
        <v>0</v>
      </c>
      <c r="P471" t="n">
        <v>0</v>
      </c>
      <c r="Q471" t="n">
        <v>1</v>
      </c>
      <c r="R471" t="n">
        <v>0</v>
      </c>
      <c r="S471" t="n">
        <v>1</v>
      </c>
      <c r="T471" t="n">
        <v>1</v>
      </c>
      <c r="U471" t="n">
        <v>0</v>
      </c>
      <c r="V471" s="2" t="inlineStr">
        <is>
          <t>Gullpudra</t>
        </is>
      </c>
      <c r="W471">
        <f>HYPERLINK("https://klasma.github.io/Logging_1266/artfynd/A 31115-2024 artfynd.xlsx", "A 31115-2024")</f>
        <v/>
      </c>
      <c r="X471">
        <f>HYPERLINK("https://klasma.github.io/Logging_1266/kartor/A 31115-2024 karta.png", "A 31115-2024")</f>
        <v/>
      </c>
      <c r="Y471">
        <f>HYPERLINK("https://klasma.github.io/Logging_1266/kartor_geotiff/A 31115-2024 georefererad karta.tif", "A 31115-2024")</f>
        <v/>
      </c>
      <c r="AA471">
        <f>HYPERLINK("https://klasma.github.io/Logging_1266/klagomål/A 31115-2024 FSC-klagomål.docx", "A 31115-2024")</f>
        <v/>
      </c>
      <c r="AB471">
        <f>HYPERLINK("https://klasma.github.io/Logging_1266/klagomålsmail/A 31115-2024 FSC-klagomål mail.docx", "A 31115-2024")</f>
        <v/>
      </c>
      <c r="AC471">
        <f>HYPERLINK("https://klasma.github.io/Logging_1266/tillsyn/A 31115-2024 tillsynsbegäran.docx", "A 31115-2024")</f>
        <v/>
      </c>
      <c r="AD471">
        <f>HYPERLINK("https://klasma.github.io/Logging_1266/tillsynsmail/A 31115-2024 tillsynsbegäran mail.docx", "A 31115-2024")</f>
        <v/>
      </c>
    </row>
    <row r="472" ht="15" customHeight="1">
      <c r="A472" t="inlineStr">
        <is>
          <t>A 31722-2023</t>
        </is>
      </c>
      <c r="B472" t="inlineStr">
        <is>
          <t>avverkningsanmälan</t>
        </is>
      </c>
      <c r="C472" t="inlineStr">
        <is>
          <t>Föryngringsavverkning</t>
        </is>
      </c>
      <c r="D472" s="1" t="n">
        <v>45117</v>
      </c>
      <c r="E472" s="1" t="n">
        <v>46312</v>
      </c>
      <c r="F472" t="inlineStr">
        <is>
          <t>SKÅNE LÄN</t>
        </is>
      </c>
      <c r="G472" t="inlineStr">
        <is>
          <t>OSBY</t>
        </is>
      </c>
      <c r="I472" t="n">
        <v>0.6</v>
      </c>
      <c r="J472" t="n">
        <v>1</v>
      </c>
      <c r="K472" t="n">
        <v>0</v>
      </c>
      <c r="L472" t="n">
        <v>0</v>
      </c>
      <c r="M472" t="n">
        <v>0</v>
      </c>
      <c r="N472" t="n">
        <v>1</v>
      </c>
      <c r="O472" t="n">
        <v>0</v>
      </c>
      <c r="P472" t="n">
        <v>0</v>
      </c>
      <c r="Q472" t="n">
        <v>1</v>
      </c>
      <c r="R472" t="n">
        <v>1</v>
      </c>
      <c r="S472" t="n">
        <v>1</v>
      </c>
      <c r="T472" t="n">
        <v>1</v>
      </c>
      <c r="U472" t="n">
        <v>1</v>
      </c>
      <c r="V472" s="2" t="inlineStr">
        <is>
          <t>Klockgentiana</t>
        </is>
      </c>
      <c r="W472">
        <f>HYPERLINK("https://klasma.github.io/Logging_1273/artfynd/A 31722-2023 artfynd.xlsx", "A 31722-2023")</f>
        <v/>
      </c>
      <c r="X472">
        <f>HYPERLINK("https://klasma.github.io/Logging_1273/kartor/A 31722-2023 karta.png", "A 31722-2023")</f>
        <v/>
      </c>
      <c r="Y472">
        <f>HYPERLINK("https://klasma.github.io/Logging_1273/kartor_geotiff/A 31722-2023 georefererad karta.tif", "A 31722-2023")</f>
        <v/>
      </c>
      <c r="AA472">
        <f>HYPERLINK("https://klasma.github.io/Logging_1273/klagomål/A 31722-2023 FSC-klagomål.docx", "A 31722-2023")</f>
        <v/>
      </c>
      <c r="AB472">
        <f>HYPERLINK("https://klasma.github.io/Logging_1273/klagomålsmail/A 31722-2023 FSC-klagomål mail.docx", "A 31722-2023")</f>
        <v/>
      </c>
      <c r="AC472">
        <f>HYPERLINK("https://klasma.github.io/Logging_1273/tillsyn/A 31722-2023 tillsynsbegäran.docx", "A 31722-2023")</f>
        <v/>
      </c>
      <c r="AD472">
        <f>HYPERLINK("https://klasma.github.io/Logging_1273/tillsynsmail/A 31722-2023 tillsynsbegäran mail.docx", "A 31722-2023")</f>
        <v/>
      </c>
    </row>
    <row r="473" ht="15" customHeight="1">
      <c r="A473" t="inlineStr">
        <is>
          <t>A 13977-2025</t>
        </is>
      </c>
      <c r="B473" t="inlineStr">
        <is>
          <t>avverkningsanmälan</t>
        </is>
      </c>
      <c r="C473" t="inlineStr">
        <is>
          <t>Föryngringsavverkning</t>
        </is>
      </c>
      <c r="D473" s="1" t="n">
        <v>45738</v>
      </c>
      <c r="E473" s="1" t="n">
        <v>46312</v>
      </c>
      <c r="F473" t="inlineStr">
        <is>
          <t>SKÅNE LÄN</t>
        </is>
      </c>
      <c r="G473" t="inlineStr">
        <is>
          <t>KRISTIANSTAD</t>
        </is>
      </c>
      <c r="I473" t="n">
        <v>8.9</v>
      </c>
      <c r="J473" t="n">
        <v>0</v>
      </c>
      <c r="K473" t="n">
        <v>1</v>
      </c>
      <c r="L473" t="n">
        <v>0</v>
      </c>
      <c r="M473" t="n">
        <v>0</v>
      </c>
      <c r="N473" t="n">
        <v>0</v>
      </c>
      <c r="O473" t="n">
        <v>0</v>
      </c>
      <c r="P473" t="n">
        <v>0</v>
      </c>
      <c r="Q473" t="n">
        <v>0</v>
      </c>
      <c r="R473" t="n">
        <v>0</v>
      </c>
      <c r="S473" t="n">
        <v>1</v>
      </c>
      <c r="T473" t="n">
        <v>1</v>
      </c>
      <c r="U473" t="n">
        <v>1</v>
      </c>
      <c r="V473" s="2" t="inlineStr">
        <is>
          <t>Rostfläck</t>
        </is>
      </c>
      <c r="W473">
        <f>HYPERLINK("https://klasma.github.io/Logging_1290/artfynd/A 13977-2025 artfynd.xlsx", "A 13977-2025")</f>
        <v/>
      </c>
      <c r="X473">
        <f>HYPERLINK("https://klasma.github.io/Logging_1290/kartor/A 13977-2025 karta.png", "A 13977-2025")</f>
        <v/>
      </c>
      <c r="Y473">
        <f>HYPERLINK("https://klasma.github.io/Logging_1290/kartor_geotiff/A 13977-2025 georefererad karta.tif", "A 13977-2025")</f>
        <v/>
      </c>
      <c r="AA473">
        <f>HYPERLINK("https://klasma.github.io/Logging_1290/klagomål/A 13977-2025 FSC-klagomål.docx", "A 13977-2025")</f>
        <v/>
      </c>
      <c r="AB473">
        <f>HYPERLINK("https://klasma.github.io/Logging_1290/klagomålsmail/A 13977-2025 FSC-klagomål mail.docx", "A 13977-2025")</f>
        <v/>
      </c>
      <c r="AC473">
        <f>HYPERLINK("https://klasma.github.io/Logging_1290/tillsyn/A 13977-2025 tillsynsbegäran.docx", "A 13977-2025")</f>
        <v/>
      </c>
      <c r="AD473">
        <f>HYPERLINK("https://klasma.github.io/Logging_1290/tillsynsmail/A 13977-2025 tillsynsbegäran mail.docx", "A 13977-2025")</f>
        <v/>
      </c>
    </row>
    <row r="474" ht="15" customHeight="1">
      <c r="A474" t="inlineStr">
        <is>
          <t>A 18539-2022</t>
        </is>
      </c>
      <c r="B474" t="inlineStr">
        <is>
          <t>avverkningsanmälan</t>
        </is>
      </c>
      <c r="C474" t="inlineStr">
        <is>
          <t>Föryngringsavverkning</t>
        </is>
      </c>
      <c r="D474" s="1" t="n">
        <v>44686</v>
      </c>
      <c r="E474" s="1" t="n">
        <v>46312</v>
      </c>
      <c r="F474" t="inlineStr">
        <is>
          <t>SKÅNE LÄN</t>
        </is>
      </c>
      <c r="G474" t="inlineStr">
        <is>
          <t>KRISTIANSTAD</t>
        </is>
      </c>
      <c r="I474" t="n">
        <v>4.3</v>
      </c>
      <c r="J474" t="n">
        <v>0</v>
      </c>
      <c r="K474" t="n">
        <v>0</v>
      </c>
      <c r="L474" t="n">
        <v>1</v>
      </c>
      <c r="M474" t="n">
        <v>0</v>
      </c>
      <c r="N474" t="n">
        <v>0</v>
      </c>
      <c r="O474" t="n">
        <v>0</v>
      </c>
      <c r="P474" t="n">
        <v>0</v>
      </c>
      <c r="Q474" t="n">
        <v>1</v>
      </c>
      <c r="R474" t="n">
        <v>0</v>
      </c>
      <c r="S474" t="n">
        <v>1</v>
      </c>
      <c r="T474" t="n">
        <v>1</v>
      </c>
      <c r="U474" t="n">
        <v>0</v>
      </c>
      <c r="V474" s="2" t="inlineStr">
        <is>
          <t>Skogslysing</t>
        </is>
      </c>
      <c r="W474">
        <f>HYPERLINK("https://klasma.github.io/Logging_1290/artfynd/A 18539-2022 artfynd.xlsx", "A 18539-2022")</f>
        <v/>
      </c>
      <c r="X474">
        <f>HYPERLINK("https://klasma.github.io/Logging_1290/kartor/A 18539-2022 karta.png", "A 18539-2022")</f>
        <v/>
      </c>
      <c r="Y474">
        <f>HYPERLINK("https://klasma.github.io/Logging_1290/kartor_geotiff/A 18539-2022 georefererad karta.tif", "A 18539-2022")</f>
        <v/>
      </c>
      <c r="AA474">
        <f>HYPERLINK("https://klasma.github.io/Logging_1290/klagomål/A 18539-2022 FSC-klagomål.docx", "A 18539-2022")</f>
        <v/>
      </c>
      <c r="AB474">
        <f>HYPERLINK("https://klasma.github.io/Logging_1290/klagomålsmail/A 18539-2022 FSC-klagomål mail.docx", "A 18539-2022")</f>
        <v/>
      </c>
      <c r="AC474">
        <f>HYPERLINK("https://klasma.github.io/Logging_1290/tillsyn/A 18539-2022 tillsynsbegäran.docx", "A 18539-2022")</f>
        <v/>
      </c>
      <c r="AD474">
        <f>HYPERLINK("https://klasma.github.io/Logging_1290/tillsynsmail/A 18539-2022 tillsynsbegäran mail.docx", "A 18539-2022")</f>
        <v/>
      </c>
    </row>
    <row r="475" ht="15" customHeight="1">
      <c r="A475" t="inlineStr">
        <is>
          <t>A 11732-2024</t>
        </is>
      </c>
      <c r="B475" t="inlineStr">
        <is>
          <t>avverkningsanmälan</t>
        </is>
      </c>
      <c r="C475" t="inlineStr">
        <is>
          <t>Föryngringsavverkning</t>
        </is>
      </c>
      <c r="D475" s="1" t="n">
        <v>45373</v>
      </c>
      <c r="E475" s="1" t="n">
        <v>46312</v>
      </c>
      <c r="F475" t="inlineStr">
        <is>
          <t>SKÅNE LÄN</t>
        </is>
      </c>
      <c r="G475" t="inlineStr">
        <is>
          <t>LUND</t>
        </is>
      </c>
      <c r="I475" t="n">
        <v>2.8</v>
      </c>
      <c r="J475" t="n">
        <v>1</v>
      </c>
      <c r="K475" t="n">
        <v>0</v>
      </c>
      <c r="L475" t="n">
        <v>0</v>
      </c>
      <c r="M475" t="n">
        <v>0</v>
      </c>
      <c r="N475" t="n">
        <v>1</v>
      </c>
      <c r="O475" t="n">
        <v>0</v>
      </c>
      <c r="P475" t="n">
        <v>0</v>
      </c>
      <c r="Q475" t="n">
        <v>1</v>
      </c>
      <c r="R475" t="n">
        <v>1</v>
      </c>
      <c r="S475" t="n">
        <v>1</v>
      </c>
      <c r="T475" t="n">
        <v>2</v>
      </c>
      <c r="U475" t="n">
        <v>2</v>
      </c>
      <c r="V475" s="2" t="inlineStr">
        <is>
          <t>Dvärgjohannesört</t>
        </is>
      </c>
      <c r="W475">
        <f>HYPERLINK("https://klasma.github.io/Logging_1281/artfynd/A 11732-2024 artfynd.xlsx", "A 11732-2024")</f>
        <v/>
      </c>
      <c r="X475">
        <f>HYPERLINK("https://klasma.github.io/Logging_1281/kartor/A 11732-2024 karta.png", "A 11732-2024")</f>
        <v/>
      </c>
      <c r="Y475">
        <f>HYPERLINK("https://klasma.github.io/Logging_1281/kartor_geotiff/A 11732-2024 georefererad karta.tif", "A 11732-2024")</f>
        <v/>
      </c>
      <c r="AA475">
        <f>HYPERLINK("https://klasma.github.io/Logging_1281/klagomål/A 11732-2024 FSC-klagomål.docx", "A 11732-2024")</f>
        <v/>
      </c>
      <c r="AB475">
        <f>HYPERLINK("https://klasma.github.io/Logging_1281/klagomålsmail/A 11732-2024 FSC-klagomål mail.docx", "A 11732-2024")</f>
        <v/>
      </c>
      <c r="AC475">
        <f>HYPERLINK("https://klasma.github.io/Logging_1281/tillsyn/A 11732-2024 tillsynsbegäran.docx", "A 11732-2024")</f>
        <v/>
      </c>
      <c r="AD475">
        <f>HYPERLINK("https://klasma.github.io/Logging_1281/tillsynsmail/A 11732-2024 tillsynsbegäran mail.docx", "A 11732-2024")</f>
        <v/>
      </c>
    </row>
    <row r="476" ht="15" customHeight="1">
      <c r="A476" t="inlineStr">
        <is>
          <t>A 42027-2023</t>
        </is>
      </c>
      <c r="B476" t="inlineStr">
        <is>
          <t>avverkningsanmälan</t>
        </is>
      </c>
      <c r="C476" t="inlineStr">
        <is>
          <t>Föryngringsavverkning</t>
        </is>
      </c>
      <c r="D476" s="1" t="n">
        <v>45177</v>
      </c>
      <c r="E476" s="1" t="n">
        <v>46312</v>
      </c>
      <c r="F476" t="inlineStr">
        <is>
          <t>SKÅNE LÄN</t>
        </is>
      </c>
      <c r="G476" t="inlineStr">
        <is>
          <t>OSBY</t>
        </is>
      </c>
      <c r="H476" t="inlineStr">
        <is>
          <t>Kommuner</t>
        </is>
      </c>
      <c r="I476" t="n">
        <v>2.2</v>
      </c>
      <c r="J476" t="n">
        <v>0</v>
      </c>
      <c r="K476" t="n">
        <v>1</v>
      </c>
      <c r="L476" t="n">
        <v>0</v>
      </c>
      <c r="M476" t="n">
        <v>0</v>
      </c>
      <c r="N476" t="n">
        <v>0</v>
      </c>
      <c r="O476" t="n">
        <v>0</v>
      </c>
      <c r="P476" t="n">
        <v>0</v>
      </c>
      <c r="Q476" t="n">
        <v>0</v>
      </c>
      <c r="R476" t="n">
        <v>0</v>
      </c>
      <c r="S476" t="n">
        <v>1</v>
      </c>
      <c r="T476" t="n">
        <v>1</v>
      </c>
      <c r="U476" t="n">
        <v>0</v>
      </c>
      <c r="V476" s="2" t="inlineStr">
        <is>
          <t>Grovticka</t>
        </is>
      </c>
      <c r="W476">
        <f>HYPERLINK("https://klasma.github.io/Logging_1273/artfynd/A 42027-2023 artfynd.xlsx", "A 42027-2023")</f>
        <v/>
      </c>
      <c r="X476">
        <f>HYPERLINK("https://klasma.github.io/Logging_1273/kartor/A 42027-2023 karta.png", "A 42027-2023")</f>
        <v/>
      </c>
      <c r="Y476">
        <f>HYPERLINK("https://klasma.github.io/Logging_1273/kartor_geotiff/A 42027-2023 georefererad karta.tif", "A 42027-2023")</f>
        <v/>
      </c>
      <c r="AA476">
        <f>HYPERLINK("https://klasma.github.io/Logging_1273/klagomål/A 42027-2023 FSC-klagomål.docx", "A 42027-2023")</f>
        <v/>
      </c>
      <c r="AB476">
        <f>HYPERLINK("https://klasma.github.io/Logging_1273/klagomålsmail/A 42027-2023 FSC-klagomål mail.docx", "A 42027-2023")</f>
        <v/>
      </c>
      <c r="AC476">
        <f>HYPERLINK("https://klasma.github.io/Logging_1273/tillsyn/A 42027-2023 tillsynsbegäran.docx", "A 42027-2023")</f>
        <v/>
      </c>
      <c r="AD476">
        <f>HYPERLINK("https://klasma.github.io/Logging_1273/tillsynsmail/A 42027-2023 tillsynsbegäran mail.docx", "A 42027-2023")</f>
        <v/>
      </c>
    </row>
    <row r="477" ht="15" customHeight="1">
      <c r="A477" t="inlineStr">
        <is>
          <t>A 61605-2023</t>
        </is>
      </c>
      <c r="B477" t="inlineStr">
        <is>
          <t>avverkningsanmälan</t>
        </is>
      </c>
      <c r="C477" t="inlineStr">
        <is>
          <t>Föryngringsavverkning</t>
        </is>
      </c>
      <c r="D477" s="1" t="n">
        <v>45265</v>
      </c>
      <c r="E477" s="1" t="n">
        <v>46312</v>
      </c>
      <c r="F477" t="inlineStr">
        <is>
          <t>SKÅNE LÄN</t>
        </is>
      </c>
      <c r="G477" t="inlineStr">
        <is>
          <t>KRISTIANSTAD</t>
        </is>
      </c>
      <c r="I477" t="n">
        <v>6.3</v>
      </c>
      <c r="J477" t="n">
        <v>0</v>
      </c>
      <c r="K477" t="n">
        <v>0</v>
      </c>
      <c r="L477" t="n">
        <v>0</v>
      </c>
      <c r="M477" t="n">
        <v>1</v>
      </c>
      <c r="N477" t="n">
        <v>0</v>
      </c>
      <c r="O477" t="n">
        <v>0</v>
      </c>
      <c r="P477" t="n">
        <v>0</v>
      </c>
      <c r="Q477" t="n">
        <v>1</v>
      </c>
      <c r="R477" t="n">
        <v>1</v>
      </c>
      <c r="S477" t="n">
        <v>1</v>
      </c>
      <c r="T477" t="n">
        <v>1</v>
      </c>
      <c r="U477" t="n">
        <v>1</v>
      </c>
      <c r="V477" s="2" t="inlineStr">
        <is>
          <t>Igelkott</t>
        </is>
      </c>
      <c r="W477">
        <f>HYPERLINK("https://klasma.github.io/Logging_1290/artfynd/A 61605-2023 artfynd.xlsx", "A 61605-2023")</f>
        <v/>
      </c>
      <c r="X477">
        <f>HYPERLINK("https://klasma.github.io/Logging_1290/kartor/A 61605-2023 karta.png", "A 61605-2023")</f>
        <v/>
      </c>
      <c r="Y477">
        <f>HYPERLINK("https://klasma.github.io/Logging_1290/kartor_geotiff/A 61605-2023 georefererad karta.tif", "A 61605-2023")</f>
        <v/>
      </c>
      <c r="AA477">
        <f>HYPERLINK("https://klasma.github.io/Logging_1290/klagomål/A 61605-2023 FSC-klagomål.docx", "A 61605-2023")</f>
        <v/>
      </c>
      <c r="AB477">
        <f>HYPERLINK("https://klasma.github.io/Logging_1290/klagomålsmail/A 61605-2023 FSC-klagomål mail.docx", "A 61605-2023")</f>
        <v/>
      </c>
      <c r="AC477">
        <f>HYPERLINK("https://klasma.github.io/Logging_1290/tillsyn/A 61605-2023 tillsynsbegäran.docx", "A 61605-2023")</f>
        <v/>
      </c>
      <c r="AD477">
        <f>HYPERLINK("https://klasma.github.io/Logging_1290/tillsynsmail/A 61605-2023 tillsynsbegäran mail.docx", "A 61605-2023")</f>
        <v/>
      </c>
    </row>
    <row r="478" ht="15" customHeight="1">
      <c r="A478" t="inlineStr">
        <is>
          <t>A 16668-2023</t>
        </is>
      </c>
      <c r="B478" t="inlineStr">
        <is>
          <t>avverkningsanmälan</t>
        </is>
      </c>
      <c r="C478" t="inlineStr">
        <is>
          <t>Föryngringsavverkning</t>
        </is>
      </c>
      <c r="D478" s="1" t="n">
        <v>45030</v>
      </c>
      <c r="E478" s="1" t="n">
        <v>46312</v>
      </c>
      <c r="F478" t="inlineStr">
        <is>
          <t>SKÅNE LÄN</t>
        </is>
      </c>
      <c r="G478" t="inlineStr">
        <is>
          <t>ÖSTRA GÖINGE</t>
        </is>
      </c>
      <c r="I478" t="n">
        <v>1</v>
      </c>
      <c r="J478" t="n">
        <v>1</v>
      </c>
      <c r="K478" t="n">
        <v>0</v>
      </c>
      <c r="L478" t="n">
        <v>1</v>
      </c>
      <c r="M478" t="n">
        <v>0</v>
      </c>
      <c r="N478" t="n">
        <v>0</v>
      </c>
      <c r="O478" t="n">
        <v>0</v>
      </c>
      <c r="P478" t="n">
        <v>0</v>
      </c>
      <c r="Q478" t="n">
        <v>1</v>
      </c>
      <c r="R478" t="n">
        <v>0</v>
      </c>
      <c r="S478" t="n">
        <v>1</v>
      </c>
      <c r="T478" t="n">
        <v>1</v>
      </c>
      <c r="U478" t="n">
        <v>0</v>
      </c>
      <c r="V478" s="2" t="inlineStr">
        <is>
          <t>Mindre hackspett</t>
        </is>
      </c>
      <c r="W478">
        <f>HYPERLINK("https://klasma.github.io/Logging_1256/artfynd/A 16668-2023 artfynd.xlsx", "A 16668-2023")</f>
        <v/>
      </c>
      <c r="X478">
        <f>HYPERLINK("https://klasma.github.io/Logging_1256/kartor/A 16668-2023 karta.png", "A 16668-2023")</f>
        <v/>
      </c>
      <c r="Y478">
        <f>HYPERLINK("https://klasma.github.io/Logging_1256/kartor_geotiff/A 16668-2023 georefererad karta.tif", "A 16668-2023")</f>
        <v/>
      </c>
      <c r="AA478">
        <f>HYPERLINK("https://klasma.github.io/Logging_1256/klagomål/A 16668-2023 FSC-klagomål.docx", "A 16668-2023")</f>
        <v/>
      </c>
      <c r="AB478">
        <f>HYPERLINK("https://klasma.github.io/Logging_1256/klagomålsmail/A 16668-2023 FSC-klagomål mail.docx", "A 16668-2023")</f>
        <v/>
      </c>
      <c r="AC478">
        <f>HYPERLINK("https://klasma.github.io/Logging_1256/tillsyn/A 16668-2023 tillsynsbegäran.docx", "A 16668-2023")</f>
        <v/>
      </c>
      <c r="AD478">
        <f>HYPERLINK("https://klasma.github.io/Logging_1256/tillsynsmail/A 16668-2023 tillsynsbegäran mail.docx", "A 16668-2023")</f>
        <v/>
      </c>
      <c r="AE478">
        <f>HYPERLINK("https://klasma.github.io/Logging_1256/fåglar/A 16668-2023 prioriterade fågelarter.docx", "A 16668-2023")</f>
        <v/>
      </c>
    </row>
    <row r="479" ht="15" customHeight="1">
      <c r="A479" t="inlineStr">
        <is>
          <t>A 12651-2022</t>
        </is>
      </c>
      <c r="B479" t="inlineStr">
        <is>
          <t>avverkningsanmälan</t>
        </is>
      </c>
      <c r="C479" t="inlineStr">
        <is>
          <t>Föryngringsavverkning</t>
        </is>
      </c>
      <c r="D479" s="1" t="n">
        <v>44641</v>
      </c>
      <c r="E479" s="1" t="n">
        <v>46312</v>
      </c>
      <c r="F479" t="inlineStr">
        <is>
          <t>SKÅNE LÄN</t>
        </is>
      </c>
      <c r="G479" t="inlineStr">
        <is>
          <t>HELSINGBORG</t>
        </is>
      </c>
      <c r="I479" t="n">
        <v>3.2</v>
      </c>
      <c r="J479" t="n">
        <v>0</v>
      </c>
      <c r="K479" t="n">
        <v>0</v>
      </c>
      <c r="L479" t="n">
        <v>1</v>
      </c>
      <c r="M479" t="n">
        <v>0</v>
      </c>
      <c r="N479" t="n">
        <v>0</v>
      </c>
      <c r="O479" t="n">
        <v>0</v>
      </c>
      <c r="P479" t="n">
        <v>0</v>
      </c>
      <c r="Q479" t="n">
        <v>1</v>
      </c>
      <c r="R479" t="n">
        <v>0</v>
      </c>
      <c r="S479" t="n">
        <v>1</v>
      </c>
      <c r="T479" t="n">
        <v>1</v>
      </c>
      <c r="U479" t="n">
        <v>0</v>
      </c>
      <c r="V479" s="2" t="inlineStr">
        <is>
          <t>Gullpudra</t>
        </is>
      </c>
      <c r="W479">
        <f>HYPERLINK("https://klasma.github.io/Logging_1283/artfynd/A 12651-2022 artfynd.xlsx", "A 12651-2022")</f>
        <v/>
      </c>
      <c r="X479">
        <f>HYPERLINK("https://klasma.github.io/Logging_1283/kartor/A 12651-2022 karta.png", "A 12651-2022")</f>
        <v/>
      </c>
      <c r="Y479">
        <f>HYPERLINK("https://klasma.github.io/Logging_1283/kartor_geotiff/A 12651-2022 georefererad karta.tif", "A 12651-2022")</f>
        <v/>
      </c>
      <c r="AA479">
        <f>HYPERLINK("https://klasma.github.io/Logging_1283/klagomål/A 12651-2022 FSC-klagomål.docx", "A 12651-2022")</f>
        <v/>
      </c>
      <c r="AB479">
        <f>HYPERLINK("https://klasma.github.io/Logging_1283/klagomålsmail/A 12651-2022 FSC-klagomål mail.docx", "A 12651-2022")</f>
        <v/>
      </c>
      <c r="AC479">
        <f>HYPERLINK("https://klasma.github.io/Logging_1283/tillsyn/A 12651-2022 tillsynsbegäran.docx", "A 12651-2022")</f>
        <v/>
      </c>
      <c r="AD479">
        <f>HYPERLINK("https://klasma.github.io/Logging_1283/tillsynsmail/A 12651-2022 tillsynsbegäran mail.docx", "A 12651-2022")</f>
        <v/>
      </c>
    </row>
    <row r="480" ht="15" customHeight="1">
      <c r="A480" t="inlineStr">
        <is>
          <t>A 6137-2024</t>
        </is>
      </c>
      <c r="B480" t="inlineStr">
        <is>
          <t>avverkningsanmälan</t>
        </is>
      </c>
      <c r="C480" t="inlineStr">
        <is>
          <t>Föryngringsavverkning</t>
        </is>
      </c>
      <c r="D480" s="1" t="n">
        <v>45337</v>
      </c>
      <c r="E480" s="1" t="n">
        <v>46312</v>
      </c>
      <c r="F480" t="inlineStr">
        <is>
          <t>SKÅNE LÄN</t>
        </is>
      </c>
      <c r="G480" t="inlineStr">
        <is>
          <t>ÖRKELLJUNGA</t>
        </is>
      </c>
      <c r="I480" t="n">
        <v>11.7</v>
      </c>
      <c r="J480" t="n">
        <v>0</v>
      </c>
      <c r="K480" t="n">
        <v>0</v>
      </c>
      <c r="L480" t="n">
        <v>0</v>
      </c>
      <c r="M480" t="n">
        <v>0</v>
      </c>
      <c r="N480" t="n">
        <v>1</v>
      </c>
      <c r="O480" t="n">
        <v>0</v>
      </c>
      <c r="P480" t="n">
        <v>0</v>
      </c>
      <c r="Q480" t="n">
        <v>1</v>
      </c>
      <c r="R480" t="n">
        <v>1</v>
      </c>
      <c r="S480" t="n">
        <v>1</v>
      </c>
      <c r="T480" t="n">
        <v>1</v>
      </c>
      <c r="U480" t="n">
        <v>1</v>
      </c>
      <c r="V480" s="2" t="inlineStr">
        <is>
          <t>Skorpplätt</t>
        </is>
      </c>
      <c r="W480">
        <f>HYPERLINK("https://klasma.github.io/Logging_1257/artfynd/A 6137-2024 artfynd.xlsx", "A 6137-2024")</f>
        <v/>
      </c>
      <c r="X480">
        <f>HYPERLINK("https://klasma.github.io/Logging_1257/kartor/A 6137-2024 karta.png", "A 6137-2024")</f>
        <v/>
      </c>
      <c r="Y480">
        <f>HYPERLINK("https://klasma.github.io/Logging_1257/kartor_geotiff/A 6137-2024 georefererad karta.tif", "A 6137-2024")</f>
        <v/>
      </c>
      <c r="AA480">
        <f>HYPERLINK("https://klasma.github.io/Logging_1257/klagomål/A 6137-2024 FSC-klagomål.docx", "A 6137-2024")</f>
        <v/>
      </c>
      <c r="AB480">
        <f>HYPERLINK("https://klasma.github.io/Logging_1257/klagomålsmail/A 6137-2024 FSC-klagomål mail.docx", "A 6137-2024")</f>
        <v/>
      </c>
      <c r="AC480">
        <f>HYPERLINK("https://klasma.github.io/Logging_1257/tillsyn/A 6137-2024 tillsynsbegäran.docx", "A 6137-2024")</f>
        <v/>
      </c>
      <c r="AD480">
        <f>HYPERLINK("https://klasma.github.io/Logging_1257/tillsynsmail/A 6137-2024 tillsynsbegäran mail.docx", "A 6137-2024")</f>
        <v/>
      </c>
    </row>
    <row r="481" ht="15" customHeight="1">
      <c r="A481" t="inlineStr">
        <is>
          <t>A 30918-2022</t>
        </is>
      </c>
      <c r="B481" t="inlineStr">
        <is>
          <t>avverkningsanmälan</t>
        </is>
      </c>
      <c r="C481" t="inlineStr">
        <is>
          <t>Föryngringsavverkning</t>
        </is>
      </c>
      <c r="D481" s="1" t="n">
        <v>44767</v>
      </c>
      <c r="E481" s="1" t="n">
        <v>46312</v>
      </c>
      <c r="F481" t="inlineStr">
        <is>
          <t>SKÅNE LÄN</t>
        </is>
      </c>
      <c r="G481" t="inlineStr">
        <is>
          <t>KRISTIANSTAD</t>
        </is>
      </c>
      <c r="I481" t="n">
        <v>3.4</v>
      </c>
      <c r="J481" t="n">
        <v>0</v>
      </c>
      <c r="K481" t="n">
        <v>0</v>
      </c>
      <c r="L481" t="n">
        <v>0</v>
      </c>
      <c r="M481" t="n">
        <v>1</v>
      </c>
      <c r="N481" t="n">
        <v>0</v>
      </c>
      <c r="O481" t="n">
        <v>0</v>
      </c>
      <c r="P481" t="n">
        <v>0</v>
      </c>
      <c r="Q481" t="n">
        <v>1</v>
      </c>
      <c r="R481" t="n">
        <v>1</v>
      </c>
      <c r="S481" t="n">
        <v>1</v>
      </c>
      <c r="T481" t="n">
        <v>1</v>
      </c>
      <c r="U481" t="n">
        <v>0</v>
      </c>
      <c r="V481" s="2" t="inlineStr">
        <is>
          <t>Sjötåtel</t>
        </is>
      </c>
      <c r="W481">
        <f>HYPERLINK("https://klasma.github.io/Logging_1290/artfynd/A 30918-2022 artfynd.xlsx", "A 30918-2022")</f>
        <v/>
      </c>
      <c r="X481">
        <f>HYPERLINK("https://klasma.github.io/Logging_1290/kartor/A 30918-2022 karta.png", "A 30918-2022")</f>
        <v/>
      </c>
      <c r="Y481">
        <f>HYPERLINK("https://klasma.github.io/Logging_1290/kartor_geotiff/A 30918-2022 georefererad karta.tif", "A 30918-2022")</f>
        <v/>
      </c>
      <c r="AA481">
        <f>HYPERLINK("https://klasma.github.io/Logging_1290/klagomål/A 30918-2022 FSC-klagomål.docx", "A 30918-2022")</f>
        <v/>
      </c>
      <c r="AB481">
        <f>HYPERLINK("https://klasma.github.io/Logging_1290/klagomålsmail/A 30918-2022 FSC-klagomål mail.docx", "A 30918-2022")</f>
        <v/>
      </c>
      <c r="AC481">
        <f>HYPERLINK("https://klasma.github.io/Logging_1290/tillsyn/A 30918-2022 tillsynsbegäran.docx", "A 30918-2022")</f>
        <v/>
      </c>
      <c r="AD481">
        <f>HYPERLINK("https://klasma.github.io/Logging_1290/tillsynsmail/A 30918-2022 tillsynsbegäran mail.docx", "A 30918-2022")</f>
        <v/>
      </c>
    </row>
    <row r="482" ht="15" customHeight="1">
      <c r="A482" t="inlineStr">
        <is>
          <t>A 54753-2022</t>
        </is>
      </c>
      <c r="B482" t="inlineStr">
        <is>
          <t>avverkningsanmälan</t>
        </is>
      </c>
      <c r="C482" t="inlineStr">
        <is>
          <t>Föryngringsavverkning</t>
        </is>
      </c>
      <c r="D482" s="1" t="n">
        <v>44883</v>
      </c>
      <c r="E482" s="1" t="n">
        <v>46312</v>
      </c>
      <c r="F482" t="inlineStr">
        <is>
          <t>SKÅNE LÄN</t>
        </is>
      </c>
      <c r="G482" t="inlineStr">
        <is>
          <t>HÖÖR</t>
        </is>
      </c>
      <c r="I482" t="n">
        <v>1.9</v>
      </c>
      <c r="J482" t="n">
        <v>1</v>
      </c>
      <c r="K482" t="n">
        <v>0</v>
      </c>
      <c r="L482" t="n">
        <v>0</v>
      </c>
      <c r="M482" t="n">
        <v>0</v>
      </c>
      <c r="N482" t="n">
        <v>0</v>
      </c>
      <c r="O482" t="n">
        <v>0</v>
      </c>
      <c r="P482" t="n">
        <v>0</v>
      </c>
      <c r="Q482" t="n">
        <v>0</v>
      </c>
      <c r="R482" t="n">
        <v>0</v>
      </c>
      <c r="S482" t="n">
        <v>1</v>
      </c>
      <c r="T482" t="n">
        <v>1</v>
      </c>
      <c r="U482" t="n">
        <v>1</v>
      </c>
      <c r="V482" s="2" t="inlineStr">
        <is>
          <t>Revlummer</t>
        </is>
      </c>
      <c r="W482">
        <f>HYPERLINK("https://klasma.github.io/Logging_1267/artfynd/A 54753-2022 artfynd.xlsx", "A 54753-2022")</f>
        <v/>
      </c>
      <c r="X482">
        <f>HYPERLINK("https://klasma.github.io/Logging_1267/kartor/A 54753-2022 karta.png", "A 54753-2022")</f>
        <v/>
      </c>
      <c r="Y482">
        <f>HYPERLINK("https://klasma.github.io/Logging_1267/kartor_geotiff/A 54753-2022 georefererad karta.tif", "A 54753-2022")</f>
        <v/>
      </c>
      <c r="AA482">
        <f>HYPERLINK("https://klasma.github.io/Logging_1267/klagomål/A 54753-2022 FSC-klagomål.docx", "A 54753-2022")</f>
        <v/>
      </c>
      <c r="AB482">
        <f>HYPERLINK("https://klasma.github.io/Logging_1267/klagomålsmail/A 54753-2022 FSC-klagomål mail.docx", "A 54753-2022")</f>
        <v/>
      </c>
      <c r="AC482">
        <f>HYPERLINK("https://klasma.github.io/Logging_1267/tillsyn/A 54753-2022 tillsynsbegäran.docx", "A 54753-2022")</f>
        <v/>
      </c>
      <c r="AD482">
        <f>HYPERLINK("https://klasma.github.io/Logging_1267/tillsynsmail/A 54753-2022 tillsynsbegäran mail.docx", "A 54753-2022")</f>
        <v/>
      </c>
    </row>
    <row r="483" ht="15" customHeight="1">
      <c r="A483" t="inlineStr">
        <is>
          <t>A 16258-2024</t>
        </is>
      </c>
      <c r="B483" t="inlineStr">
        <is>
          <t>avverkningsanmälan</t>
        </is>
      </c>
      <c r="C483" t="inlineStr">
        <is>
          <t>Föryngringsavverkning</t>
        </is>
      </c>
      <c r="D483" s="1" t="n">
        <v>45407</v>
      </c>
      <c r="E483" s="1" t="n">
        <v>46312</v>
      </c>
      <c r="F483" t="inlineStr">
        <is>
          <t>SKÅNE LÄN</t>
        </is>
      </c>
      <c r="G483" t="inlineStr">
        <is>
          <t>SIMRISHAMN</t>
        </is>
      </c>
      <c r="I483" t="n">
        <v>0.5</v>
      </c>
      <c r="J483" t="n">
        <v>1</v>
      </c>
      <c r="K483" t="n">
        <v>0</v>
      </c>
      <c r="L483" t="n">
        <v>0</v>
      </c>
      <c r="M483" t="n">
        <v>0</v>
      </c>
      <c r="N483" t="n">
        <v>0</v>
      </c>
      <c r="O483" t="n">
        <v>0</v>
      </c>
      <c r="P483" t="n">
        <v>0</v>
      </c>
      <c r="Q483" t="n">
        <v>0</v>
      </c>
      <c r="R483" t="n">
        <v>0</v>
      </c>
      <c r="S483" t="n">
        <v>1</v>
      </c>
      <c r="T483" t="n">
        <v>1</v>
      </c>
      <c r="U483" t="n">
        <v>0</v>
      </c>
      <c r="V483" s="2" t="inlineStr">
        <is>
          <t>Hasselmus</t>
        </is>
      </c>
      <c r="W483">
        <f>HYPERLINK("https://klasma.github.io/Logging_1291/artfynd/A 16258-2024 artfynd.xlsx", "A 16258-2024")</f>
        <v/>
      </c>
      <c r="X483">
        <f>HYPERLINK("https://klasma.github.io/Logging_1291/kartor/A 16258-2024 karta.png", "A 16258-2024")</f>
        <v/>
      </c>
      <c r="Y483">
        <f>HYPERLINK("https://klasma.github.io/Logging_1291/kartor_geotiff/A 16258-2024 georefererad karta.tif", "A 16258-2024")</f>
        <v/>
      </c>
      <c r="AA483">
        <f>HYPERLINK("https://klasma.github.io/Logging_1291/klagomål/A 16258-2024 FSC-klagomål.docx", "A 16258-2024")</f>
        <v/>
      </c>
      <c r="AB483">
        <f>HYPERLINK("https://klasma.github.io/Logging_1291/klagomålsmail/A 16258-2024 FSC-klagomål mail.docx", "A 16258-2024")</f>
        <v/>
      </c>
      <c r="AC483">
        <f>HYPERLINK("https://klasma.github.io/Logging_1291/tillsyn/A 16258-2024 tillsynsbegäran.docx", "A 16258-2024")</f>
        <v/>
      </c>
      <c r="AD483">
        <f>HYPERLINK("https://klasma.github.io/Logging_1291/tillsynsmail/A 16258-2024 tillsynsbegäran mail.docx", "A 16258-2024")</f>
        <v/>
      </c>
    </row>
    <row r="484" ht="15" customHeight="1">
      <c r="A484" t="inlineStr">
        <is>
          <t>A 21328-2023</t>
        </is>
      </c>
      <c r="B484" t="inlineStr">
        <is>
          <t>avverkningsanmälan</t>
        </is>
      </c>
      <c r="C484" t="inlineStr">
        <is>
          <t>Föryngringsavverkning</t>
        </is>
      </c>
      <c r="D484" s="1" t="n">
        <v>45062</v>
      </c>
      <c r="E484" s="1" t="n">
        <v>46312</v>
      </c>
      <c r="F484" t="inlineStr">
        <is>
          <t>SKÅNE LÄN</t>
        </is>
      </c>
      <c r="G484" t="inlineStr">
        <is>
          <t>HÄSSLEHOLM</t>
        </is>
      </c>
      <c r="I484" t="n">
        <v>2.1</v>
      </c>
      <c r="J484" t="n">
        <v>0</v>
      </c>
      <c r="K484" t="n">
        <v>1</v>
      </c>
      <c r="L484" t="n">
        <v>0</v>
      </c>
      <c r="M484" t="n">
        <v>0</v>
      </c>
      <c r="N484" t="n">
        <v>0</v>
      </c>
      <c r="O484" t="n">
        <v>0</v>
      </c>
      <c r="P484" t="n">
        <v>0</v>
      </c>
      <c r="Q484" t="n">
        <v>0</v>
      </c>
      <c r="R484" t="n">
        <v>0</v>
      </c>
      <c r="S484" t="n">
        <v>1</v>
      </c>
      <c r="T484" t="n">
        <v>1</v>
      </c>
      <c r="U484" t="n">
        <v>0</v>
      </c>
      <c r="V484" s="2" t="inlineStr">
        <is>
          <t>Tibast</t>
        </is>
      </c>
      <c r="W484">
        <f>HYPERLINK("https://klasma.github.io/Logging_1293/artfynd/A 21328-2023 artfynd.xlsx", "A 21328-2023")</f>
        <v/>
      </c>
      <c r="X484">
        <f>HYPERLINK("https://klasma.github.io/Logging_1293/kartor/A 21328-2023 karta.png", "A 21328-2023")</f>
        <v/>
      </c>
      <c r="Y484">
        <f>HYPERLINK("https://klasma.github.io/Logging_1293/kartor_geotiff/A 21328-2023 georefererad karta.tif", "A 21328-2023")</f>
        <v/>
      </c>
      <c r="AA484">
        <f>HYPERLINK("https://klasma.github.io/Logging_1293/klagomål/A 21328-2023 FSC-klagomål.docx", "A 21328-2023")</f>
        <v/>
      </c>
      <c r="AB484">
        <f>HYPERLINK("https://klasma.github.io/Logging_1293/klagomålsmail/A 21328-2023 FSC-klagomål mail.docx", "A 21328-2023")</f>
        <v/>
      </c>
      <c r="AC484">
        <f>HYPERLINK("https://klasma.github.io/Logging_1293/tillsyn/A 21328-2023 tillsynsbegäran.docx", "A 21328-2023")</f>
        <v/>
      </c>
      <c r="AD484">
        <f>HYPERLINK("https://klasma.github.io/Logging_1293/tillsynsmail/A 21328-2023 tillsynsbegäran mail.docx", "A 21328-2023")</f>
        <v/>
      </c>
    </row>
    <row r="485" ht="15" customHeight="1">
      <c r="A485" t="inlineStr">
        <is>
          <t>A 14892-2023</t>
        </is>
      </c>
      <c r="B485" t="inlineStr">
        <is>
          <t>avverkningsanmälan</t>
        </is>
      </c>
      <c r="C485" t="inlineStr">
        <is>
          <t>Föryngringsavverkning</t>
        </is>
      </c>
      <c r="D485" s="1" t="n">
        <v>45015</v>
      </c>
      <c r="E485" s="1" t="n">
        <v>46312</v>
      </c>
      <c r="F485" t="inlineStr">
        <is>
          <t>SKÅNE LÄN</t>
        </is>
      </c>
      <c r="G485" t="inlineStr">
        <is>
          <t>KLIPPAN</t>
        </is>
      </c>
      <c r="I485" t="n">
        <v>2.7</v>
      </c>
      <c r="J485" t="n">
        <v>1</v>
      </c>
      <c r="K485" t="n">
        <v>0</v>
      </c>
      <c r="L485" t="n">
        <v>1</v>
      </c>
      <c r="M485" t="n">
        <v>0</v>
      </c>
      <c r="N485" t="n">
        <v>0</v>
      </c>
      <c r="O485" t="n">
        <v>0</v>
      </c>
      <c r="P485" t="n">
        <v>0</v>
      </c>
      <c r="Q485" t="n">
        <v>1</v>
      </c>
      <c r="R485" t="n">
        <v>0</v>
      </c>
      <c r="S485" t="n">
        <v>1</v>
      </c>
      <c r="T485" t="n">
        <v>1</v>
      </c>
      <c r="U485" t="n">
        <v>1</v>
      </c>
      <c r="V485" s="2" t="inlineStr">
        <is>
          <t>Mindre hackspett</t>
        </is>
      </c>
      <c r="W485">
        <f>HYPERLINK("https://klasma.github.io/Logging_1276/artfynd/A 14892-2023 artfynd.xlsx", "A 14892-2023")</f>
        <v/>
      </c>
      <c r="X485">
        <f>HYPERLINK("https://klasma.github.io/Logging_1276/kartor/A 14892-2023 karta.png", "A 14892-2023")</f>
        <v/>
      </c>
      <c r="Y485">
        <f>HYPERLINK("https://klasma.github.io/Logging_1276/kartor_geotiff/A 14892-2023 georefererad karta.tif", "A 14892-2023")</f>
        <v/>
      </c>
      <c r="AA485">
        <f>HYPERLINK("https://klasma.github.io/Logging_1276/klagomål/A 14892-2023 FSC-klagomål.docx", "A 14892-2023")</f>
        <v/>
      </c>
      <c r="AB485">
        <f>HYPERLINK("https://klasma.github.io/Logging_1276/klagomålsmail/A 14892-2023 FSC-klagomål mail.docx", "A 14892-2023")</f>
        <v/>
      </c>
      <c r="AC485">
        <f>HYPERLINK("https://klasma.github.io/Logging_1276/tillsyn/A 14892-2023 tillsynsbegäran.docx", "A 14892-2023")</f>
        <v/>
      </c>
      <c r="AD485">
        <f>HYPERLINK("https://klasma.github.io/Logging_1276/tillsynsmail/A 14892-2023 tillsynsbegäran mail.docx", "A 14892-2023")</f>
        <v/>
      </c>
      <c r="AE485">
        <f>HYPERLINK("https://klasma.github.io/Logging_1276/fåglar/A 14892-2023 prioriterade fågelarter.docx", "A 14892-2023")</f>
        <v/>
      </c>
    </row>
    <row r="486" ht="15" customHeight="1">
      <c r="A486" t="inlineStr">
        <is>
          <t>A 16837-2023</t>
        </is>
      </c>
      <c r="B486" t="inlineStr">
        <is>
          <t>avverkningsanmälan</t>
        </is>
      </c>
      <c r="C486" t="inlineStr">
        <is>
          <t>Föryngringsavverkning</t>
        </is>
      </c>
      <c r="D486" s="1" t="n">
        <v>45033</v>
      </c>
      <c r="E486" s="1" t="n">
        <v>46312</v>
      </c>
      <c r="F486" t="inlineStr">
        <is>
          <t>SKÅNE LÄN</t>
        </is>
      </c>
      <c r="G486" t="inlineStr">
        <is>
          <t>OSBY</t>
        </is>
      </c>
      <c r="I486" t="n">
        <v>0.7</v>
      </c>
      <c r="J486" t="n">
        <v>1</v>
      </c>
      <c r="K486" t="n">
        <v>0</v>
      </c>
      <c r="L486" t="n">
        <v>1</v>
      </c>
      <c r="M486" t="n">
        <v>0</v>
      </c>
      <c r="N486" t="n">
        <v>0</v>
      </c>
      <c r="O486" t="n">
        <v>0</v>
      </c>
      <c r="P486" t="n">
        <v>0</v>
      </c>
      <c r="Q486" t="n">
        <v>1</v>
      </c>
      <c r="R486" t="n">
        <v>0</v>
      </c>
      <c r="S486" t="n">
        <v>1</v>
      </c>
      <c r="T486" t="n">
        <v>1</v>
      </c>
      <c r="U486" t="n">
        <v>1</v>
      </c>
      <c r="V486" s="2" t="inlineStr">
        <is>
          <t>Talltita</t>
        </is>
      </c>
      <c r="W486">
        <f>HYPERLINK("https://klasma.github.io/Logging_1273/artfynd/A 16837-2023 artfynd.xlsx", "A 16837-2023")</f>
        <v/>
      </c>
      <c r="X486">
        <f>HYPERLINK("https://klasma.github.io/Logging_1273/kartor/A 16837-2023 karta.png", "A 16837-2023")</f>
        <v/>
      </c>
      <c r="Y486">
        <f>HYPERLINK("https://klasma.github.io/Logging_1273/kartor_geotiff/A 16837-2023 georefererad karta.tif", "A 16837-2023")</f>
        <v/>
      </c>
      <c r="AA486">
        <f>HYPERLINK("https://klasma.github.io/Logging_1273/klagomål/A 16837-2023 FSC-klagomål.docx", "A 16837-2023")</f>
        <v/>
      </c>
      <c r="AB486">
        <f>HYPERLINK("https://klasma.github.io/Logging_1273/klagomålsmail/A 16837-2023 FSC-klagomål mail.docx", "A 16837-2023")</f>
        <v/>
      </c>
      <c r="AC486">
        <f>HYPERLINK("https://klasma.github.io/Logging_1273/tillsyn/A 16837-2023 tillsynsbegäran.docx", "A 16837-2023")</f>
        <v/>
      </c>
      <c r="AD486">
        <f>HYPERLINK("https://klasma.github.io/Logging_1273/tillsynsmail/A 16837-2023 tillsynsbegäran mail.docx", "A 16837-2023")</f>
        <v/>
      </c>
      <c r="AE486">
        <f>HYPERLINK("https://klasma.github.io/Logging_1273/fåglar/A 16837-2023 prioriterade fågelarter.docx", "A 16837-2023")</f>
        <v/>
      </c>
    </row>
    <row r="487" ht="15" customHeight="1">
      <c r="A487" t="inlineStr">
        <is>
          <t>A 27230-2024</t>
        </is>
      </c>
      <c r="B487" t="inlineStr">
        <is>
          <t>avverkningsanmälan</t>
        </is>
      </c>
      <c r="C487" t="inlineStr">
        <is>
          <t>Föryngringsavverkning</t>
        </is>
      </c>
      <c r="D487" s="1" t="n">
        <v>45471</v>
      </c>
      <c r="E487" s="1" t="n">
        <v>46312</v>
      </c>
      <c r="F487" t="inlineStr">
        <is>
          <t>SKÅNE LÄN</t>
        </is>
      </c>
      <c r="G487" t="inlineStr">
        <is>
          <t>SJÖBO</t>
        </is>
      </c>
      <c r="I487" t="n">
        <v>1.5</v>
      </c>
      <c r="J487" t="n">
        <v>1</v>
      </c>
      <c r="K487" t="n">
        <v>0</v>
      </c>
      <c r="L487" t="n">
        <v>0</v>
      </c>
      <c r="M487" t="n">
        <v>0</v>
      </c>
      <c r="N487" t="n">
        <v>0</v>
      </c>
      <c r="O487" t="n">
        <v>0</v>
      </c>
      <c r="P487" t="n">
        <v>0</v>
      </c>
      <c r="Q487" t="n">
        <v>0</v>
      </c>
      <c r="R487" t="n">
        <v>0</v>
      </c>
      <c r="S487" t="n">
        <v>1</v>
      </c>
      <c r="T487" t="n">
        <v>1</v>
      </c>
      <c r="U487" t="n">
        <v>0</v>
      </c>
      <c r="V487" s="2" t="inlineStr">
        <is>
          <t>Havsörn</t>
        </is>
      </c>
      <c r="W487">
        <f>HYPERLINK("https://klasma.github.io/Logging_1265/artfynd/A 27230-2024 artfynd.xlsx", "A 27230-2024")</f>
        <v/>
      </c>
      <c r="X487">
        <f>HYPERLINK("https://klasma.github.io/Logging_1265/kartor/A 27230-2024 karta.png", "A 27230-2024")</f>
        <v/>
      </c>
      <c r="Y487">
        <f>HYPERLINK("https://klasma.github.io/Logging_1265/kartor_geotiff/A 27230-2024 georefererad karta.tif", "A 27230-2024")</f>
        <v/>
      </c>
      <c r="AA487">
        <f>HYPERLINK("https://klasma.github.io/Logging_1265/klagomål/A 27230-2024 FSC-klagomål.docx", "A 27230-2024")</f>
        <v/>
      </c>
      <c r="AB487">
        <f>HYPERLINK("https://klasma.github.io/Logging_1265/klagomålsmail/A 27230-2024 FSC-klagomål mail.docx", "A 27230-2024")</f>
        <v/>
      </c>
      <c r="AC487">
        <f>HYPERLINK("https://klasma.github.io/Logging_1265/tillsyn/A 27230-2024 tillsynsbegäran.docx", "A 27230-2024")</f>
        <v/>
      </c>
      <c r="AD487">
        <f>HYPERLINK("https://klasma.github.io/Logging_1265/tillsynsmail/A 27230-2024 tillsynsbegäran mail.docx", "A 27230-2024")</f>
        <v/>
      </c>
      <c r="AE487">
        <f>HYPERLINK("https://klasma.github.io/Logging_1265/fåglar/A 27230-2024 prioriterade fågelarter.docx", "A 27230-2024")</f>
        <v/>
      </c>
    </row>
    <row r="488" ht="15" customHeight="1">
      <c r="A488" t="inlineStr">
        <is>
          <t>A 8150-2024</t>
        </is>
      </c>
      <c r="B488" t="inlineStr">
        <is>
          <t>avverkningsanmälan</t>
        </is>
      </c>
      <c r="C488" t="inlineStr">
        <is>
          <t>Föryngringsavverkning</t>
        </is>
      </c>
      <c r="D488" s="1" t="n">
        <v>45351</v>
      </c>
      <c r="E488" s="1" t="n">
        <v>46312</v>
      </c>
      <c r="F488" t="inlineStr">
        <is>
          <t>SKÅNE LÄN</t>
        </is>
      </c>
      <c r="G488" t="inlineStr">
        <is>
          <t>SJÖBO</t>
        </is>
      </c>
      <c r="I488" t="n">
        <v>1.3</v>
      </c>
      <c r="J488" t="n">
        <v>0</v>
      </c>
      <c r="K488" t="n">
        <v>0</v>
      </c>
      <c r="L488" t="n">
        <v>0</v>
      </c>
      <c r="M488" t="n">
        <v>1</v>
      </c>
      <c r="N488" t="n">
        <v>0</v>
      </c>
      <c r="O488" t="n">
        <v>0</v>
      </c>
      <c r="P488" t="n">
        <v>0</v>
      </c>
      <c r="Q488" t="n">
        <v>1</v>
      </c>
      <c r="R488" t="n">
        <v>1</v>
      </c>
      <c r="S488" t="n">
        <v>1</v>
      </c>
      <c r="T488" t="n">
        <v>1</v>
      </c>
      <c r="U488" t="n">
        <v>1</v>
      </c>
      <c r="V488" s="2" t="inlineStr">
        <is>
          <t>Fläcklungört</t>
        </is>
      </c>
      <c r="W488">
        <f>HYPERLINK("https://klasma.github.io/Logging_1265/artfynd/A 8150-2024 artfynd.xlsx", "A 8150-2024")</f>
        <v/>
      </c>
      <c r="X488">
        <f>HYPERLINK("https://klasma.github.io/Logging_1265/kartor/A 8150-2024 karta.png", "A 8150-2024")</f>
        <v/>
      </c>
      <c r="Y488">
        <f>HYPERLINK("https://klasma.github.io/Logging_1265/kartor_geotiff/A 8150-2024 georefererad karta.tif", "A 8150-2024")</f>
        <v/>
      </c>
      <c r="AA488">
        <f>HYPERLINK("https://klasma.github.io/Logging_1265/klagomål/A 8150-2024 FSC-klagomål.docx", "A 8150-2024")</f>
        <v/>
      </c>
      <c r="AB488">
        <f>HYPERLINK("https://klasma.github.io/Logging_1265/klagomålsmail/A 8150-2024 FSC-klagomål mail.docx", "A 8150-2024")</f>
        <v/>
      </c>
      <c r="AC488">
        <f>HYPERLINK("https://klasma.github.io/Logging_1265/tillsyn/A 8150-2024 tillsynsbegäran.docx", "A 8150-2024")</f>
        <v/>
      </c>
      <c r="AD488">
        <f>HYPERLINK("https://klasma.github.io/Logging_1265/tillsynsmail/A 8150-2024 tillsynsbegäran mail.docx", "A 8150-2024")</f>
        <v/>
      </c>
    </row>
    <row r="489" ht="15" customHeight="1">
      <c r="A489" t="inlineStr">
        <is>
          <t>A 6261-2024</t>
        </is>
      </c>
      <c r="B489" t="inlineStr">
        <is>
          <t>avverkningsanmälan</t>
        </is>
      </c>
      <c r="C489" t="inlineStr">
        <is>
          <t>Föryngringsavverkning</t>
        </is>
      </c>
      <c r="D489" s="1" t="n">
        <v>45337</v>
      </c>
      <c r="E489" s="1" t="n">
        <v>46312</v>
      </c>
      <c r="F489" t="inlineStr">
        <is>
          <t>SKÅNE LÄN</t>
        </is>
      </c>
      <c r="G489" t="inlineStr">
        <is>
          <t>TOMELILLA</t>
        </is>
      </c>
      <c r="I489" t="n">
        <v>12.6</v>
      </c>
      <c r="J489" t="n">
        <v>0</v>
      </c>
      <c r="K489" t="n">
        <v>1</v>
      </c>
      <c r="L489" t="n">
        <v>0</v>
      </c>
      <c r="M489" t="n">
        <v>0</v>
      </c>
      <c r="N489" t="n">
        <v>0</v>
      </c>
      <c r="O489" t="n">
        <v>0</v>
      </c>
      <c r="P489" t="n">
        <v>0</v>
      </c>
      <c r="Q489" t="n">
        <v>0</v>
      </c>
      <c r="R489" t="n">
        <v>0</v>
      </c>
      <c r="S489" t="n">
        <v>1</v>
      </c>
      <c r="T489" t="n">
        <v>1</v>
      </c>
      <c r="U489" t="n">
        <v>1</v>
      </c>
      <c r="V489" s="2" t="inlineStr">
        <is>
          <t>Blodticka</t>
        </is>
      </c>
      <c r="W489">
        <f>HYPERLINK("https://klasma.github.io/Logging_1270/artfynd/A 6261-2024 artfynd.xlsx", "A 6261-2024")</f>
        <v/>
      </c>
      <c r="X489">
        <f>HYPERLINK("https://klasma.github.io/Logging_1270/kartor/A 6261-2024 karta.png", "A 6261-2024")</f>
        <v/>
      </c>
      <c r="Y489">
        <f>HYPERLINK("https://klasma.github.io/Logging_1270/kartor_geotiff/A 6261-2024 georefererad karta.tif", "A 6261-2024")</f>
        <v/>
      </c>
      <c r="AA489">
        <f>HYPERLINK("https://klasma.github.io/Logging_1270/klagomål/A 6261-2024 FSC-klagomål.docx", "A 6261-2024")</f>
        <v/>
      </c>
      <c r="AB489">
        <f>HYPERLINK("https://klasma.github.io/Logging_1270/klagomålsmail/A 6261-2024 FSC-klagomål mail.docx", "A 6261-2024")</f>
        <v/>
      </c>
      <c r="AC489">
        <f>HYPERLINK("https://klasma.github.io/Logging_1270/tillsyn/A 6261-2024 tillsynsbegäran.docx", "A 6261-2024")</f>
        <v/>
      </c>
      <c r="AD489">
        <f>HYPERLINK("https://klasma.github.io/Logging_1270/tillsynsmail/A 6261-2024 tillsynsbegäran mail.docx", "A 6261-2024")</f>
        <v/>
      </c>
    </row>
    <row r="490" ht="15" customHeight="1">
      <c r="A490" t="inlineStr">
        <is>
          <t>A 18328-2025</t>
        </is>
      </c>
      <c r="B490" t="inlineStr">
        <is>
          <t>avverkningsanmälan</t>
        </is>
      </c>
      <c r="C490" t="inlineStr">
        <is>
          <t>Föryngringsavverkning</t>
        </is>
      </c>
      <c r="D490" s="1" t="n">
        <v>45762</v>
      </c>
      <c r="E490" s="1" t="n">
        <v>46312</v>
      </c>
      <c r="F490" t="inlineStr">
        <is>
          <t>SKÅNE LÄN</t>
        </is>
      </c>
      <c r="G490" t="inlineStr">
        <is>
          <t>BÅSTAD</t>
        </is>
      </c>
      <c r="I490" t="n">
        <v>1.8</v>
      </c>
      <c r="J490" t="n">
        <v>1</v>
      </c>
      <c r="K490" t="n">
        <v>0</v>
      </c>
      <c r="L490" t="n">
        <v>0</v>
      </c>
      <c r="M490" t="n">
        <v>0</v>
      </c>
      <c r="N490" t="n">
        <v>0</v>
      </c>
      <c r="O490" t="n">
        <v>0</v>
      </c>
      <c r="P490" t="n">
        <v>0</v>
      </c>
      <c r="Q490" t="n">
        <v>0</v>
      </c>
      <c r="R490" t="n">
        <v>0</v>
      </c>
      <c r="S490" t="n">
        <v>1</v>
      </c>
      <c r="T490" t="n">
        <v>1</v>
      </c>
      <c r="U490" t="n">
        <v>0</v>
      </c>
      <c r="V490" s="2" t="inlineStr">
        <is>
          <t>Törnskata</t>
        </is>
      </c>
      <c r="W490">
        <f>HYPERLINK("https://klasma.github.io/Logging_1278/artfynd/A 18328-2025 artfynd.xlsx", "A 18328-2025")</f>
        <v/>
      </c>
      <c r="X490">
        <f>HYPERLINK("https://klasma.github.io/Logging_1278/kartor/A 18328-2025 karta.png", "A 18328-2025")</f>
        <v/>
      </c>
      <c r="Y490">
        <f>HYPERLINK("https://klasma.github.io/Logging_1278/kartor_geotiff/A 18328-2025 georefererad karta.tif", "A 18328-2025")</f>
        <v/>
      </c>
      <c r="AA490">
        <f>HYPERLINK("https://klasma.github.io/Logging_1278/klagomål/A 18328-2025 FSC-klagomål.docx", "A 18328-2025")</f>
        <v/>
      </c>
      <c r="AB490">
        <f>HYPERLINK("https://klasma.github.io/Logging_1278/klagomålsmail/A 18328-2025 FSC-klagomål mail.docx", "A 18328-2025")</f>
        <v/>
      </c>
      <c r="AC490">
        <f>HYPERLINK("https://klasma.github.io/Logging_1278/tillsyn/A 18328-2025 tillsynsbegäran.docx", "A 18328-2025")</f>
        <v/>
      </c>
      <c r="AD490">
        <f>HYPERLINK("https://klasma.github.io/Logging_1278/tillsynsmail/A 18328-2025 tillsynsbegäran mail.docx", "A 18328-2025")</f>
        <v/>
      </c>
      <c r="AE490">
        <f>HYPERLINK("https://klasma.github.io/Logging_1278/fåglar/A 18328-2025 prioriterade fågelarter.docx", "A 18328-2025")</f>
        <v/>
      </c>
    </row>
    <row r="491" ht="15" customHeight="1">
      <c r="A491" t="inlineStr">
        <is>
          <t>A 28342-2024</t>
        </is>
      </c>
      <c r="B491" t="inlineStr">
        <is>
          <t>avverkningsanmälan</t>
        </is>
      </c>
      <c r="C491" t="inlineStr">
        <is>
          <t>Föryngringsavverkning</t>
        </is>
      </c>
      <c r="D491" s="1" t="n">
        <v>45477</v>
      </c>
      <c r="E491" s="1" t="n">
        <v>46312</v>
      </c>
      <c r="F491" t="inlineStr">
        <is>
          <t>SKÅNE LÄN</t>
        </is>
      </c>
      <c r="G491" t="inlineStr">
        <is>
          <t>KRISTIANSTAD</t>
        </is>
      </c>
      <c r="I491" t="n">
        <v>3.2</v>
      </c>
      <c r="J491" t="n">
        <v>0</v>
      </c>
      <c r="K491" t="n">
        <v>0</v>
      </c>
      <c r="L491" t="n">
        <v>1</v>
      </c>
      <c r="M491" t="n">
        <v>0</v>
      </c>
      <c r="N491" t="n">
        <v>0</v>
      </c>
      <c r="O491" t="n">
        <v>0</v>
      </c>
      <c r="P491" t="n">
        <v>0</v>
      </c>
      <c r="Q491" t="n">
        <v>1</v>
      </c>
      <c r="R491" t="n">
        <v>0</v>
      </c>
      <c r="S491" t="n">
        <v>1</v>
      </c>
      <c r="T491" t="n">
        <v>1</v>
      </c>
      <c r="U491" t="n">
        <v>0</v>
      </c>
      <c r="V491" s="2" t="inlineStr">
        <is>
          <t>Knölspindel</t>
        </is>
      </c>
      <c r="W491">
        <f>HYPERLINK("https://klasma.github.io/Logging_1290/artfynd/A 28342-2024 artfynd.xlsx", "A 28342-2024")</f>
        <v/>
      </c>
      <c r="X491">
        <f>HYPERLINK("https://klasma.github.io/Logging_1290/kartor/A 28342-2024 karta.png", "A 28342-2024")</f>
        <v/>
      </c>
      <c r="Y491">
        <f>HYPERLINK("https://klasma.github.io/Logging_1290/kartor_geotiff/A 28342-2024 georefererad karta.tif", "A 28342-2024")</f>
        <v/>
      </c>
      <c r="AA491">
        <f>HYPERLINK("https://klasma.github.io/Logging_1290/klagomål/A 28342-2024 FSC-klagomål.docx", "A 28342-2024")</f>
        <v/>
      </c>
      <c r="AB491">
        <f>HYPERLINK("https://klasma.github.io/Logging_1290/klagomålsmail/A 28342-2024 FSC-klagomål mail.docx", "A 28342-2024")</f>
        <v/>
      </c>
      <c r="AC491">
        <f>HYPERLINK("https://klasma.github.io/Logging_1290/tillsyn/A 28342-2024 tillsynsbegäran.docx", "A 28342-2024")</f>
        <v/>
      </c>
      <c r="AD491">
        <f>HYPERLINK("https://klasma.github.io/Logging_1290/tillsynsmail/A 28342-2024 tillsynsbegäran mail.docx", "A 28342-2024")</f>
        <v/>
      </c>
    </row>
    <row r="492" ht="15" customHeight="1">
      <c r="A492" t="inlineStr">
        <is>
          <t>A 4088-2024</t>
        </is>
      </c>
      <c r="B492" t="inlineStr">
        <is>
          <t>avverkningsanmälan</t>
        </is>
      </c>
      <c r="C492" t="inlineStr">
        <is>
          <t>Föryngringsavverkning</t>
        </is>
      </c>
      <c r="D492" s="1" t="n">
        <v>45323</v>
      </c>
      <c r="E492" s="1" t="n">
        <v>46312</v>
      </c>
      <c r="F492" t="inlineStr">
        <is>
          <t>SKÅNE LÄN</t>
        </is>
      </c>
      <c r="G492" t="inlineStr">
        <is>
          <t>ÄNGELHOLM</t>
        </is>
      </c>
      <c r="I492" t="n">
        <v>3.8</v>
      </c>
      <c r="J492" t="n">
        <v>0</v>
      </c>
      <c r="K492" t="n">
        <v>0</v>
      </c>
      <c r="L492" t="n">
        <v>1</v>
      </c>
      <c r="M492" t="n">
        <v>0</v>
      </c>
      <c r="N492" t="n">
        <v>0</v>
      </c>
      <c r="O492" t="n">
        <v>0</v>
      </c>
      <c r="P492" t="n">
        <v>0</v>
      </c>
      <c r="Q492" t="n">
        <v>1</v>
      </c>
      <c r="R492" t="n">
        <v>0</v>
      </c>
      <c r="S492" t="n">
        <v>1</v>
      </c>
      <c r="T492" t="n">
        <v>1</v>
      </c>
      <c r="U492" t="n">
        <v>0</v>
      </c>
      <c r="V492" s="2" t="inlineStr">
        <is>
          <t>Flikbålmossa</t>
        </is>
      </c>
      <c r="W492">
        <f>HYPERLINK("https://klasma.github.io/Logging_1292/artfynd/A 4088-2024 artfynd.xlsx", "A 4088-2024")</f>
        <v/>
      </c>
      <c r="X492">
        <f>HYPERLINK("https://klasma.github.io/Logging_1292/kartor/A 4088-2024 karta.png", "A 4088-2024")</f>
        <v/>
      </c>
      <c r="Y492">
        <f>HYPERLINK("https://klasma.github.io/Logging_1292/kartor_geotiff/A 4088-2024 georefererad karta.tif", "A 4088-2024")</f>
        <v/>
      </c>
      <c r="AA492">
        <f>HYPERLINK("https://klasma.github.io/Logging_1292/klagomål/A 4088-2024 FSC-klagomål.docx", "A 4088-2024")</f>
        <v/>
      </c>
      <c r="AB492">
        <f>HYPERLINK("https://klasma.github.io/Logging_1292/klagomålsmail/A 4088-2024 FSC-klagomål mail.docx", "A 4088-2024")</f>
        <v/>
      </c>
      <c r="AC492">
        <f>HYPERLINK("https://klasma.github.io/Logging_1292/tillsyn/A 4088-2024 tillsynsbegäran.docx", "A 4088-2024")</f>
        <v/>
      </c>
      <c r="AD492">
        <f>HYPERLINK("https://klasma.github.io/Logging_1292/tillsynsmail/A 4088-2024 tillsynsbegäran mail.docx", "A 4088-2024")</f>
        <v/>
      </c>
    </row>
    <row r="493" ht="15" customHeight="1">
      <c r="A493" t="inlineStr">
        <is>
          <t>A 39260-2025</t>
        </is>
      </c>
      <c r="B493" t="inlineStr">
        <is>
          <t>avverkningsanmälan</t>
        </is>
      </c>
      <c r="C493" t="inlineStr">
        <is>
          <t>Föryngringsavverkning</t>
        </is>
      </c>
      <c r="D493" s="1" t="n">
        <v>45889</v>
      </c>
      <c r="E493" s="1" t="n">
        <v>46312</v>
      </c>
      <c r="F493" t="inlineStr">
        <is>
          <t>SKÅNE LÄN</t>
        </is>
      </c>
      <c r="G493" t="inlineStr">
        <is>
          <t>LUND</t>
        </is>
      </c>
      <c r="I493" t="n">
        <v>7.6</v>
      </c>
      <c r="J493" t="n">
        <v>1</v>
      </c>
      <c r="K493" t="n">
        <v>0</v>
      </c>
      <c r="L493" t="n">
        <v>0</v>
      </c>
      <c r="M493" t="n">
        <v>0</v>
      </c>
      <c r="N493" t="n">
        <v>0</v>
      </c>
      <c r="O493" t="n">
        <v>0</v>
      </c>
      <c r="P493" t="n">
        <v>0</v>
      </c>
      <c r="Q493" t="n">
        <v>0</v>
      </c>
      <c r="R493" t="n">
        <v>0</v>
      </c>
      <c r="S493" t="n">
        <v>1</v>
      </c>
      <c r="T493" t="n">
        <v>1</v>
      </c>
      <c r="U493" t="n">
        <v>0</v>
      </c>
      <c r="V493" s="2" t="inlineStr">
        <is>
          <t>Skogsödla</t>
        </is>
      </c>
      <c r="W493">
        <f>HYPERLINK("https://klasma.github.io/Logging_1281/artfynd/A 39260-2025 artfynd.xlsx", "A 39260-2025")</f>
        <v/>
      </c>
      <c r="X493">
        <f>HYPERLINK("https://klasma.github.io/Logging_1281/kartor/A 39260-2025 karta.png", "A 39260-2025")</f>
        <v/>
      </c>
      <c r="Y493">
        <f>HYPERLINK("https://klasma.github.io/Logging_1281/kartor_geotiff/A 39260-2025 georefererad karta.tif", "A 39260-2025")</f>
        <v/>
      </c>
      <c r="AA493">
        <f>HYPERLINK("https://klasma.github.io/Logging_1281/klagomål/A 39260-2025 FSC-klagomål.docx", "A 39260-2025")</f>
        <v/>
      </c>
      <c r="AB493">
        <f>HYPERLINK("https://klasma.github.io/Logging_1281/klagomålsmail/A 39260-2025 FSC-klagomål mail.docx", "A 39260-2025")</f>
        <v/>
      </c>
      <c r="AC493">
        <f>HYPERLINK("https://klasma.github.io/Logging_1281/tillsyn/A 39260-2025 tillsynsbegäran.docx", "A 39260-2025")</f>
        <v/>
      </c>
      <c r="AD493">
        <f>HYPERLINK("https://klasma.github.io/Logging_1281/tillsynsmail/A 39260-2025 tillsynsbegäran mail.docx", "A 39260-2025")</f>
        <v/>
      </c>
    </row>
    <row r="494" ht="15" customHeight="1">
      <c r="A494" t="inlineStr">
        <is>
          <t>A 61558-2023</t>
        </is>
      </c>
      <c r="B494" t="inlineStr">
        <is>
          <t>avverkningsanmälan</t>
        </is>
      </c>
      <c r="C494" t="inlineStr">
        <is>
          <t>Föryngringsavverkning</t>
        </is>
      </c>
      <c r="D494" s="1" t="n">
        <v>45265</v>
      </c>
      <c r="E494" s="1" t="n">
        <v>46312</v>
      </c>
      <c r="F494" t="inlineStr">
        <is>
          <t>SKÅNE LÄN</t>
        </is>
      </c>
      <c r="G494" t="inlineStr">
        <is>
          <t>YSTAD</t>
        </is>
      </c>
      <c r="H494" t="inlineStr">
        <is>
          <t>Övriga statliga verk och myndigheter</t>
        </is>
      </c>
      <c r="I494" t="n">
        <v>1.5</v>
      </c>
      <c r="J494" t="n">
        <v>0</v>
      </c>
      <c r="K494" t="n">
        <v>0</v>
      </c>
      <c r="L494" t="n">
        <v>0</v>
      </c>
      <c r="M494" t="n">
        <v>0</v>
      </c>
      <c r="N494" t="n">
        <v>1</v>
      </c>
      <c r="O494" t="n">
        <v>0</v>
      </c>
      <c r="P494" t="n">
        <v>0</v>
      </c>
      <c r="Q494" t="n">
        <v>1</v>
      </c>
      <c r="R494" t="n">
        <v>1</v>
      </c>
      <c r="S494" t="n">
        <v>1</v>
      </c>
      <c r="T494" t="n">
        <v>1</v>
      </c>
      <c r="U494" t="n">
        <v>0</v>
      </c>
      <c r="V494" s="2" t="inlineStr">
        <is>
          <t>Ask</t>
        </is>
      </c>
      <c r="W494">
        <f>HYPERLINK("https://klasma.github.io/Logging_1286/artfynd/A 61558-2023 artfynd.xlsx", "A 61558-2023")</f>
        <v/>
      </c>
      <c r="X494">
        <f>HYPERLINK("https://klasma.github.io/Logging_1286/kartor/A 61558-2023 karta.png", "A 61558-2023")</f>
        <v/>
      </c>
      <c r="Y494">
        <f>HYPERLINK("https://klasma.github.io/Logging_1286/kartor_geotiff/A 61558-2023 georefererad karta.tif", "A 61558-2023")</f>
        <v/>
      </c>
      <c r="AA494">
        <f>HYPERLINK("https://klasma.github.io/Logging_1286/klagomål/A 61558-2023 FSC-klagomål.docx", "A 61558-2023")</f>
        <v/>
      </c>
      <c r="AB494">
        <f>HYPERLINK("https://klasma.github.io/Logging_1286/klagomålsmail/A 61558-2023 FSC-klagomål mail.docx", "A 61558-2023")</f>
        <v/>
      </c>
      <c r="AC494">
        <f>HYPERLINK("https://klasma.github.io/Logging_1286/tillsyn/A 61558-2023 tillsynsbegäran.docx", "A 61558-2023")</f>
        <v/>
      </c>
      <c r="AD494">
        <f>HYPERLINK("https://klasma.github.io/Logging_1286/tillsynsmail/A 61558-2023 tillsynsbegäran mail.docx", "A 61558-2023")</f>
        <v/>
      </c>
    </row>
    <row r="495" ht="15" customHeight="1">
      <c r="A495" t="inlineStr">
        <is>
          <t>A 38965-2025</t>
        </is>
      </c>
      <c r="B495" t="inlineStr">
        <is>
          <t>avverkningsanmälan</t>
        </is>
      </c>
      <c r="C495" t="inlineStr">
        <is>
          <t>Föryngringsavverkning</t>
        </is>
      </c>
      <c r="D495" s="1" t="n">
        <v>45887</v>
      </c>
      <c r="E495" s="1" t="n">
        <v>46312</v>
      </c>
      <c r="F495" t="inlineStr">
        <is>
          <t>SKÅNE LÄN</t>
        </is>
      </c>
      <c r="G495" t="inlineStr">
        <is>
          <t>ÖSTRA GÖINGE</t>
        </is>
      </c>
      <c r="I495" t="n">
        <v>2.5</v>
      </c>
      <c r="J495" t="n">
        <v>0</v>
      </c>
      <c r="K495" t="n">
        <v>0</v>
      </c>
      <c r="L495" t="n">
        <v>1</v>
      </c>
      <c r="M495" t="n">
        <v>0</v>
      </c>
      <c r="N495" t="n">
        <v>0</v>
      </c>
      <c r="O495" t="n">
        <v>0</v>
      </c>
      <c r="P495" t="n">
        <v>0</v>
      </c>
      <c r="Q495" t="n">
        <v>1</v>
      </c>
      <c r="R495" t="n">
        <v>0</v>
      </c>
      <c r="S495" t="n">
        <v>1</v>
      </c>
      <c r="T495" t="n">
        <v>1</v>
      </c>
      <c r="U495" t="n">
        <v>0</v>
      </c>
      <c r="V495" s="2" t="inlineStr">
        <is>
          <t>Gullklöver</t>
        </is>
      </c>
      <c r="W495">
        <f>HYPERLINK("https://klasma.github.io/Logging_1256/artfynd/A 38965-2025 artfynd.xlsx", "A 38965-2025")</f>
        <v/>
      </c>
      <c r="X495">
        <f>HYPERLINK("https://klasma.github.io/Logging_1256/kartor/A 38965-2025 karta.png", "A 38965-2025")</f>
        <v/>
      </c>
      <c r="Y495">
        <f>HYPERLINK("https://klasma.github.io/Logging_1256/kartor_geotiff/A 38965-2025 georefererad karta.tif", "A 38965-2025")</f>
        <v/>
      </c>
      <c r="AA495">
        <f>HYPERLINK("https://klasma.github.io/Logging_1256/klagomål/A 38965-2025 FSC-klagomål.docx", "A 38965-2025")</f>
        <v/>
      </c>
      <c r="AB495">
        <f>HYPERLINK("https://klasma.github.io/Logging_1256/klagomålsmail/A 38965-2025 FSC-klagomål mail.docx", "A 38965-2025")</f>
        <v/>
      </c>
      <c r="AC495">
        <f>HYPERLINK("https://klasma.github.io/Logging_1256/tillsyn/A 38965-2025 tillsynsbegäran.docx", "A 38965-2025")</f>
        <v/>
      </c>
      <c r="AD495">
        <f>HYPERLINK("https://klasma.github.io/Logging_1256/tillsynsmail/A 38965-2025 tillsynsbegäran mail.docx", "A 38965-2025")</f>
        <v/>
      </c>
    </row>
    <row r="496" ht="15" customHeight="1">
      <c r="A496" t="inlineStr">
        <is>
          <t>A 16121-2025</t>
        </is>
      </c>
      <c r="B496" t="inlineStr">
        <is>
          <t>avverkningsanmälan</t>
        </is>
      </c>
      <c r="C496" t="inlineStr">
        <is>
          <t>Föryngringsavverkning</t>
        </is>
      </c>
      <c r="D496" s="1" t="n">
        <v>45750</v>
      </c>
      <c r="E496" s="1" t="n">
        <v>46312</v>
      </c>
      <c r="F496" t="inlineStr">
        <is>
          <t>SKÅNE LÄN</t>
        </is>
      </c>
      <c r="G496" t="inlineStr">
        <is>
          <t>HÄSSLEHOLM</t>
        </is>
      </c>
      <c r="I496" t="n">
        <v>1.6</v>
      </c>
      <c r="J496" t="n">
        <v>0</v>
      </c>
      <c r="K496" t="n">
        <v>0</v>
      </c>
      <c r="L496" t="n">
        <v>0</v>
      </c>
      <c r="M496" t="n">
        <v>1</v>
      </c>
      <c r="N496" t="n">
        <v>0</v>
      </c>
      <c r="O496" t="n">
        <v>0</v>
      </c>
      <c r="P496" t="n">
        <v>0</v>
      </c>
      <c r="Q496" t="n">
        <v>1</v>
      </c>
      <c r="R496" t="n">
        <v>1</v>
      </c>
      <c r="S496" t="n">
        <v>1</v>
      </c>
      <c r="T496" t="n">
        <v>2</v>
      </c>
      <c r="U496" t="n">
        <v>2</v>
      </c>
      <c r="V496" s="2" t="inlineStr">
        <is>
          <t>Igelkott</t>
        </is>
      </c>
      <c r="W496">
        <f>HYPERLINK("https://klasma.github.io/Logging_1293/artfynd/A 16121-2025 artfynd.xlsx", "A 16121-2025")</f>
        <v/>
      </c>
      <c r="X496">
        <f>HYPERLINK("https://klasma.github.io/Logging_1293/kartor/A 16121-2025 karta.png", "A 16121-2025")</f>
        <v/>
      </c>
      <c r="Y496">
        <f>HYPERLINK("https://klasma.github.io/Logging_1293/kartor_geotiff/A 16121-2025 georefererad karta.tif", "A 16121-2025")</f>
        <v/>
      </c>
      <c r="AA496">
        <f>HYPERLINK("https://klasma.github.io/Logging_1293/klagomål/A 16121-2025 FSC-klagomål.docx", "A 16121-2025")</f>
        <v/>
      </c>
      <c r="AB496">
        <f>HYPERLINK("https://klasma.github.io/Logging_1293/klagomålsmail/A 16121-2025 FSC-klagomål mail.docx", "A 16121-2025")</f>
        <v/>
      </c>
      <c r="AC496">
        <f>HYPERLINK("https://klasma.github.io/Logging_1293/tillsyn/A 16121-2025 tillsynsbegäran.docx", "A 16121-2025")</f>
        <v/>
      </c>
      <c r="AD496">
        <f>HYPERLINK("https://klasma.github.io/Logging_1293/tillsynsmail/A 16121-2025 tillsynsbegäran mail.docx", "A 16121-2025")</f>
        <v/>
      </c>
    </row>
    <row r="497" ht="15" customHeight="1">
      <c r="A497" t="inlineStr">
        <is>
          <t>A 50741-2023</t>
        </is>
      </c>
      <c r="B497" t="inlineStr">
        <is>
          <t>avverkningsanmälan</t>
        </is>
      </c>
      <c r="C497" t="inlineStr">
        <is>
          <t>Föryngringsavverkning</t>
        </is>
      </c>
      <c r="D497" s="1" t="n">
        <v>45217</v>
      </c>
      <c r="E497" s="1" t="n">
        <v>46312</v>
      </c>
      <c r="F497" t="inlineStr">
        <is>
          <t>SKÅNE LÄN</t>
        </is>
      </c>
      <c r="G497" t="inlineStr">
        <is>
          <t>OSBY</t>
        </is>
      </c>
      <c r="I497" t="n">
        <v>3.2</v>
      </c>
      <c r="J497" t="n">
        <v>1</v>
      </c>
      <c r="K497" t="n">
        <v>0</v>
      </c>
      <c r="L497" t="n">
        <v>0</v>
      </c>
      <c r="M497" t="n">
        <v>0</v>
      </c>
      <c r="N497" t="n">
        <v>0</v>
      </c>
      <c r="O497" t="n">
        <v>0</v>
      </c>
      <c r="P497" t="n">
        <v>0</v>
      </c>
      <c r="Q497" t="n">
        <v>0</v>
      </c>
      <c r="R497" t="n">
        <v>0</v>
      </c>
      <c r="S497" t="n">
        <v>1</v>
      </c>
      <c r="T497" t="n">
        <v>1</v>
      </c>
      <c r="U497" t="n">
        <v>0</v>
      </c>
      <c r="V497" s="2" t="inlineStr">
        <is>
          <t>Mattlummer</t>
        </is>
      </c>
      <c r="W497">
        <f>HYPERLINK("https://klasma.github.io/Logging_1273/artfynd/A 50741-2023 artfynd.xlsx", "A 50741-2023")</f>
        <v/>
      </c>
      <c r="X497">
        <f>HYPERLINK("https://klasma.github.io/Logging_1273/kartor/A 50741-2023 karta.png", "A 50741-2023")</f>
        <v/>
      </c>
      <c r="Y497">
        <f>HYPERLINK("https://klasma.github.io/Logging_1273/kartor_geotiff/A 50741-2023 georefererad karta.tif", "A 50741-2023")</f>
        <v/>
      </c>
      <c r="AA497">
        <f>HYPERLINK("https://klasma.github.io/Logging_1273/klagomål/A 50741-2023 FSC-klagomål.docx", "A 50741-2023")</f>
        <v/>
      </c>
      <c r="AB497">
        <f>HYPERLINK("https://klasma.github.io/Logging_1273/klagomålsmail/A 50741-2023 FSC-klagomål mail.docx", "A 50741-2023")</f>
        <v/>
      </c>
      <c r="AC497">
        <f>HYPERLINK("https://klasma.github.io/Logging_1273/tillsyn/A 50741-2023 tillsynsbegäran.docx", "A 50741-2023")</f>
        <v/>
      </c>
      <c r="AD497">
        <f>HYPERLINK("https://klasma.github.io/Logging_1273/tillsynsmail/A 50741-2023 tillsynsbegäran mail.docx", "A 50741-2023")</f>
        <v/>
      </c>
    </row>
    <row r="498" ht="15" customHeight="1">
      <c r="A498" t="inlineStr">
        <is>
          <t>A 61049-2025</t>
        </is>
      </c>
      <c r="B498" t="inlineStr">
        <is>
          <t>avverkningsanmälan</t>
        </is>
      </c>
      <c r="C498" t="inlineStr">
        <is>
          <t>Föryngringsavverkning</t>
        </is>
      </c>
      <c r="D498" s="1" t="n">
        <v>46000</v>
      </c>
      <c r="E498" s="1" t="n">
        <v>46312</v>
      </c>
      <c r="F498" t="inlineStr">
        <is>
          <t>SKÅNE LÄN</t>
        </is>
      </c>
      <c r="G498" t="inlineStr">
        <is>
          <t>KLIPPAN</t>
        </is>
      </c>
      <c r="H498" t="inlineStr">
        <is>
          <t>Sveaskog</t>
        </is>
      </c>
      <c r="I498" t="n">
        <v>3.6</v>
      </c>
      <c r="J498" t="n">
        <v>1</v>
      </c>
      <c r="K498" t="n">
        <v>0</v>
      </c>
      <c r="L498" t="n">
        <v>1</v>
      </c>
      <c r="M498" t="n">
        <v>0</v>
      </c>
      <c r="N498" t="n">
        <v>0</v>
      </c>
      <c r="O498" t="n">
        <v>0</v>
      </c>
      <c r="P498" t="n">
        <v>0</v>
      </c>
      <c r="Q498" t="n">
        <v>1</v>
      </c>
      <c r="R498" t="n">
        <v>0</v>
      </c>
      <c r="S498" t="n">
        <v>1</v>
      </c>
      <c r="T498" t="n">
        <v>1</v>
      </c>
      <c r="U498" t="n">
        <v>1</v>
      </c>
      <c r="V498" s="2" t="inlineStr">
        <is>
          <t>Mindre hackspett</t>
        </is>
      </c>
      <c r="W498">
        <f>HYPERLINK("https://klasma.github.io/Logging_1276/artfynd/A 61049-2025 artfynd.xlsx", "A 61049-2025")</f>
        <v/>
      </c>
      <c r="X498">
        <f>HYPERLINK("https://klasma.github.io/Logging_1276/kartor/A 61049-2025 karta.png", "A 61049-2025")</f>
        <v/>
      </c>
      <c r="Y498">
        <f>HYPERLINK("https://klasma.github.io/Logging_1276/kartor_geotiff/A 61049-2025 georefererad karta.tif", "A 61049-2025")</f>
        <v/>
      </c>
      <c r="AA498">
        <f>HYPERLINK("https://klasma.github.io/Logging_1276/klagomål/A 61049-2025 FSC-klagomål.docx", "A 61049-2025")</f>
        <v/>
      </c>
      <c r="AB498">
        <f>HYPERLINK("https://klasma.github.io/Logging_1276/klagomålsmail/A 61049-2025 FSC-klagomål mail.docx", "A 61049-2025")</f>
        <v/>
      </c>
      <c r="AC498">
        <f>HYPERLINK("https://klasma.github.io/Logging_1276/tillsyn/A 61049-2025 tillsynsbegäran.docx", "A 61049-2025")</f>
        <v/>
      </c>
      <c r="AD498">
        <f>HYPERLINK("https://klasma.github.io/Logging_1276/tillsynsmail/A 61049-2025 tillsynsbegäran mail.docx", "A 61049-2025")</f>
        <v/>
      </c>
      <c r="AE498">
        <f>HYPERLINK("https://klasma.github.io/Logging_1276/fåglar/A 61049-2025 prioriterade fågelarter.docx", "A 61049-2025")</f>
        <v/>
      </c>
    </row>
    <row r="499" ht="15" customHeight="1">
      <c r="A499" t="inlineStr">
        <is>
          <t>A 24720-2025</t>
        </is>
      </c>
      <c r="B499" t="inlineStr">
        <is>
          <t>avverkningsanmälan</t>
        </is>
      </c>
      <c r="C499" t="inlineStr">
        <is>
          <t>Föryngringsavverkning</t>
        </is>
      </c>
      <c r="D499" s="1" t="n">
        <v>45799</v>
      </c>
      <c r="E499" s="1" t="n">
        <v>46312</v>
      </c>
      <c r="F499" t="inlineStr">
        <is>
          <t>SKÅNE LÄN</t>
        </is>
      </c>
      <c r="G499" t="inlineStr">
        <is>
          <t>OSBY</t>
        </is>
      </c>
      <c r="I499" t="n">
        <v>0.9</v>
      </c>
      <c r="J499" t="n">
        <v>0</v>
      </c>
      <c r="K499" t="n">
        <v>0</v>
      </c>
      <c r="L499" t="n">
        <v>0</v>
      </c>
      <c r="M499" t="n">
        <v>0</v>
      </c>
      <c r="N499" t="n">
        <v>1</v>
      </c>
      <c r="O499" t="n">
        <v>0</v>
      </c>
      <c r="P499" t="n">
        <v>0</v>
      </c>
      <c r="Q499" t="n">
        <v>1</v>
      </c>
      <c r="R499" t="n">
        <v>1</v>
      </c>
      <c r="S499" t="n">
        <v>1</v>
      </c>
      <c r="T499" t="n">
        <v>1</v>
      </c>
      <c r="U499" t="n">
        <v>1</v>
      </c>
      <c r="V499" s="2" t="inlineStr">
        <is>
          <t>Ask</t>
        </is>
      </c>
      <c r="W499">
        <f>HYPERLINK("https://klasma.github.io/Logging_1273/artfynd/A 24720-2025 artfynd.xlsx", "A 24720-2025")</f>
        <v/>
      </c>
      <c r="X499">
        <f>HYPERLINK("https://klasma.github.io/Logging_1273/kartor/A 24720-2025 karta.png", "A 24720-2025")</f>
        <v/>
      </c>
      <c r="Y499">
        <f>HYPERLINK("https://klasma.github.io/Logging_1273/kartor_geotiff/A 24720-2025 georefererad karta.tif", "A 24720-2025")</f>
        <v/>
      </c>
      <c r="AA499">
        <f>HYPERLINK("https://klasma.github.io/Logging_1273/klagomål/A 24720-2025 FSC-klagomål.docx", "A 24720-2025")</f>
        <v/>
      </c>
      <c r="AB499">
        <f>HYPERLINK("https://klasma.github.io/Logging_1273/klagomålsmail/A 24720-2025 FSC-klagomål mail.docx", "A 24720-2025")</f>
        <v/>
      </c>
      <c r="AC499">
        <f>HYPERLINK("https://klasma.github.io/Logging_1273/tillsyn/A 24720-2025 tillsynsbegäran.docx", "A 24720-2025")</f>
        <v/>
      </c>
      <c r="AD499">
        <f>HYPERLINK("https://klasma.github.io/Logging_1273/tillsynsmail/A 24720-2025 tillsynsbegäran mail.docx", "A 24720-2025")</f>
        <v/>
      </c>
    </row>
    <row r="500" ht="15" customHeight="1">
      <c r="A500" t="inlineStr">
        <is>
          <t>A 50118-2022</t>
        </is>
      </c>
      <c r="B500" t="inlineStr">
        <is>
          <t>avverkningsanmälan</t>
        </is>
      </c>
      <c r="C500" t="inlineStr">
        <is>
          <t>Föryngringsavverkning</t>
        </is>
      </c>
      <c r="D500" s="1" t="n">
        <v>44860</v>
      </c>
      <c r="E500" s="1" t="n">
        <v>46312</v>
      </c>
      <c r="F500" t="inlineStr">
        <is>
          <t>SKÅNE LÄN</t>
        </is>
      </c>
      <c r="G500" t="inlineStr">
        <is>
          <t>BROMÖLLA</t>
        </is>
      </c>
      <c r="I500" t="n">
        <v>12.8</v>
      </c>
      <c r="J500" t="n">
        <v>0</v>
      </c>
      <c r="K500" t="n">
        <v>1</v>
      </c>
      <c r="L500" t="n">
        <v>0</v>
      </c>
      <c r="M500" t="n">
        <v>0</v>
      </c>
      <c r="N500" t="n">
        <v>0</v>
      </c>
      <c r="O500" t="n">
        <v>0</v>
      </c>
      <c r="P500" t="n">
        <v>0</v>
      </c>
      <c r="Q500" t="n">
        <v>0</v>
      </c>
      <c r="R500" t="n">
        <v>0</v>
      </c>
      <c r="S500" t="n">
        <v>1</v>
      </c>
      <c r="T500" t="n">
        <v>2</v>
      </c>
      <c r="U500" t="n">
        <v>0</v>
      </c>
      <c r="V500" s="2" t="inlineStr">
        <is>
          <t>Myskmadra</t>
        </is>
      </c>
      <c r="W500">
        <f>HYPERLINK("https://klasma.github.io/Logging_1272/artfynd/A 50118-2022 artfynd.xlsx", "A 50118-2022")</f>
        <v/>
      </c>
      <c r="X500">
        <f>HYPERLINK("https://klasma.github.io/Logging_1272/kartor/A 50118-2022 karta.png", "A 50118-2022")</f>
        <v/>
      </c>
      <c r="Y500">
        <f>HYPERLINK("https://klasma.github.io/Logging_1272/kartor_geotiff/A 50118-2022 georefererad karta.tif", "A 50118-2022")</f>
        <v/>
      </c>
      <c r="AA500">
        <f>HYPERLINK("https://klasma.github.io/Logging_1272/klagomål/A 50118-2022 FSC-klagomål.docx", "A 50118-2022")</f>
        <v/>
      </c>
      <c r="AB500">
        <f>HYPERLINK("https://klasma.github.io/Logging_1272/klagomålsmail/A 50118-2022 FSC-klagomål mail.docx", "A 50118-2022")</f>
        <v/>
      </c>
      <c r="AC500">
        <f>HYPERLINK("https://klasma.github.io/Logging_1272/tillsyn/A 50118-2022 tillsynsbegäran.docx", "A 50118-2022")</f>
        <v/>
      </c>
      <c r="AD500">
        <f>HYPERLINK("https://klasma.github.io/Logging_1272/tillsynsmail/A 50118-2022 tillsynsbegäran mail.docx", "A 50118-2022")</f>
        <v/>
      </c>
    </row>
    <row r="501" ht="15" customHeight="1">
      <c r="A501" t="inlineStr">
        <is>
          <t>A 29075-2023</t>
        </is>
      </c>
      <c r="B501" t="inlineStr">
        <is>
          <t>avverkningsanmälan</t>
        </is>
      </c>
      <c r="C501" t="inlineStr">
        <is>
          <t>Föryngringsavverkning</t>
        </is>
      </c>
      <c r="D501" s="1" t="n">
        <v>45104</v>
      </c>
      <c r="E501" s="1" t="n">
        <v>46312</v>
      </c>
      <c r="F501" t="inlineStr">
        <is>
          <t>SKÅNE LÄN</t>
        </is>
      </c>
      <c r="G501" t="inlineStr">
        <is>
          <t>LUND</t>
        </is>
      </c>
      <c r="I501" t="n">
        <v>0.7</v>
      </c>
      <c r="J501" t="n">
        <v>0</v>
      </c>
      <c r="K501" t="n">
        <v>0</v>
      </c>
      <c r="L501" t="n">
        <v>1</v>
      </c>
      <c r="M501" t="n">
        <v>0</v>
      </c>
      <c r="N501" t="n">
        <v>0</v>
      </c>
      <c r="O501" t="n">
        <v>0</v>
      </c>
      <c r="P501" t="n">
        <v>0</v>
      </c>
      <c r="Q501" t="n">
        <v>1</v>
      </c>
      <c r="R501" t="n">
        <v>0</v>
      </c>
      <c r="S501" t="n">
        <v>1</v>
      </c>
      <c r="T501" t="n">
        <v>1</v>
      </c>
      <c r="U501" t="n">
        <v>1</v>
      </c>
      <c r="V501" s="2" t="inlineStr">
        <is>
          <t>Bokvårtlav</t>
        </is>
      </c>
      <c r="W501">
        <f>HYPERLINK("https://klasma.github.io/Logging_1281/artfynd/A 29075-2023 artfynd.xlsx", "A 29075-2023")</f>
        <v/>
      </c>
      <c r="X501">
        <f>HYPERLINK("https://klasma.github.io/Logging_1281/kartor/A 29075-2023 karta.png", "A 29075-2023")</f>
        <v/>
      </c>
      <c r="Y501">
        <f>HYPERLINK("https://klasma.github.io/Logging_1281/kartor_geotiff/A 29075-2023 georefererad karta.tif", "A 29075-2023")</f>
        <v/>
      </c>
      <c r="AA501">
        <f>HYPERLINK("https://klasma.github.io/Logging_1281/klagomål/A 29075-2023 FSC-klagomål.docx", "A 29075-2023")</f>
        <v/>
      </c>
      <c r="AB501">
        <f>HYPERLINK("https://klasma.github.io/Logging_1281/klagomålsmail/A 29075-2023 FSC-klagomål mail.docx", "A 29075-2023")</f>
        <v/>
      </c>
      <c r="AC501">
        <f>HYPERLINK("https://klasma.github.io/Logging_1281/tillsyn/A 29075-2023 tillsynsbegäran.docx", "A 29075-2023")</f>
        <v/>
      </c>
      <c r="AD501">
        <f>HYPERLINK("https://klasma.github.io/Logging_1281/tillsynsmail/A 29075-2023 tillsynsbegäran mail.docx", "A 29075-2023")</f>
        <v/>
      </c>
    </row>
    <row r="502" ht="15" customHeight="1">
      <c r="A502" t="inlineStr">
        <is>
          <t>A 53519-2023</t>
        </is>
      </c>
      <c r="B502" t="inlineStr">
        <is>
          <t>avverkningsanmälan</t>
        </is>
      </c>
      <c r="C502" t="inlineStr">
        <is>
          <t>Avverkning för annat ändamål</t>
        </is>
      </c>
      <c r="D502" s="1" t="n">
        <v>45230</v>
      </c>
      <c r="E502" s="1" t="n">
        <v>46312</v>
      </c>
      <c r="F502" t="inlineStr">
        <is>
          <t>SKÅNE LÄN</t>
        </is>
      </c>
      <c r="G502" t="inlineStr">
        <is>
          <t>KÄVLINGE</t>
        </is>
      </c>
      <c r="I502" t="n">
        <v>1</v>
      </c>
      <c r="J502" t="n">
        <v>0</v>
      </c>
      <c r="K502" t="n">
        <v>0</v>
      </c>
      <c r="L502" t="n">
        <v>0</v>
      </c>
      <c r="M502" t="n">
        <v>1</v>
      </c>
      <c r="N502" t="n">
        <v>0</v>
      </c>
      <c r="O502" t="n">
        <v>0</v>
      </c>
      <c r="P502" t="n">
        <v>0</v>
      </c>
      <c r="Q502" t="n">
        <v>1</v>
      </c>
      <c r="R502" t="n">
        <v>1</v>
      </c>
      <c r="S502" t="n">
        <v>1</v>
      </c>
      <c r="T502" t="n">
        <v>1</v>
      </c>
      <c r="U502" t="n">
        <v>1</v>
      </c>
      <c r="V502" s="2" t="inlineStr">
        <is>
          <t>Bergbjörnbär</t>
        </is>
      </c>
      <c r="W502">
        <f>HYPERLINK("https://klasma.github.io/Logging_1261/artfynd/A 53519-2023 artfynd.xlsx", "A 53519-2023")</f>
        <v/>
      </c>
      <c r="X502">
        <f>HYPERLINK("https://klasma.github.io/Logging_1261/kartor/A 53519-2023 karta.png", "A 53519-2023")</f>
        <v/>
      </c>
      <c r="Y502">
        <f>HYPERLINK("https://klasma.github.io/Logging_1261/kartor_geotiff/A 53519-2023 georefererad karta.tif", "A 53519-2023")</f>
        <v/>
      </c>
      <c r="AA502">
        <f>HYPERLINK("https://klasma.github.io/Logging_1261/klagomål/A 53519-2023 FSC-klagomål.docx", "A 53519-2023")</f>
        <v/>
      </c>
      <c r="AB502">
        <f>HYPERLINK("https://klasma.github.io/Logging_1261/klagomålsmail/A 53519-2023 FSC-klagomål mail.docx", "A 53519-2023")</f>
        <v/>
      </c>
      <c r="AC502">
        <f>HYPERLINK("https://klasma.github.io/Logging_1261/tillsyn/A 53519-2023 tillsynsbegäran.docx", "A 53519-2023")</f>
        <v/>
      </c>
      <c r="AD502">
        <f>HYPERLINK("https://klasma.github.io/Logging_1261/tillsynsmail/A 53519-2023 tillsynsbegäran mail.docx", "A 53519-2023")</f>
        <v/>
      </c>
    </row>
    <row r="503" ht="15" customHeight="1">
      <c r="A503" t="inlineStr">
        <is>
          <t>A 35397-2025</t>
        </is>
      </c>
      <c r="B503" t="inlineStr">
        <is>
          <t>avverkningsanmälan</t>
        </is>
      </c>
      <c r="C503" t="inlineStr">
        <is>
          <t>Föryngringsavverkning</t>
        </is>
      </c>
      <c r="D503" s="1" t="n">
        <v>45854</v>
      </c>
      <c r="E503" s="1" t="n">
        <v>46312</v>
      </c>
      <c r="F503" t="inlineStr">
        <is>
          <t>SKÅNE LÄN</t>
        </is>
      </c>
      <c r="G503" t="inlineStr">
        <is>
          <t>BROMÖLLA</t>
        </is>
      </c>
      <c r="I503" t="n">
        <v>8.4</v>
      </c>
      <c r="J503" t="n">
        <v>0</v>
      </c>
      <c r="K503" t="n">
        <v>1</v>
      </c>
      <c r="L503" t="n">
        <v>0</v>
      </c>
      <c r="M503" t="n">
        <v>0</v>
      </c>
      <c r="N503" t="n">
        <v>0</v>
      </c>
      <c r="O503" t="n">
        <v>0</v>
      </c>
      <c r="P503" t="n">
        <v>0</v>
      </c>
      <c r="Q503" t="n">
        <v>0</v>
      </c>
      <c r="R503" t="n">
        <v>0</v>
      </c>
      <c r="S503" t="n">
        <v>1</v>
      </c>
      <c r="T503" t="n">
        <v>1</v>
      </c>
      <c r="U503" t="n">
        <v>0</v>
      </c>
      <c r="V503" s="2" t="inlineStr">
        <is>
          <t>Skogsbräsma</t>
        </is>
      </c>
      <c r="W503">
        <f>HYPERLINK("https://klasma.github.io/Logging_1272/artfynd/A 35397-2025 artfynd.xlsx", "A 35397-2025")</f>
        <v/>
      </c>
      <c r="X503">
        <f>HYPERLINK("https://klasma.github.io/Logging_1272/kartor/A 35397-2025 karta.png", "A 35397-2025")</f>
        <v/>
      </c>
      <c r="Y503">
        <f>HYPERLINK("https://klasma.github.io/Logging_1272/kartor_geotiff/A 35397-2025 georefererad karta.tif", "A 35397-2025")</f>
        <v/>
      </c>
      <c r="AA503">
        <f>HYPERLINK("https://klasma.github.io/Logging_1272/klagomål/A 35397-2025 FSC-klagomål.docx", "A 35397-2025")</f>
        <v/>
      </c>
      <c r="AB503">
        <f>HYPERLINK("https://klasma.github.io/Logging_1272/klagomålsmail/A 35397-2025 FSC-klagomål mail.docx", "A 35397-2025")</f>
        <v/>
      </c>
      <c r="AC503">
        <f>HYPERLINK("https://klasma.github.io/Logging_1272/tillsyn/A 35397-2025 tillsynsbegäran.docx", "A 35397-2025")</f>
        <v/>
      </c>
      <c r="AD503">
        <f>HYPERLINK("https://klasma.github.io/Logging_1272/tillsynsmail/A 35397-2025 tillsynsbegäran mail.docx", "A 35397-2025")</f>
        <v/>
      </c>
    </row>
    <row r="504" ht="15" customHeight="1">
      <c r="A504" t="inlineStr">
        <is>
          <t>A 16860-2025</t>
        </is>
      </c>
      <c r="B504" t="inlineStr">
        <is>
          <t>avverkningsanmälan</t>
        </is>
      </c>
      <c r="C504" t="inlineStr">
        <is>
          <t>Föryngringsavverkning</t>
        </is>
      </c>
      <c r="D504" s="1" t="n">
        <v>45751</v>
      </c>
      <c r="E504" s="1" t="n">
        <v>46312</v>
      </c>
      <c r="F504" t="inlineStr">
        <is>
          <t>SKÅNE LÄN</t>
        </is>
      </c>
      <c r="G504" t="inlineStr">
        <is>
          <t>HÄSSLEHOLM</t>
        </is>
      </c>
      <c r="I504" t="n">
        <v>1.3</v>
      </c>
      <c r="J504" t="n">
        <v>1</v>
      </c>
      <c r="K504" t="n">
        <v>0</v>
      </c>
      <c r="L504" t="n">
        <v>0</v>
      </c>
      <c r="M504" t="n">
        <v>0</v>
      </c>
      <c r="N504" t="n">
        <v>0</v>
      </c>
      <c r="O504" t="n">
        <v>0</v>
      </c>
      <c r="P504" t="n">
        <v>0</v>
      </c>
      <c r="Q504" t="n">
        <v>0</v>
      </c>
      <c r="R504" t="n">
        <v>0</v>
      </c>
      <c r="S504" t="n">
        <v>1</v>
      </c>
      <c r="T504" t="n">
        <v>1</v>
      </c>
      <c r="U504" t="n">
        <v>0</v>
      </c>
      <c r="V504" s="2" t="inlineStr">
        <is>
          <t>Hårklomossa</t>
        </is>
      </c>
      <c r="W504">
        <f>HYPERLINK("https://klasma.github.io/Logging_1293/artfynd/A 16860-2025 artfynd.xlsx", "A 16860-2025")</f>
        <v/>
      </c>
      <c r="X504">
        <f>HYPERLINK("https://klasma.github.io/Logging_1293/kartor/A 16860-2025 karta.png", "A 16860-2025")</f>
        <v/>
      </c>
      <c r="Y504">
        <f>HYPERLINK("https://klasma.github.io/Logging_1293/kartor_geotiff/A 16860-2025 georefererad karta.tif", "A 16860-2025")</f>
        <v/>
      </c>
      <c r="AA504">
        <f>HYPERLINK("https://klasma.github.io/Logging_1293/klagomål/A 16860-2025 FSC-klagomål.docx", "A 16860-2025")</f>
        <v/>
      </c>
      <c r="AB504">
        <f>HYPERLINK("https://klasma.github.io/Logging_1293/klagomålsmail/A 16860-2025 FSC-klagomål mail.docx", "A 16860-2025")</f>
        <v/>
      </c>
      <c r="AC504">
        <f>HYPERLINK("https://klasma.github.io/Logging_1293/tillsyn/A 16860-2025 tillsynsbegäran.docx", "A 16860-2025")</f>
        <v/>
      </c>
      <c r="AD504">
        <f>HYPERLINK("https://klasma.github.io/Logging_1293/tillsynsmail/A 16860-2025 tillsynsbegäran mail.docx", "A 16860-2025")</f>
        <v/>
      </c>
    </row>
    <row r="505" ht="15" customHeight="1">
      <c r="A505" t="inlineStr">
        <is>
          <t>A 6152-2024</t>
        </is>
      </c>
      <c r="B505" t="inlineStr">
        <is>
          <t>avverkningsanmälan</t>
        </is>
      </c>
      <c r="C505" t="inlineStr">
        <is>
          <t>Föryngringsavverkning</t>
        </is>
      </c>
      <c r="D505" s="1" t="n">
        <v>45337</v>
      </c>
      <c r="E505" s="1" t="n">
        <v>46312</v>
      </c>
      <c r="F505" t="inlineStr">
        <is>
          <t>SKÅNE LÄN</t>
        </is>
      </c>
      <c r="G505" t="inlineStr">
        <is>
          <t>ÖSTRA GÖINGE</t>
        </is>
      </c>
      <c r="I505" t="n">
        <v>3.1</v>
      </c>
      <c r="J505" t="n">
        <v>1</v>
      </c>
      <c r="K505" t="n">
        <v>0</v>
      </c>
      <c r="L505" t="n">
        <v>0</v>
      </c>
      <c r="M505" t="n">
        <v>0</v>
      </c>
      <c r="N505" t="n">
        <v>0</v>
      </c>
      <c r="O505" t="n">
        <v>0</v>
      </c>
      <c r="P505" t="n">
        <v>0</v>
      </c>
      <c r="Q505" t="n">
        <v>0</v>
      </c>
      <c r="R505" t="n">
        <v>0</v>
      </c>
      <c r="S505" t="n">
        <v>1</v>
      </c>
      <c r="T505" t="n">
        <v>1</v>
      </c>
      <c r="U505" t="n">
        <v>0</v>
      </c>
      <c r="V505" s="2" t="inlineStr">
        <is>
          <t>Kungsfågel</t>
        </is>
      </c>
      <c r="W505">
        <f>HYPERLINK("https://klasma.github.io/Logging_1256/artfynd/A 6152-2024 artfynd.xlsx", "A 6152-2024")</f>
        <v/>
      </c>
      <c r="X505">
        <f>HYPERLINK("https://klasma.github.io/Logging_1256/kartor/A 6152-2024 karta.png", "A 6152-2024")</f>
        <v/>
      </c>
      <c r="Y505">
        <f>HYPERLINK("https://klasma.github.io/Logging_1256/kartor_geotiff/A 6152-2024 georefererad karta.tif", "A 6152-2024")</f>
        <v/>
      </c>
      <c r="AA505">
        <f>HYPERLINK("https://klasma.github.io/Logging_1256/klagomål/A 6152-2024 FSC-klagomål.docx", "A 6152-2024")</f>
        <v/>
      </c>
      <c r="AB505">
        <f>HYPERLINK("https://klasma.github.io/Logging_1256/klagomålsmail/A 6152-2024 FSC-klagomål mail.docx", "A 6152-2024")</f>
        <v/>
      </c>
      <c r="AC505">
        <f>HYPERLINK("https://klasma.github.io/Logging_1256/tillsyn/A 6152-2024 tillsynsbegäran.docx", "A 6152-2024")</f>
        <v/>
      </c>
      <c r="AD505">
        <f>HYPERLINK("https://klasma.github.io/Logging_1256/tillsynsmail/A 6152-2024 tillsynsbegäran mail.docx", "A 6152-2024")</f>
        <v/>
      </c>
    </row>
    <row r="506" ht="15" customHeight="1">
      <c r="A506" t="inlineStr">
        <is>
          <t>A 35037-2024</t>
        </is>
      </c>
      <c r="B506" t="inlineStr">
        <is>
          <t>avverkningsanmälan</t>
        </is>
      </c>
      <c r="C506" t="inlineStr">
        <is>
          <t>Föryngringsavverkning</t>
        </is>
      </c>
      <c r="D506" s="1" t="n">
        <v>45527</v>
      </c>
      <c r="E506" s="1" t="n">
        <v>46312</v>
      </c>
      <c r="F506" t="inlineStr">
        <is>
          <t>SKÅNE LÄN</t>
        </is>
      </c>
      <c r="G506" t="inlineStr">
        <is>
          <t>ÖSTRA GÖINGE</t>
        </is>
      </c>
      <c r="I506" t="n">
        <v>12.6</v>
      </c>
      <c r="J506" t="n">
        <v>0</v>
      </c>
      <c r="K506" t="n">
        <v>0</v>
      </c>
      <c r="L506" t="n">
        <v>1</v>
      </c>
      <c r="M506" t="n">
        <v>0</v>
      </c>
      <c r="N506" t="n">
        <v>0</v>
      </c>
      <c r="O506" t="n">
        <v>0</v>
      </c>
      <c r="P506" t="n">
        <v>0</v>
      </c>
      <c r="Q506" t="n">
        <v>1</v>
      </c>
      <c r="R506" t="n">
        <v>0</v>
      </c>
      <c r="S506" t="n">
        <v>1</v>
      </c>
      <c r="T506" t="n">
        <v>1</v>
      </c>
      <c r="U506" t="n">
        <v>0</v>
      </c>
      <c r="V506" s="2" t="inlineStr">
        <is>
          <t>Gullpudra</t>
        </is>
      </c>
      <c r="W506">
        <f>HYPERLINK("https://klasma.github.io/Logging_1256/artfynd/A 35037-2024 artfynd.xlsx", "A 35037-2024")</f>
        <v/>
      </c>
      <c r="X506">
        <f>HYPERLINK("https://klasma.github.io/Logging_1256/kartor/A 35037-2024 karta.png", "A 35037-2024")</f>
        <v/>
      </c>
      <c r="Y506">
        <f>HYPERLINK("https://klasma.github.io/Logging_1256/kartor_geotiff/A 35037-2024 georefererad karta.tif", "A 35037-2024")</f>
        <v/>
      </c>
      <c r="AA506">
        <f>HYPERLINK("https://klasma.github.io/Logging_1256/klagomål/A 35037-2024 FSC-klagomål.docx", "A 35037-2024")</f>
        <v/>
      </c>
      <c r="AB506">
        <f>HYPERLINK("https://klasma.github.io/Logging_1256/klagomålsmail/A 35037-2024 FSC-klagomål mail.docx", "A 35037-2024")</f>
        <v/>
      </c>
      <c r="AC506">
        <f>HYPERLINK("https://klasma.github.io/Logging_1256/tillsyn/A 35037-2024 tillsynsbegäran.docx", "A 35037-2024")</f>
        <v/>
      </c>
      <c r="AD506">
        <f>HYPERLINK("https://klasma.github.io/Logging_1256/tillsynsmail/A 35037-2024 tillsynsbegäran mail.docx", "A 35037-2024")</f>
        <v/>
      </c>
    </row>
    <row r="507" ht="15" customHeight="1">
      <c r="A507" t="inlineStr">
        <is>
          <t>A 15456-2024</t>
        </is>
      </c>
      <c r="B507" t="inlineStr">
        <is>
          <t>avverkningsanmälan</t>
        </is>
      </c>
      <c r="C507" t="inlineStr">
        <is>
          <t>Föryngringsavverkning</t>
        </is>
      </c>
      <c r="D507" s="1" t="n">
        <v>45401</v>
      </c>
      <c r="E507" s="1" t="n">
        <v>46312</v>
      </c>
      <c r="F507" t="inlineStr">
        <is>
          <t>SKÅNE LÄN</t>
        </is>
      </c>
      <c r="G507" t="inlineStr">
        <is>
          <t>SVALÖV</t>
        </is>
      </c>
      <c r="I507" t="n">
        <v>2.5</v>
      </c>
      <c r="J507" t="n">
        <v>0</v>
      </c>
      <c r="K507" t="n">
        <v>0</v>
      </c>
      <c r="L507" t="n">
        <v>0</v>
      </c>
      <c r="M507" t="n">
        <v>1</v>
      </c>
      <c r="N507" t="n">
        <v>0</v>
      </c>
      <c r="O507" t="n">
        <v>0</v>
      </c>
      <c r="P507" t="n">
        <v>0</v>
      </c>
      <c r="Q507" t="n">
        <v>1</v>
      </c>
      <c r="R507" t="n">
        <v>1</v>
      </c>
      <c r="S507" t="n">
        <v>1</v>
      </c>
      <c r="T507" t="n">
        <v>1</v>
      </c>
      <c r="U507" t="n">
        <v>0</v>
      </c>
      <c r="V507" s="2" t="inlineStr">
        <is>
          <t>Lundticka</t>
        </is>
      </c>
      <c r="W507">
        <f>HYPERLINK("https://klasma.github.io/Logging_1214/artfynd/A 15456-2024 artfynd.xlsx", "A 15456-2024")</f>
        <v/>
      </c>
      <c r="X507">
        <f>HYPERLINK("https://klasma.github.io/Logging_1214/kartor/A 15456-2024 karta.png", "A 15456-2024")</f>
        <v/>
      </c>
      <c r="Y507">
        <f>HYPERLINK("https://klasma.github.io/Logging_1214/kartor_geotiff/A 15456-2024 georefererad karta.tif", "A 15456-2024")</f>
        <v/>
      </c>
      <c r="AA507">
        <f>HYPERLINK("https://klasma.github.io/Logging_1214/klagomål/A 15456-2024 FSC-klagomål.docx", "A 15456-2024")</f>
        <v/>
      </c>
      <c r="AB507">
        <f>HYPERLINK("https://klasma.github.io/Logging_1214/klagomålsmail/A 15456-2024 FSC-klagomål mail.docx", "A 15456-2024")</f>
        <v/>
      </c>
      <c r="AC507">
        <f>HYPERLINK("https://klasma.github.io/Logging_1214/tillsyn/A 15456-2024 tillsynsbegäran.docx", "A 15456-2024")</f>
        <v/>
      </c>
      <c r="AD507">
        <f>HYPERLINK("https://klasma.github.io/Logging_1214/tillsynsmail/A 15456-2024 tillsynsbegäran mail.docx", "A 15456-2024")</f>
        <v/>
      </c>
    </row>
    <row r="508" ht="15" customHeight="1">
      <c r="A508" t="inlineStr">
        <is>
          <t>A 17023-2025</t>
        </is>
      </c>
      <c r="B508" t="inlineStr">
        <is>
          <t>avverkningsanmälan</t>
        </is>
      </c>
      <c r="C508" t="inlineStr">
        <is>
          <t>Föryngringsavverkning</t>
        </is>
      </c>
      <c r="D508" s="1" t="n">
        <v>45755</v>
      </c>
      <c r="E508" s="1" t="n">
        <v>46312</v>
      </c>
      <c r="F508" t="inlineStr">
        <is>
          <t>SKÅNE LÄN</t>
        </is>
      </c>
      <c r="G508" t="inlineStr">
        <is>
          <t>KRISTIANSTAD</t>
        </is>
      </c>
      <c r="I508" t="n">
        <v>5.7</v>
      </c>
      <c r="J508" t="n">
        <v>0</v>
      </c>
      <c r="K508" t="n">
        <v>1</v>
      </c>
      <c r="L508" t="n">
        <v>0</v>
      </c>
      <c r="M508" t="n">
        <v>0</v>
      </c>
      <c r="N508" t="n">
        <v>0</v>
      </c>
      <c r="O508" t="n">
        <v>0</v>
      </c>
      <c r="P508" t="n">
        <v>0</v>
      </c>
      <c r="Q508" t="n">
        <v>0</v>
      </c>
      <c r="R508" t="n">
        <v>0</v>
      </c>
      <c r="S508" t="n">
        <v>1</v>
      </c>
      <c r="T508" t="n">
        <v>1</v>
      </c>
      <c r="U508" t="n">
        <v>0</v>
      </c>
      <c r="V508" s="2" t="inlineStr">
        <is>
          <t>Ekskinn</t>
        </is>
      </c>
      <c r="W508">
        <f>HYPERLINK("https://klasma.github.io/Logging_1290/artfynd/A 17023-2025 artfynd.xlsx", "A 17023-2025")</f>
        <v/>
      </c>
      <c r="X508">
        <f>HYPERLINK("https://klasma.github.io/Logging_1290/kartor/A 17023-2025 karta.png", "A 17023-2025")</f>
        <v/>
      </c>
      <c r="Y508">
        <f>HYPERLINK("https://klasma.github.io/Logging_1290/kartor_geotiff/A 17023-2025 georefererad karta.tif", "A 17023-2025")</f>
        <v/>
      </c>
      <c r="AA508">
        <f>HYPERLINK("https://klasma.github.io/Logging_1290/klagomål/A 17023-2025 FSC-klagomål.docx", "A 17023-2025")</f>
        <v/>
      </c>
      <c r="AB508">
        <f>HYPERLINK("https://klasma.github.io/Logging_1290/klagomålsmail/A 17023-2025 FSC-klagomål mail.docx", "A 17023-2025")</f>
        <v/>
      </c>
      <c r="AC508">
        <f>HYPERLINK("https://klasma.github.io/Logging_1290/tillsyn/A 17023-2025 tillsynsbegäran.docx", "A 17023-2025")</f>
        <v/>
      </c>
      <c r="AD508">
        <f>HYPERLINK("https://klasma.github.io/Logging_1290/tillsynsmail/A 17023-2025 tillsynsbegäran mail.docx", "A 17023-2025")</f>
        <v/>
      </c>
    </row>
    <row r="509" ht="15" customHeight="1">
      <c r="A509" t="inlineStr">
        <is>
          <t>A 42610-2025</t>
        </is>
      </c>
      <c r="B509" t="inlineStr">
        <is>
          <t>avverkningsanmälan</t>
        </is>
      </c>
      <c r="C509" t="inlineStr">
        <is>
          <t>Föryngringsavverkning</t>
        </is>
      </c>
      <c r="D509" s="1" t="n">
        <v>45905</v>
      </c>
      <c r="E509" s="1" t="n">
        <v>46312</v>
      </c>
      <c r="F509" t="inlineStr">
        <is>
          <t>SKÅNE LÄN</t>
        </is>
      </c>
      <c r="G509" t="inlineStr">
        <is>
          <t>OSBY</t>
        </is>
      </c>
      <c r="H509" t="inlineStr">
        <is>
          <t>Kyrkan</t>
        </is>
      </c>
      <c r="I509" t="n">
        <v>2.4</v>
      </c>
      <c r="J509" t="n">
        <v>0</v>
      </c>
      <c r="K509" t="n">
        <v>1</v>
      </c>
      <c r="L509" t="n">
        <v>0</v>
      </c>
      <c r="M509" t="n">
        <v>0</v>
      </c>
      <c r="N509" t="n">
        <v>0</v>
      </c>
      <c r="O509" t="n">
        <v>0</v>
      </c>
      <c r="P509" t="n">
        <v>0</v>
      </c>
      <c r="Q509" t="n">
        <v>0</v>
      </c>
      <c r="R509" t="n">
        <v>0</v>
      </c>
      <c r="S509" t="n">
        <v>1</v>
      </c>
      <c r="T509" t="n">
        <v>1</v>
      </c>
      <c r="U509" t="n">
        <v>1</v>
      </c>
      <c r="V509" s="2" t="inlineStr">
        <is>
          <t>Havstulpanlav</t>
        </is>
      </c>
      <c r="W509">
        <f>HYPERLINK("https://klasma.github.io/Logging_1273/artfynd/A 42610-2025 artfynd.xlsx", "A 42610-2025")</f>
        <v/>
      </c>
      <c r="X509">
        <f>HYPERLINK("https://klasma.github.io/Logging_1273/kartor/A 42610-2025 karta.png", "A 42610-2025")</f>
        <v/>
      </c>
      <c r="Y509">
        <f>HYPERLINK("https://klasma.github.io/Logging_1273/kartor_geotiff/A 42610-2025 georefererad karta.tif", "A 42610-2025")</f>
        <v/>
      </c>
      <c r="AA509">
        <f>HYPERLINK("https://klasma.github.io/Logging_1273/klagomål/A 42610-2025 FSC-klagomål.docx", "A 42610-2025")</f>
        <v/>
      </c>
      <c r="AB509">
        <f>HYPERLINK("https://klasma.github.io/Logging_1273/klagomålsmail/A 42610-2025 FSC-klagomål mail.docx", "A 42610-2025")</f>
        <v/>
      </c>
      <c r="AC509">
        <f>HYPERLINK("https://klasma.github.io/Logging_1273/tillsyn/A 42610-2025 tillsynsbegäran.docx", "A 42610-2025")</f>
        <v/>
      </c>
      <c r="AD509">
        <f>HYPERLINK("https://klasma.github.io/Logging_1273/tillsynsmail/A 42610-2025 tillsynsbegäran mail.docx", "A 42610-2025")</f>
        <v/>
      </c>
    </row>
    <row r="510" ht="15" customHeight="1">
      <c r="A510" t="inlineStr">
        <is>
          <t>A 43095-2025</t>
        </is>
      </c>
      <c r="B510" t="inlineStr">
        <is>
          <t>avverkningsanmälan</t>
        </is>
      </c>
      <c r="C510" t="inlineStr">
        <is>
          <t>Föryngringsavverkning</t>
        </is>
      </c>
      <c r="D510" s="1" t="n">
        <v>45909</v>
      </c>
      <c r="E510" s="1" t="n">
        <v>46312</v>
      </c>
      <c r="F510" t="inlineStr">
        <is>
          <t>SKÅNE LÄN</t>
        </is>
      </c>
      <c r="G510" t="inlineStr">
        <is>
          <t>OSBY</t>
        </is>
      </c>
      <c r="I510" t="n">
        <v>0.3</v>
      </c>
      <c r="J510" t="n">
        <v>0</v>
      </c>
      <c r="K510" t="n">
        <v>1</v>
      </c>
      <c r="L510" t="n">
        <v>0</v>
      </c>
      <c r="M510" t="n">
        <v>0</v>
      </c>
      <c r="N510" t="n">
        <v>0</v>
      </c>
      <c r="O510" t="n">
        <v>0</v>
      </c>
      <c r="P510" t="n">
        <v>0</v>
      </c>
      <c r="Q510" t="n">
        <v>0</v>
      </c>
      <c r="R510" t="n">
        <v>0</v>
      </c>
      <c r="S510" t="n">
        <v>1</v>
      </c>
      <c r="T510" t="n">
        <v>1</v>
      </c>
      <c r="U510" t="n">
        <v>0</v>
      </c>
      <c r="V510" s="2" t="inlineStr">
        <is>
          <t>Tibast</t>
        </is>
      </c>
      <c r="W510">
        <f>HYPERLINK("https://klasma.github.io/Logging_1273/artfynd/A 43095-2025 artfynd.xlsx", "A 43095-2025")</f>
        <v/>
      </c>
      <c r="X510">
        <f>HYPERLINK("https://klasma.github.io/Logging_1273/kartor/A 43095-2025 karta.png", "A 43095-2025")</f>
        <v/>
      </c>
      <c r="Y510">
        <f>HYPERLINK("https://klasma.github.io/Logging_1273/kartor_geotiff/A 43095-2025 georefererad karta.tif", "A 43095-2025")</f>
        <v/>
      </c>
      <c r="AA510">
        <f>HYPERLINK("https://klasma.github.io/Logging_1273/klagomål/A 43095-2025 FSC-klagomål.docx", "A 43095-2025")</f>
        <v/>
      </c>
      <c r="AB510">
        <f>HYPERLINK("https://klasma.github.io/Logging_1273/klagomålsmail/A 43095-2025 FSC-klagomål mail.docx", "A 43095-2025")</f>
        <v/>
      </c>
      <c r="AC510">
        <f>HYPERLINK("https://klasma.github.io/Logging_1273/tillsyn/A 43095-2025 tillsynsbegäran.docx", "A 43095-2025")</f>
        <v/>
      </c>
      <c r="AD510">
        <f>HYPERLINK("https://klasma.github.io/Logging_1273/tillsynsmail/A 43095-2025 tillsynsbegäran mail.docx", "A 43095-2025")</f>
        <v/>
      </c>
    </row>
    <row r="511" ht="15" customHeight="1">
      <c r="A511" t="inlineStr">
        <is>
          <t>A 44582-2022</t>
        </is>
      </c>
      <c r="B511" t="inlineStr">
        <is>
          <t>avverkningsanmälan</t>
        </is>
      </c>
      <c r="C511" t="inlineStr">
        <is>
          <t>Föryngringsavverkning</t>
        </is>
      </c>
      <c r="D511" s="1" t="n">
        <v>44840</v>
      </c>
      <c r="E511" s="1" t="n">
        <v>46312</v>
      </c>
      <c r="F511" t="inlineStr">
        <is>
          <t>SKÅNE LÄN</t>
        </is>
      </c>
      <c r="G511" t="inlineStr">
        <is>
          <t>KRISTIANSTAD</t>
        </is>
      </c>
      <c r="I511" t="n">
        <v>1.5</v>
      </c>
      <c r="J511" t="n">
        <v>0</v>
      </c>
      <c r="K511" t="n">
        <v>0</v>
      </c>
      <c r="L511" t="n">
        <v>1</v>
      </c>
      <c r="M511" t="n">
        <v>0</v>
      </c>
      <c r="N511" t="n">
        <v>0</v>
      </c>
      <c r="O511" t="n">
        <v>0</v>
      </c>
      <c r="P511" t="n">
        <v>0</v>
      </c>
      <c r="Q511" t="n">
        <v>1</v>
      </c>
      <c r="R511" t="n">
        <v>0</v>
      </c>
      <c r="S511" t="n">
        <v>1</v>
      </c>
      <c r="T511" t="n">
        <v>1</v>
      </c>
      <c r="U511" t="n">
        <v>1</v>
      </c>
      <c r="V511" s="2" t="inlineStr">
        <is>
          <t>Orangepudrad klotterlav</t>
        </is>
      </c>
      <c r="W511">
        <f>HYPERLINK("https://klasma.github.io/Logging_1290/artfynd/A 44582-2022 artfynd.xlsx", "A 44582-2022")</f>
        <v/>
      </c>
      <c r="X511">
        <f>HYPERLINK("https://klasma.github.io/Logging_1290/kartor/A 44582-2022 karta.png", "A 44582-2022")</f>
        <v/>
      </c>
      <c r="Y511">
        <f>HYPERLINK("https://klasma.github.io/Logging_1290/kartor_geotiff/A 44582-2022 georefererad karta.tif", "A 44582-2022")</f>
        <v/>
      </c>
      <c r="AA511">
        <f>HYPERLINK("https://klasma.github.io/Logging_1290/klagomål/A 44582-2022 FSC-klagomål.docx", "A 44582-2022")</f>
        <v/>
      </c>
      <c r="AB511">
        <f>HYPERLINK("https://klasma.github.io/Logging_1290/klagomålsmail/A 44582-2022 FSC-klagomål mail.docx", "A 44582-2022")</f>
        <v/>
      </c>
      <c r="AC511">
        <f>HYPERLINK("https://klasma.github.io/Logging_1290/tillsyn/A 44582-2022 tillsynsbegäran.docx", "A 44582-2022")</f>
        <v/>
      </c>
      <c r="AD511">
        <f>HYPERLINK("https://klasma.github.io/Logging_1290/tillsynsmail/A 44582-2022 tillsynsbegäran mail.docx", "A 44582-2022")</f>
        <v/>
      </c>
    </row>
    <row r="512" ht="15" customHeight="1">
      <c r="A512" t="inlineStr">
        <is>
          <t>A 45802-2022</t>
        </is>
      </c>
      <c r="B512" t="inlineStr">
        <is>
          <t>avverkningsanmälan</t>
        </is>
      </c>
      <c r="C512" t="inlineStr">
        <is>
          <t>Föryngringsavverkning</t>
        </is>
      </c>
      <c r="D512" s="1" t="n">
        <v>44844</v>
      </c>
      <c r="E512" s="1" t="n">
        <v>46312</v>
      </c>
      <c r="F512" t="inlineStr">
        <is>
          <t>SKÅNE LÄN</t>
        </is>
      </c>
      <c r="G512" t="inlineStr">
        <is>
          <t>SIMRISHAMN</t>
        </is>
      </c>
      <c r="I512" t="n">
        <v>1.2</v>
      </c>
      <c r="J512" t="n">
        <v>0</v>
      </c>
      <c r="K512" t="n">
        <v>0</v>
      </c>
      <c r="L512" t="n">
        <v>0</v>
      </c>
      <c r="M512" t="n">
        <v>1</v>
      </c>
      <c r="N512" t="n">
        <v>0</v>
      </c>
      <c r="O512" t="n">
        <v>0</v>
      </c>
      <c r="P512" t="n">
        <v>0</v>
      </c>
      <c r="Q512" t="n">
        <v>1</v>
      </c>
      <c r="R512" t="n">
        <v>1</v>
      </c>
      <c r="S512" t="n">
        <v>1</v>
      </c>
      <c r="T512" t="n">
        <v>1</v>
      </c>
      <c r="U512" t="n">
        <v>0</v>
      </c>
      <c r="V512" s="2" t="inlineStr">
        <is>
          <t>Hartsticka</t>
        </is>
      </c>
      <c r="W512">
        <f>HYPERLINK("https://klasma.github.io/Logging_1291/artfynd/A 45802-2022 artfynd.xlsx", "A 45802-2022")</f>
        <v/>
      </c>
      <c r="X512">
        <f>HYPERLINK("https://klasma.github.io/Logging_1291/kartor/A 45802-2022 karta.png", "A 45802-2022")</f>
        <v/>
      </c>
      <c r="Y512">
        <f>HYPERLINK("https://klasma.github.io/Logging_1291/kartor_geotiff/A 45802-2022 georefererad karta.tif", "A 45802-2022")</f>
        <v/>
      </c>
      <c r="AA512">
        <f>HYPERLINK("https://klasma.github.io/Logging_1291/klagomål/A 45802-2022 FSC-klagomål.docx", "A 45802-2022")</f>
        <v/>
      </c>
      <c r="AB512">
        <f>HYPERLINK("https://klasma.github.io/Logging_1291/klagomålsmail/A 45802-2022 FSC-klagomål mail.docx", "A 45802-2022")</f>
        <v/>
      </c>
      <c r="AC512">
        <f>HYPERLINK("https://klasma.github.io/Logging_1291/tillsyn/A 45802-2022 tillsynsbegäran.docx", "A 45802-2022")</f>
        <v/>
      </c>
      <c r="AD512">
        <f>HYPERLINK("https://klasma.github.io/Logging_1291/tillsynsmail/A 45802-2022 tillsynsbegäran mail.docx", "A 45802-2022")</f>
        <v/>
      </c>
    </row>
    <row r="513" ht="15" customHeight="1">
      <c r="A513" t="inlineStr">
        <is>
          <t>A 3924-2024</t>
        </is>
      </c>
      <c r="B513" t="inlineStr">
        <is>
          <t>avverkningsanmälan</t>
        </is>
      </c>
      <c r="C513" t="inlineStr">
        <is>
          <t>Föryngringsavverkning</t>
        </is>
      </c>
      <c r="D513" s="1" t="n">
        <v>45322</v>
      </c>
      <c r="E513" s="1" t="n">
        <v>46312</v>
      </c>
      <c r="F513" t="inlineStr">
        <is>
          <t>SKÅNE LÄN</t>
        </is>
      </c>
      <c r="G513" t="inlineStr">
        <is>
          <t>HÖÖR</t>
        </is>
      </c>
      <c r="I513" t="n">
        <v>1.2</v>
      </c>
      <c r="J513" t="n">
        <v>0</v>
      </c>
      <c r="K513" t="n">
        <v>0</v>
      </c>
      <c r="L513" t="n">
        <v>0</v>
      </c>
      <c r="M513" t="n">
        <v>0</v>
      </c>
      <c r="N513" t="n">
        <v>1</v>
      </c>
      <c r="O513" t="n">
        <v>0</v>
      </c>
      <c r="P513" t="n">
        <v>0</v>
      </c>
      <c r="Q513" t="n">
        <v>1</v>
      </c>
      <c r="R513" t="n">
        <v>1</v>
      </c>
      <c r="S513" t="n">
        <v>1</v>
      </c>
      <c r="T513" t="n">
        <v>1</v>
      </c>
      <c r="U513" t="n">
        <v>1</v>
      </c>
      <c r="V513" s="2" t="inlineStr">
        <is>
          <t>Vitnoppa</t>
        </is>
      </c>
      <c r="W513">
        <f>HYPERLINK("https://klasma.github.io/Logging_1267/artfynd/A 3924-2024 artfynd.xlsx", "A 3924-2024")</f>
        <v/>
      </c>
      <c r="X513">
        <f>HYPERLINK("https://klasma.github.io/Logging_1267/kartor/A 3924-2024 karta.png", "A 3924-2024")</f>
        <v/>
      </c>
      <c r="Y513">
        <f>HYPERLINK("https://klasma.github.io/Logging_1267/kartor_geotiff/A 3924-2024 georefererad karta.tif", "A 3924-2024")</f>
        <v/>
      </c>
      <c r="AA513">
        <f>HYPERLINK("https://klasma.github.io/Logging_1267/klagomål/A 3924-2024 FSC-klagomål.docx", "A 3924-2024")</f>
        <v/>
      </c>
      <c r="AB513">
        <f>HYPERLINK("https://klasma.github.io/Logging_1267/klagomålsmail/A 3924-2024 FSC-klagomål mail.docx", "A 3924-2024")</f>
        <v/>
      </c>
      <c r="AC513">
        <f>HYPERLINK("https://klasma.github.io/Logging_1267/tillsyn/A 3924-2024 tillsynsbegäran.docx", "A 3924-2024")</f>
        <v/>
      </c>
      <c r="AD513">
        <f>HYPERLINK("https://klasma.github.io/Logging_1267/tillsynsmail/A 3924-2024 tillsynsbegäran mail.docx", "A 3924-2024")</f>
        <v/>
      </c>
    </row>
    <row r="514" ht="15" customHeight="1">
      <c r="A514" t="inlineStr">
        <is>
          <t>A 52014-2024</t>
        </is>
      </c>
      <c r="B514" t="inlineStr">
        <is>
          <t>avverkningsanmälan</t>
        </is>
      </c>
      <c r="C514" t="inlineStr">
        <is>
          <t>Föryngringsavverkning</t>
        </is>
      </c>
      <c r="D514" s="1" t="n">
        <v>45607</v>
      </c>
      <c r="E514" s="1" t="n">
        <v>46312</v>
      </c>
      <c r="F514" t="inlineStr">
        <is>
          <t>SKÅNE LÄN</t>
        </is>
      </c>
      <c r="G514" t="inlineStr">
        <is>
          <t>KRISTIANSTAD</t>
        </is>
      </c>
      <c r="H514" t="inlineStr">
        <is>
          <t>Övriga Aktiebolag</t>
        </is>
      </c>
      <c r="I514" t="n">
        <v>2.3</v>
      </c>
      <c r="J514" t="n">
        <v>0</v>
      </c>
      <c r="K514" t="n">
        <v>0</v>
      </c>
      <c r="L514" t="n">
        <v>1</v>
      </c>
      <c r="M514" t="n">
        <v>0</v>
      </c>
      <c r="N514" t="n">
        <v>0</v>
      </c>
      <c r="O514" t="n">
        <v>0</v>
      </c>
      <c r="P514" t="n">
        <v>0</v>
      </c>
      <c r="Q514" t="n">
        <v>1</v>
      </c>
      <c r="R514" t="n">
        <v>0</v>
      </c>
      <c r="S514" t="n">
        <v>1</v>
      </c>
      <c r="T514" t="n">
        <v>1</v>
      </c>
      <c r="U514" t="n">
        <v>1</v>
      </c>
      <c r="V514" s="2" t="inlineStr">
        <is>
          <t>Luddfingerört</t>
        </is>
      </c>
      <c r="W514">
        <f>HYPERLINK("https://klasma.github.io/Logging_1290/artfynd/A 52014-2024 artfynd.xlsx", "A 52014-2024")</f>
        <v/>
      </c>
      <c r="X514">
        <f>HYPERLINK("https://klasma.github.io/Logging_1290/kartor/A 52014-2024 karta.png", "A 52014-2024")</f>
        <v/>
      </c>
      <c r="Y514">
        <f>HYPERLINK("https://klasma.github.io/Logging_1290/kartor_geotiff/A 52014-2024 georefererad karta.tif", "A 52014-2024")</f>
        <v/>
      </c>
      <c r="AA514">
        <f>HYPERLINK("https://klasma.github.io/Logging_1290/klagomål/A 52014-2024 FSC-klagomål.docx", "A 52014-2024")</f>
        <v/>
      </c>
      <c r="AB514">
        <f>HYPERLINK("https://klasma.github.io/Logging_1290/klagomålsmail/A 52014-2024 FSC-klagomål mail.docx", "A 52014-2024")</f>
        <v/>
      </c>
      <c r="AC514">
        <f>HYPERLINK("https://klasma.github.io/Logging_1290/tillsyn/A 52014-2024 tillsynsbegäran.docx", "A 52014-2024")</f>
        <v/>
      </c>
      <c r="AD514">
        <f>HYPERLINK("https://klasma.github.io/Logging_1290/tillsynsmail/A 52014-2024 tillsynsbegäran mail.docx", "A 52014-2024")</f>
        <v/>
      </c>
    </row>
    <row r="515" ht="15" customHeight="1">
      <c r="A515" t="inlineStr">
        <is>
          <t>A 46477-2025</t>
        </is>
      </c>
      <c r="B515" t="inlineStr">
        <is>
          <t>avverkningsanmälan</t>
        </is>
      </c>
      <c r="C515" t="inlineStr">
        <is>
          <t>Föryngringsavverkning</t>
        </is>
      </c>
      <c r="D515" s="1" t="n">
        <v>45925</v>
      </c>
      <c r="E515" s="1" t="n">
        <v>46312</v>
      </c>
      <c r="F515" t="inlineStr">
        <is>
          <t>SKÅNE LÄN</t>
        </is>
      </c>
      <c r="G515" t="inlineStr">
        <is>
          <t>OSBY</t>
        </is>
      </c>
      <c r="I515" t="n">
        <v>0.7</v>
      </c>
      <c r="J515" t="n">
        <v>1</v>
      </c>
      <c r="K515" t="n">
        <v>0</v>
      </c>
      <c r="L515" t="n">
        <v>0</v>
      </c>
      <c r="M515" t="n">
        <v>0</v>
      </c>
      <c r="N515" t="n">
        <v>0</v>
      </c>
      <c r="O515" t="n">
        <v>0</v>
      </c>
      <c r="P515" t="n">
        <v>0</v>
      </c>
      <c r="Q515" t="n">
        <v>0</v>
      </c>
      <c r="R515" t="n">
        <v>0</v>
      </c>
      <c r="S515" t="n">
        <v>1</v>
      </c>
      <c r="T515" t="n">
        <v>1</v>
      </c>
      <c r="U515" t="n">
        <v>0</v>
      </c>
      <c r="V515" s="2" t="inlineStr">
        <is>
          <t>Kopparödla</t>
        </is>
      </c>
      <c r="W515">
        <f>HYPERLINK("https://klasma.github.io/Logging_1273/artfynd/A 46477-2025 artfynd.xlsx", "A 46477-2025")</f>
        <v/>
      </c>
      <c r="X515">
        <f>HYPERLINK("https://klasma.github.io/Logging_1273/kartor/A 46477-2025 karta.png", "A 46477-2025")</f>
        <v/>
      </c>
      <c r="Y515">
        <f>HYPERLINK("https://klasma.github.io/Logging_1273/kartor_geotiff/A 46477-2025 georefererad karta.tif", "A 46477-2025")</f>
        <v/>
      </c>
      <c r="AA515">
        <f>HYPERLINK("https://klasma.github.io/Logging_1273/klagomål/A 46477-2025 FSC-klagomål.docx", "A 46477-2025")</f>
        <v/>
      </c>
      <c r="AB515">
        <f>HYPERLINK("https://klasma.github.io/Logging_1273/klagomålsmail/A 46477-2025 FSC-klagomål mail.docx", "A 46477-2025")</f>
        <v/>
      </c>
      <c r="AC515">
        <f>HYPERLINK("https://klasma.github.io/Logging_1273/tillsyn/A 46477-2025 tillsynsbegäran.docx", "A 46477-2025")</f>
        <v/>
      </c>
      <c r="AD515">
        <f>HYPERLINK("https://klasma.github.io/Logging_1273/tillsynsmail/A 46477-2025 tillsynsbegäran mail.docx", "A 46477-2025")</f>
        <v/>
      </c>
    </row>
    <row r="516" ht="15" customHeight="1">
      <c r="A516" t="inlineStr">
        <is>
          <t>A 46931-2025</t>
        </is>
      </c>
      <c r="B516" t="inlineStr">
        <is>
          <t>avverkningsanmälan</t>
        </is>
      </c>
      <c r="C516" t="inlineStr">
        <is>
          <t>Föryngringsavverkning</t>
        </is>
      </c>
      <c r="D516" s="1" t="n">
        <v>45929</v>
      </c>
      <c r="E516" s="1" t="n">
        <v>46312</v>
      </c>
      <c r="F516" t="inlineStr">
        <is>
          <t>SKÅNE LÄN</t>
        </is>
      </c>
      <c r="G516" t="inlineStr">
        <is>
          <t>KRISTIANSTAD</t>
        </is>
      </c>
      <c r="I516" t="n">
        <v>2.2</v>
      </c>
      <c r="J516" t="n">
        <v>0</v>
      </c>
      <c r="K516" t="n">
        <v>1</v>
      </c>
      <c r="L516" t="n">
        <v>0</v>
      </c>
      <c r="M516" t="n">
        <v>0</v>
      </c>
      <c r="N516" t="n">
        <v>0</v>
      </c>
      <c r="O516" t="n">
        <v>0</v>
      </c>
      <c r="P516" t="n">
        <v>0</v>
      </c>
      <c r="Q516" t="n">
        <v>0</v>
      </c>
      <c r="R516" t="n">
        <v>0</v>
      </c>
      <c r="S516" t="n">
        <v>1</v>
      </c>
      <c r="T516" t="n">
        <v>1</v>
      </c>
      <c r="U516" t="n">
        <v>0</v>
      </c>
      <c r="V516" s="2" t="inlineStr">
        <is>
          <t>Blåmossa</t>
        </is>
      </c>
      <c r="W516">
        <f>HYPERLINK("https://klasma.github.io/Logging_1290/artfynd/A 46931-2025 artfynd.xlsx", "A 46931-2025")</f>
        <v/>
      </c>
      <c r="X516">
        <f>HYPERLINK("https://klasma.github.io/Logging_1290/kartor/A 46931-2025 karta.png", "A 46931-2025")</f>
        <v/>
      </c>
      <c r="Y516">
        <f>HYPERLINK("https://klasma.github.io/Logging_1290/kartor_geotiff/A 46931-2025 georefererad karta.tif", "A 46931-2025")</f>
        <v/>
      </c>
      <c r="AA516">
        <f>HYPERLINK("https://klasma.github.io/Logging_1290/klagomål/A 46931-2025 FSC-klagomål.docx", "A 46931-2025")</f>
        <v/>
      </c>
      <c r="AB516">
        <f>HYPERLINK("https://klasma.github.io/Logging_1290/klagomålsmail/A 46931-2025 FSC-klagomål mail.docx", "A 46931-2025")</f>
        <v/>
      </c>
      <c r="AC516">
        <f>HYPERLINK("https://klasma.github.io/Logging_1290/tillsyn/A 46931-2025 tillsynsbegäran.docx", "A 46931-2025")</f>
        <v/>
      </c>
      <c r="AD516">
        <f>HYPERLINK("https://klasma.github.io/Logging_1290/tillsynsmail/A 46931-2025 tillsynsbegäran mail.docx", "A 46931-2025")</f>
        <v/>
      </c>
    </row>
    <row r="517" ht="15" customHeight="1">
      <c r="A517" t="inlineStr">
        <is>
          <t>A 50699-2025</t>
        </is>
      </c>
      <c r="B517" t="inlineStr">
        <is>
          <t>avverkningsanmälan</t>
        </is>
      </c>
      <c r="C517" t="inlineStr">
        <is>
          <t>Föryngringsavverkning</t>
        </is>
      </c>
      <c r="D517" s="1" t="n">
        <v>45945</v>
      </c>
      <c r="E517" s="1" t="n">
        <v>46312</v>
      </c>
      <c r="F517" t="inlineStr">
        <is>
          <t>SKÅNE LÄN</t>
        </is>
      </c>
      <c r="G517" t="inlineStr">
        <is>
          <t>KRISTIANSTAD</t>
        </is>
      </c>
      <c r="I517" t="n">
        <v>1</v>
      </c>
      <c r="J517" t="n">
        <v>0</v>
      </c>
      <c r="K517" t="n">
        <v>1</v>
      </c>
      <c r="L517" t="n">
        <v>0</v>
      </c>
      <c r="M517" t="n">
        <v>0</v>
      </c>
      <c r="N517" t="n">
        <v>0</v>
      </c>
      <c r="O517" t="n">
        <v>0</v>
      </c>
      <c r="P517" t="n">
        <v>0</v>
      </c>
      <c r="Q517" t="n">
        <v>0</v>
      </c>
      <c r="R517" t="n">
        <v>0</v>
      </c>
      <c r="S517" t="n">
        <v>1</v>
      </c>
      <c r="T517" t="n">
        <v>2</v>
      </c>
      <c r="U517" t="n">
        <v>2</v>
      </c>
      <c r="V517" s="2" t="inlineStr">
        <is>
          <t>Guldlockmossa</t>
        </is>
      </c>
      <c r="W517">
        <f>HYPERLINK("https://klasma.github.io/Logging_1290/artfynd/A 50699-2025 artfynd.xlsx", "A 50699-2025")</f>
        <v/>
      </c>
      <c r="X517">
        <f>HYPERLINK("https://klasma.github.io/Logging_1290/kartor/A 50699-2025 karta.png", "A 50699-2025")</f>
        <v/>
      </c>
      <c r="Y517">
        <f>HYPERLINK("https://klasma.github.io/Logging_1290/kartor_geotiff/A 50699-2025 georefererad karta.tif", "A 50699-2025")</f>
        <v/>
      </c>
      <c r="AA517">
        <f>HYPERLINK("https://klasma.github.io/Logging_1290/klagomål/A 50699-2025 FSC-klagomål.docx", "A 50699-2025")</f>
        <v/>
      </c>
      <c r="AB517">
        <f>HYPERLINK("https://klasma.github.io/Logging_1290/klagomålsmail/A 50699-2025 FSC-klagomål mail.docx", "A 50699-2025")</f>
        <v/>
      </c>
      <c r="AC517">
        <f>HYPERLINK("https://klasma.github.io/Logging_1290/tillsyn/A 50699-2025 tillsynsbegäran.docx", "A 50699-2025")</f>
        <v/>
      </c>
      <c r="AD517">
        <f>HYPERLINK("https://klasma.github.io/Logging_1290/tillsynsmail/A 50699-2025 tillsynsbegäran mail.docx", "A 50699-2025")</f>
        <v/>
      </c>
    </row>
    <row r="518" ht="15" customHeight="1">
      <c r="A518" t="inlineStr">
        <is>
          <t>A 25129-2024</t>
        </is>
      </c>
      <c r="B518" t="inlineStr">
        <is>
          <t>avverkningsanmälan</t>
        </is>
      </c>
      <c r="C518" t="inlineStr">
        <is>
          <t>Föryngringsavverkning</t>
        </is>
      </c>
      <c r="D518" s="1" t="n">
        <v>45462</v>
      </c>
      <c r="E518" s="1" t="n">
        <v>46312</v>
      </c>
      <c r="F518" t="inlineStr">
        <is>
          <t>SKÅNE LÄN</t>
        </is>
      </c>
      <c r="G518" t="inlineStr">
        <is>
          <t>ÄNGELHOLM</t>
        </is>
      </c>
      <c r="I518" t="n">
        <v>4.6</v>
      </c>
      <c r="J518" t="n">
        <v>0</v>
      </c>
      <c r="K518" t="n">
        <v>0</v>
      </c>
      <c r="L518" t="n">
        <v>1</v>
      </c>
      <c r="M518" t="n">
        <v>0</v>
      </c>
      <c r="N518" t="n">
        <v>0</v>
      </c>
      <c r="O518" t="n">
        <v>0</v>
      </c>
      <c r="P518" t="n">
        <v>0</v>
      </c>
      <c r="Q518" t="n">
        <v>1</v>
      </c>
      <c r="R518" t="n">
        <v>0</v>
      </c>
      <c r="S518" t="n">
        <v>1</v>
      </c>
      <c r="T518" t="n">
        <v>1</v>
      </c>
      <c r="U518" t="n">
        <v>0</v>
      </c>
      <c r="V518" s="2" t="inlineStr">
        <is>
          <t>Gullpudra</t>
        </is>
      </c>
      <c r="W518">
        <f>HYPERLINK("https://klasma.github.io/Logging_1292/artfynd/A 25129-2024 artfynd.xlsx", "A 25129-2024")</f>
        <v/>
      </c>
      <c r="X518">
        <f>HYPERLINK("https://klasma.github.io/Logging_1292/kartor/A 25129-2024 karta.png", "A 25129-2024")</f>
        <v/>
      </c>
      <c r="Y518">
        <f>HYPERLINK("https://klasma.github.io/Logging_1292/kartor_geotiff/A 25129-2024 georefererad karta.tif", "A 25129-2024")</f>
        <v/>
      </c>
      <c r="AA518">
        <f>HYPERLINK("https://klasma.github.io/Logging_1292/klagomål/A 25129-2024 FSC-klagomål.docx", "A 25129-2024")</f>
        <v/>
      </c>
      <c r="AB518">
        <f>HYPERLINK("https://klasma.github.io/Logging_1292/klagomålsmail/A 25129-2024 FSC-klagomål mail.docx", "A 25129-2024")</f>
        <v/>
      </c>
      <c r="AC518">
        <f>HYPERLINK("https://klasma.github.io/Logging_1292/tillsyn/A 25129-2024 tillsynsbegäran.docx", "A 25129-2024")</f>
        <v/>
      </c>
      <c r="AD518">
        <f>HYPERLINK("https://klasma.github.io/Logging_1292/tillsynsmail/A 25129-2024 tillsynsbegäran mail.docx", "A 25129-2024")</f>
        <v/>
      </c>
    </row>
    <row r="519" ht="15" customHeight="1">
      <c r="A519" t="inlineStr">
        <is>
          <t>A 47317-2025</t>
        </is>
      </c>
      <c r="B519" t="inlineStr">
        <is>
          <t>avverkningsanmälan</t>
        </is>
      </c>
      <c r="C519" t="inlineStr">
        <is>
          <t>Föryngringsavverkning</t>
        </is>
      </c>
      <c r="D519" s="1" t="n">
        <v>45930</v>
      </c>
      <c r="E519" s="1" t="n">
        <v>46312</v>
      </c>
      <c r="F519" t="inlineStr">
        <is>
          <t>SKÅNE LÄN</t>
        </is>
      </c>
      <c r="G519" t="inlineStr">
        <is>
          <t>KRISTIANSTAD</t>
        </is>
      </c>
      <c r="I519" t="n">
        <v>10</v>
      </c>
      <c r="J519" t="n">
        <v>0</v>
      </c>
      <c r="K519" t="n">
        <v>0</v>
      </c>
      <c r="L519" t="n">
        <v>0</v>
      </c>
      <c r="M519" t="n">
        <v>1</v>
      </c>
      <c r="N519" t="n">
        <v>0</v>
      </c>
      <c r="O519" t="n">
        <v>0</v>
      </c>
      <c r="P519" t="n">
        <v>0</v>
      </c>
      <c r="Q519" t="n">
        <v>1</v>
      </c>
      <c r="R519" t="n">
        <v>1</v>
      </c>
      <c r="S519" t="n">
        <v>1</v>
      </c>
      <c r="T519" t="n">
        <v>1</v>
      </c>
      <c r="U519" t="n">
        <v>0</v>
      </c>
      <c r="V519" s="2" t="inlineStr">
        <is>
          <t>Lungrot</t>
        </is>
      </c>
      <c r="W519">
        <f>HYPERLINK("https://klasma.github.io/Logging_1290/artfynd/A 47317-2025 artfynd.xlsx", "A 47317-2025")</f>
        <v/>
      </c>
      <c r="X519">
        <f>HYPERLINK("https://klasma.github.io/Logging_1290/kartor/A 47317-2025 karta.png", "A 47317-2025")</f>
        <v/>
      </c>
      <c r="Y519">
        <f>HYPERLINK("https://klasma.github.io/Logging_1290/kartor_geotiff/A 47317-2025 georefererad karta.tif", "A 47317-2025")</f>
        <v/>
      </c>
      <c r="AA519">
        <f>HYPERLINK("https://klasma.github.io/Logging_1290/klagomål/A 47317-2025 FSC-klagomål.docx", "A 47317-2025")</f>
        <v/>
      </c>
      <c r="AB519">
        <f>HYPERLINK("https://klasma.github.io/Logging_1290/klagomålsmail/A 47317-2025 FSC-klagomål mail.docx", "A 47317-2025")</f>
        <v/>
      </c>
      <c r="AC519">
        <f>HYPERLINK("https://klasma.github.io/Logging_1290/tillsyn/A 47317-2025 tillsynsbegäran.docx", "A 47317-2025")</f>
        <v/>
      </c>
      <c r="AD519">
        <f>HYPERLINK("https://klasma.github.io/Logging_1290/tillsynsmail/A 47317-2025 tillsynsbegäran mail.docx", "A 47317-2025")</f>
        <v/>
      </c>
    </row>
    <row r="520" ht="15" customHeight="1">
      <c r="A520" t="inlineStr">
        <is>
          <t>A 21835-2026</t>
        </is>
      </c>
      <c r="B520" t="inlineStr">
        <is>
          <t>avverkningsanmälan</t>
        </is>
      </c>
      <c r="C520" t="inlineStr">
        <is>
          <t>Föryngringsavverkning</t>
        </is>
      </c>
      <c r="D520" s="1" t="n">
        <v>46150</v>
      </c>
      <c r="E520" s="1" t="n">
        <v>46312</v>
      </c>
      <c r="F520" t="inlineStr">
        <is>
          <t>SKÅNE LÄN</t>
        </is>
      </c>
      <c r="G520" t="inlineStr">
        <is>
          <t>KRISTIANSTAD</t>
        </is>
      </c>
      <c r="I520" t="n">
        <v>7</v>
      </c>
      <c r="J520" t="n">
        <v>0</v>
      </c>
      <c r="K520" t="n">
        <v>1</v>
      </c>
      <c r="L520" t="n">
        <v>0</v>
      </c>
      <c r="M520" t="n">
        <v>0</v>
      </c>
      <c r="N520" t="n">
        <v>0</v>
      </c>
      <c r="O520" t="n">
        <v>0</v>
      </c>
      <c r="P520" t="n">
        <v>0</v>
      </c>
      <c r="Q520" t="n">
        <v>0</v>
      </c>
      <c r="R520" t="n">
        <v>0</v>
      </c>
      <c r="S520" t="n">
        <v>1</v>
      </c>
      <c r="T520" t="n">
        <v>1</v>
      </c>
      <c r="U520" t="n">
        <v>0</v>
      </c>
      <c r="V520" s="2" t="inlineStr">
        <is>
          <t>Skogsbräsma</t>
        </is>
      </c>
      <c r="W520">
        <f>HYPERLINK("https://klasma.github.io/Logging_1290/artfynd/A 21835-2026 artfynd.xlsx", "A 21835-2026")</f>
        <v/>
      </c>
      <c r="X520">
        <f>HYPERLINK("https://klasma.github.io/Logging_1290/kartor/A 21835-2026 karta.png", "A 21835-2026")</f>
        <v/>
      </c>
      <c r="Y520">
        <f>HYPERLINK("https://klasma.github.io/Logging_1290/kartor_geotiff/A 21835-2026 georefererad karta.tif", "A 21835-2026")</f>
        <v/>
      </c>
      <c r="AA520">
        <f>HYPERLINK("https://klasma.github.io/Logging_1290/klagomål/A 21835-2026 FSC-klagomål.docx", "A 21835-2026")</f>
        <v/>
      </c>
      <c r="AB520">
        <f>HYPERLINK("https://klasma.github.io/Logging_1290/klagomålsmail/A 21835-2026 FSC-klagomål mail.docx", "A 21835-2026")</f>
        <v/>
      </c>
      <c r="AC520">
        <f>HYPERLINK("https://klasma.github.io/Logging_1290/tillsyn/A 21835-2026 tillsynsbegäran.docx", "A 21835-2026")</f>
        <v/>
      </c>
      <c r="AD520">
        <f>HYPERLINK("https://klasma.github.io/Logging_1290/tillsynsmail/A 21835-2026 tillsynsbegäran mail.docx", "A 21835-2026")</f>
        <v/>
      </c>
    </row>
    <row r="521" ht="15" customHeight="1">
      <c r="A521" t="inlineStr">
        <is>
          <t>A 21788-2026</t>
        </is>
      </c>
      <c r="B521" t="inlineStr">
        <is>
          <t>avverkningsanmälan</t>
        </is>
      </c>
      <c r="C521" t="inlineStr">
        <is>
          <t>Föryngringsavverkning</t>
        </is>
      </c>
      <c r="D521" s="1" t="n">
        <v>46150</v>
      </c>
      <c r="E521" s="1" t="n">
        <v>46312</v>
      </c>
      <c r="F521" t="inlineStr">
        <is>
          <t>SKÅNE LÄN</t>
        </is>
      </c>
      <c r="G521" t="inlineStr">
        <is>
          <t>KLIPPAN</t>
        </is>
      </c>
      <c r="I521" t="n">
        <v>1.3</v>
      </c>
      <c r="J521" t="n">
        <v>0</v>
      </c>
      <c r="K521" t="n">
        <v>0</v>
      </c>
      <c r="L521" t="n">
        <v>0</v>
      </c>
      <c r="M521" t="n">
        <v>0</v>
      </c>
      <c r="N521" t="n">
        <v>0</v>
      </c>
      <c r="O521" t="n">
        <v>0</v>
      </c>
      <c r="P521" t="n">
        <v>0</v>
      </c>
      <c r="Q521" t="n">
        <v>0</v>
      </c>
      <c r="R521" t="n">
        <v>0</v>
      </c>
      <c r="S521" t="n">
        <v>1</v>
      </c>
      <c r="T521" t="n">
        <v>1</v>
      </c>
      <c r="U521" t="n">
        <v>1</v>
      </c>
      <c r="V521" s="2" t="inlineStr">
        <is>
          <t>Bäckbräsma</t>
        </is>
      </c>
      <c r="W521">
        <f>HYPERLINK("https://klasma.github.io/Logging_1276/artfynd/A 21788-2026 artfynd.xlsx", "A 21788-2026")</f>
        <v/>
      </c>
      <c r="X521">
        <f>HYPERLINK("https://klasma.github.io/Logging_1276/kartor/A 21788-2026 karta.png", "A 21788-2026")</f>
        <v/>
      </c>
      <c r="Y521">
        <f>HYPERLINK("https://klasma.github.io/Logging_1276/kartor_geotiff/A 21788-2026 georefererad karta.tif", "A 21788-2026")</f>
        <v/>
      </c>
      <c r="AA521">
        <f>HYPERLINK("https://klasma.github.io/Logging_1276/klagomål/A 21788-2026 FSC-klagomål.docx", "A 21788-2026")</f>
        <v/>
      </c>
      <c r="AB521">
        <f>HYPERLINK("https://klasma.github.io/Logging_1276/klagomålsmail/A 21788-2026 FSC-klagomål mail.docx", "A 21788-2026")</f>
        <v/>
      </c>
      <c r="AC521">
        <f>HYPERLINK("https://klasma.github.io/Logging_1276/tillsyn/A 21788-2026 tillsynsbegäran.docx", "A 21788-2026")</f>
        <v/>
      </c>
      <c r="AD521">
        <f>HYPERLINK("https://klasma.github.io/Logging_1276/tillsynsmail/A 21788-2026 tillsynsbegäran mail.docx", "A 21788-2026")</f>
        <v/>
      </c>
    </row>
    <row r="522" ht="15" customHeight="1">
      <c r="A522" t="inlineStr">
        <is>
          <t>A 16684-2023</t>
        </is>
      </c>
      <c r="B522" t="inlineStr">
        <is>
          <t>avverkningsanmälan</t>
        </is>
      </c>
      <c r="C522" t="inlineStr">
        <is>
          <t>Föryngringsavverkning</t>
        </is>
      </c>
      <c r="D522" s="1" t="n">
        <v>45030</v>
      </c>
      <c r="E522" s="1" t="n">
        <v>46312</v>
      </c>
      <c r="F522" t="inlineStr">
        <is>
          <t>SKÅNE LÄN</t>
        </is>
      </c>
      <c r="G522" t="inlineStr">
        <is>
          <t>SVEDALA</t>
        </is>
      </c>
      <c r="I522" t="n">
        <v>6.1</v>
      </c>
      <c r="J522" t="n">
        <v>0</v>
      </c>
      <c r="K522" t="n">
        <v>0</v>
      </c>
      <c r="L522" t="n">
        <v>0</v>
      </c>
      <c r="M522" t="n">
        <v>1</v>
      </c>
      <c r="N522" t="n">
        <v>0</v>
      </c>
      <c r="O522" t="n">
        <v>0</v>
      </c>
      <c r="P522" t="n">
        <v>0</v>
      </c>
      <c r="Q522" t="n">
        <v>1</v>
      </c>
      <c r="R522" t="n">
        <v>1</v>
      </c>
      <c r="S522" t="n">
        <v>1</v>
      </c>
      <c r="T522" t="n">
        <v>2</v>
      </c>
      <c r="U522" t="n">
        <v>0</v>
      </c>
      <c r="V522" s="2" t="inlineStr">
        <is>
          <t>Större grynsnäcka</t>
        </is>
      </c>
      <c r="W522">
        <f>HYPERLINK("https://klasma.github.io/Logging_1263/artfynd/A 16684-2023 artfynd.xlsx", "A 16684-2023")</f>
        <v/>
      </c>
      <c r="X522">
        <f>HYPERLINK("https://klasma.github.io/Logging_1263/kartor/A 16684-2023 karta.png", "A 16684-2023")</f>
        <v/>
      </c>
      <c r="Y522">
        <f>HYPERLINK("https://klasma.github.io/Logging_1263/kartor_geotiff/A 16684-2023 georefererad karta.tif", "A 16684-2023")</f>
        <v/>
      </c>
      <c r="AA522">
        <f>HYPERLINK("https://klasma.github.io/Logging_1263/klagomål/A 16684-2023 FSC-klagomål.docx", "A 16684-2023")</f>
        <v/>
      </c>
      <c r="AB522">
        <f>HYPERLINK("https://klasma.github.io/Logging_1263/klagomålsmail/A 16684-2023 FSC-klagomål mail.docx", "A 16684-2023")</f>
        <v/>
      </c>
      <c r="AC522">
        <f>HYPERLINK("https://klasma.github.io/Logging_1263/tillsyn/A 16684-2023 tillsynsbegäran.docx", "A 16684-2023")</f>
        <v/>
      </c>
      <c r="AD522">
        <f>HYPERLINK("https://klasma.github.io/Logging_1263/tillsynsmail/A 16684-2023 tillsynsbegäran mail.docx", "A 16684-2023")</f>
        <v/>
      </c>
    </row>
    <row r="523" ht="15" customHeight="1">
      <c r="A523" t="inlineStr">
        <is>
          <t>A 2193-2022</t>
        </is>
      </c>
      <c r="B523" t="inlineStr">
        <is>
          <t>avverkningsanmälan</t>
        </is>
      </c>
      <c r="C523" t="inlineStr">
        <is>
          <t>Föryngringsavverkning</t>
        </is>
      </c>
      <c r="D523" s="1" t="n">
        <v>44578</v>
      </c>
      <c r="E523" s="1" t="n">
        <v>46312</v>
      </c>
      <c r="F523" t="inlineStr">
        <is>
          <t>SKÅNE LÄN</t>
        </is>
      </c>
      <c r="G523" t="inlineStr">
        <is>
          <t>TOMELILLA</t>
        </is>
      </c>
      <c r="H523" t="inlineStr">
        <is>
          <t>Sveaskog</t>
        </is>
      </c>
      <c r="I523" t="n">
        <v>0.5</v>
      </c>
      <c r="J523" t="n">
        <v>0</v>
      </c>
      <c r="K523" t="n">
        <v>0</v>
      </c>
      <c r="L523" t="n">
        <v>1</v>
      </c>
      <c r="M523" t="n">
        <v>0</v>
      </c>
      <c r="N523" t="n">
        <v>0</v>
      </c>
      <c r="O523" t="n">
        <v>0</v>
      </c>
      <c r="P523" t="n">
        <v>0</v>
      </c>
      <c r="Q523" t="n">
        <v>1</v>
      </c>
      <c r="R523" t="n">
        <v>0</v>
      </c>
      <c r="S523" t="n">
        <v>1</v>
      </c>
      <c r="T523" t="n">
        <v>1</v>
      </c>
      <c r="U523" t="n">
        <v>1</v>
      </c>
      <c r="V523" s="2" t="inlineStr">
        <is>
          <t>Skogslysing</t>
        </is>
      </c>
      <c r="W523">
        <f>HYPERLINK("https://klasma.github.io/Logging_1270/artfynd/A 2193-2022 artfynd.xlsx", "A 2193-2022")</f>
        <v/>
      </c>
      <c r="X523">
        <f>HYPERLINK("https://klasma.github.io/Logging_1270/kartor/A 2193-2022 karta.png", "A 2193-2022")</f>
        <v/>
      </c>
      <c r="Y523">
        <f>HYPERLINK("https://klasma.github.io/Logging_1270/kartor_geotiff/A 2193-2022 georefererad karta.tif", "A 2193-2022")</f>
        <v/>
      </c>
      <c r="AA523">
        <f>HYPERLINK("https://klasma.github.io/Logging_1270/klagomål/A 2193-2022 FSC-klagomål.docx", "A 2193-2022")</f>
        <v/>
      </c>
      <c r="AB523">
        <f>HYPERLINK("https://klasma.github.io/Logging_1270/klagomålsmail/A 2193-2022 FSC-klagomål mail.docx", "A 2193-2022")</f>
        <v/>
      </c>
      <c r="AC523">
        <f>HYPERLINK("https://klasma.github.io/Logging_1270/tillsyn/A 2193-2022 tillsynsbegäran.docx", "A 2193-2022")</f>
        <v/>
      </c>
      <c r="AD523">
        <f>HYPERLINK("https://klasma.github.io/Logging_1270/tillsynsmail/A 2193-2022 tillsynsbegäran mail.docx", "A 2193-2022")</f>
        <v/>
      </c>
    </row>
    <row r="524" ht="15" customHeight="1">
      <c r="A524" t="inlineStr">
        <is>
          <t>A 49428-2025</t>
        </is>
      </c>
      <c r="B524" t="inlineStr">
        <is>
          <t>avverkningsanmälan</t>
        </is>
      </c>
      <c r="C524" t="inlineStr">
        <is>
          <t>Föryngringsavverkning</t>
        </is>
      </c>
      <c r="D524" s="1" t="n">
        <v>45938</v>
      </c>
      <c r="E524" s="1" t="n">
        <v>46312</v>
      </c>
      <c r="F524" t="inlineStr">
        <is>
          <t>SKÅNE LÄN</t>
        </is>
      </c>
      <c r="G524" t="inlineStr">
        <is>
          <t>KRISTIANSTAD</t>
        </is>
      </c>
      <c r="I524" t="n">
        <v>1</v>
      </c>
      <c r="J524" t="n">
        <v>1</v>
      </c>
      <c r="K524" t="n">
        <v>0</v>
      </c>
      <c r="L524" t="n">
        <v>0</v>
      </c>
      <c r="M524" t="n">
        <v>0</v>
      </c>
      <c r="N524" t="n">
        <v>0</v>
      </c>
      <c r="O524" t="n">
        <v>0</v>
      </c>
      <c r="P524" t="n">
        <v>0</v>
      </c>
      <c r="Q524" t="n">
        <v>0</v>
      </c>
      <c r="R524" t="n">
        <v>0</v>
      </c>
      <c r="S524" t="n">
        <v>1</v>
      </c>
      <c r="T524" t="n">
        <v>1</v>
      </c>
      <c r="U524" t="n">
        <v>0</v>
      </c>
      <c r="V524" s="2" t="inlineStr">
        <is>
          <t>Större vattensalamander</t>
        </is>
      </c>
      <c r="W524">
        <f>HYPERLINK("https://klasma.github.io/Logging_1290/artfynd/A 49428-2025 artfynd.xlsx", "A 49428-2025")</f>
        <v/>
      </c>
      <c r="X524">
        <f>HYPERLINK("https://klasma.github.io/Logging_1290/kartor/A 49428-2025 karta.png", "A 49428-2025")</f>
        <v/>
      </c>
      <c r="Y524">
        <f>HYPERLINK("https://klasma.github.io/Logging_1290/kartor_geotiff/A 49428-2025 georefererad karta.tif", "A 49428-2025")</f>
        <v/>
      </c>
      <c r="AA524">
        <f>HYPERLINK("https://klasma.github.io/Logging_1290/klagomål/A 49428-2025 FSC-klagomål.docx", "A 49428-2025")</f>
        <v/>
      </c>
      <c r="AB524">
        <f>HYPERLINK("https://klasma.github.io/Logging_1290/klagomålsmail/A 49428-2025 FSC-klagomål mail.docx", "A 49428-2025")</f>
        <v/>
      </c>
      <c r="AC524">
        <f>HYPERLINK("https://klasma.github.io/Logging_1290/tillsyn/A 49428-2025 tillsynsbegäran.docx", "A 49428-2025")</f>
        <v/>
      </c>
      <c r="AD524">
        <f>HYPERLINK("https://klasma.github.io/Logging_1290/tillsynsmail/A 49428-2025 tillsynsbegäran mail.docx", "A 49428-2025")</f>
        <v/>
      </c>
    </row>
    <row r="525" ht="15" customHeight="1">
      <c r="A525" t="inlineStr">
        <is>
          <t>A 49543-2025</t>
        </is>
      </c>
      <c r="B525" t="inlineStr">
        <is>
          <t>avverkningsanmälan</t>
        </is>
      </c>
      <c r="C525" t="inlineStr">
        <is>
          <t>Föryngringsavverkning</t>
        </is>
      </c>
      <c r="D525" s="1" t="n">
        <v>45939</v>
      </c>
      <c r="E525" s="1" t="n">
        <v>46312</v>
      </c>
      <c r="F525" t="inlineStr">
        <is>
          <t>SKÅNE LÄN</t>
        </is>
      </c>
      <c r="G525" t="inlineStr">
        <is>
          <t>YSTAD</t>
        </is>
      </c>
      <c r="I525" t="n">
        <v>1.4</v>
      </c>
      <c r="J525" t="n">
        <v>0</v>
      </c>
      <c r="K525" t="n">
        <v>0</v>
      </c>
      <c r="L525" t="n">
        <v>1</v>
      </c>
      <c r="M525" t="n">
        <v>0</v>
      </c>
      <c r="N525" t="n">
        <v>0</v>
      </c>
      <c r="O525" t="n">
        <v>0</v>
      </c>
      <c r="P525" t="n">
        <v>0</v>
      </c>
      <c r="Q525" t="n">
        <v>1</v>
      </c>
      <c r="R525" t="n">
        <v>0</v>
      </c>
      <c r="S525" t="n">
        <v>1</v>
      </c>
      <c r="T525" t="n">
        <v>2</v>
      </c>
      <c r="U525" t="n">
        <v>0</v>
      </c>
      <c r="V525" s="2" t="inlineStr">
        <is>
          <t>Svartöra</t>
        </is>
      </c>
      <c r="W525">
        <f>HYPERLINK("https://klasma.github.io/Logging_1286/artfynd/A 49543-2025 artfynd.xlsx", "A 49543-2025")</f>
        <v/>
      </c>
      <c r="X525">
        <f>HYPERLINK("https://klasma.github.io/Logging_1286/kartor/A 49543-2025 karta.png", "A 49543-2025")</f>
        <v/>
      </c>
      <c r="Y525">
        <f>HYPERLINK("https://klasma.github.io/Logging_1286/kartor_geotiff/A 49543-2025 georefererad karta.tif", "A 49543-2025")</f>
        <v/>
      </c>
      <c r="AA525">
        <f>HYPERLINK("https://klasma.github.io/Logging_1286/klagomål/A 49543-2025 FSC-klagomål.docx", "A 49543-2025")</f>
        <v/>
      </c>
      <c r="AB525">
        <f>HYPERLINK("https://klasma.github.io/Logging_1286/klagomålsmail/A 49543-2025 FSC-klagomål mail.docx", "A 49543-2025")</f>
        <v/>
      </c>
      <c r="AC525">
        <f>HYPERLINK("https://klasma.github.io/Logging_1286/tillsyn/A 49543-2025 tillsynsbegäran.docx", "A 49543-2025")</f>
        <v/>
      </c>
      <c r="AD525">
        <f>HYPERLINK("https://klasma.github.io/Logging_1286/tillsynsmail/A 49543-2025 tillsynsbegäran mail.docx", "A 49543-2025")</f>
        <v/>
      </c>
    </row>
    <row r="526" ht="15" customHeight="1">
      <c r="A526" t="inlineStr">
        <is>
          <t>A 7082-2024</t>
        </is>
      </c>
      <c r="B526" t="inlineStr">
        <is>
          <t>avverkningsanmälan</t>
        </is>
      </c>
      <c r="C526" t="inlineStr">
        <is>
          <t>Föryngringsavverkning</t>
        </is>
      </c>
      <c r="D526" s="1" t="n">
        <v>45343</v>
      </c>
      <c r="E526" s="1" t="n">
        <v>46312</v>
      </c>
      <c r="F526" t="inlineStr">
        <is>
          <t>SKÅNE LÄN</t>
        </is>
      </c>
      <c r="G526" t="inlineStr">
        <is>
          <t>SIMRISHAMN</t>
        </is>
      </c>
      <c r="H526" t="inlineStr">
        <is>
          <t>Övriga Aktiebolag</t>
        </is>
      </c>
      <c r="I526" t="n">
        <v>22.7</v>
      </c>
      <c r="J526" t="n">
        <v>0</v>
      </c>
      <c r="K526" t="n">
        <v>0</v>
      </c>
      <c r="L526" t="n">
        <v>0</v>
      </c>
      <c r="M526" t="n">
        <v>1</v>
      </c>
      <c r="N526" t="n">
        <v>0</v>
      </c>
      <c r="O526" t="n">
        <v>0</v>
      </c>
      <c r="P526" t="n">
        <v>0</v>
      </c>
      <c r="Q526" t="n">
        <v>1</v>
      </c>
      <c r="R526" t="n">
        <v>1</v>
      </c>
      <c r="S526" t="n">
        <v>1</v>
      </c>
      <c r="T526" t="n">
        <v>1</v>
      </c>
      <c r="U526" t="n">
        <v>1</v>
      </c>
      <c r="V526" s="2" t="inlineStr">
        <is>
          <t>Småvänderot</t>
        </is>
      </c>
      <c r="W526">
        <f>HYPERLINK("https://klasma.github.io/Logging_1291/artfynd/A 7082-2024 artfynd.xlsx", "A 7082-2024")</f>
        <v/>
      </c>
      <c r="X526">
        <f>HYPERLINK("https://klasma.github.io/Logging_1291/kartor/A 7082-2024 karta.png", "A 7082-2024")</f>
        <v/>
      </c>
      <c r="Y526">
        <f>HYPERLINK("https://klasma.github.io/Logging_1291/kartor_geotiff/A 7082-2024 georefererad karta.tif", "A 7082-2024")</f>
        <v/>
      </c>
      <c r="AA526">
        <f>HYPERLINK("https://klasma.github.io/Logging_1291/klagomål/A 7082-2024 FSC-klagomål.docx", "A 7082-2024")</f>
        <v/>
      </c>
      <c r="AB526">
        <f>HYPERLINK("https://klasma.github.io/Logging_1291/klagomålsmail/A 7082-2024 FSC-klagomål mail.docx", "A 7082-2024")</f>
        <v/>
      </c>
      <c r="AC526">
        <f>HYPERLINK("https://klasma.github.io/Logging_1291/tillsyn/A 7082-2024 tillsynsbegäran.docx", "A 7082-2024")</f>
        <v/>
      </c>
      <c r="AD526">
        <f>HYPERLINK("https://klasma.github.io/Logging_1291/tillsynsmail/A 7082-2024 tillsynsbegäran mail.docx", "A 7082-2024")</f>
        <v/>
      </c>
    </row>
    <row r="527" ht="15" customHeight="1">
      <c r="A527" t="inlineStr">
        <is>
          <t>A 35526-2025</t>
        </is>
      </c>
      <c r="B527" t="inlineStr">
        <is>
          <t>avverkningsanmälan</t>
        </is>
      </c>
      <c r="C527" t="inlineStr">
        <is>
          <t>Föryngringsavverkning</t>
        </is>
      </c>
      <c r="D527" s="1" t="n">
        <v>45856</v>
      </c>
      <c r="E527" s="1" t="n">
        <v>46312</v>
      </c>
      <c r="F527" t="inlineStr">
        <is>
          <t>SKÅNE LÄN</t>
        </is>
      </c>
      <c r="G527" t="inlineStr">
        <is>
          <t>ÖSTRA GÖINGE</t>
        </is>
      </c>
      <c r="I527" t="n">
        <v>4.2</v>
      </c>
      <c r="J527" t="n">
        <v>0</v>
      </c>
      <c r="K527" t="n">
        <v>0</v>
      </c>
      <c r="L527" t="n">
        <v>1</v>
      </c>
      <c r="M527" t="n">
        <v>0</v>
      </c>
      <c r="N527" t="n">
        <v>0</v>
      </c>
      <c r="O527" t="n">
        <v>0</v>
      </c>
      <c r="P527" t="n">
        <v>0</v>
      </c>
      <c r="Q527" t="n">
        <v>1</v>
      </c>
      <c r="R527" t="n">
        <v>0</v>
      </c>
      <c r="S527" t="n">
        <v>1</v>
      </c>
      <c r="T527" t="n">
        <v>1</v>
      </c>
      <c r="U527" t="n">
        <v>0</v>
      </c>
      <c r="V527" s="2" t="inlineStr">
        <is>
          <t>Bokvårtlav</t>
        </is>
      </c>
      <c r="W527">
        <f>HYPERLINK("https://klasma.github.io/Logging_1256/artfynd/A 35526-2025 artfynd.xlsx", "A 35526-2025")</f>
        <v/>
      </c>
      <c r="X527">
        <f>HYPERLINK("https://klasma.github.io/Logging_1256/kartor/A 35526-2025 karta.png", "A 35526-2025")</f>
        <v/>
      </c>
      <c r="Y527">
        <f>HYPERLINK("https://klasma.github.io/Logging_1256/kartor_geotiff/A 35526-2025 georefererad karta.tif", "A 35526-2025")</f>
        <v/>
      </c>
      <c r="AA527">
        <f>HYPERLINK("https://klasma.github.io/Logging_1256/klagomål/A 35526-2025 FSC-klagomål.docx", "A 35526-2025")</f>
        <v/>
      </c>
      <c r="AB527">
        <f>HYPERLINK("https://klasma.github.io/Logging_1256/klagomålsmail/A 35526-2025 FSC-klagomål mail.docx", "A 35526-2025")</f>
        <v/>
      </c>
      <c r="AC527">
        <f>HYPERLINK("https://klasma.github.io/Logging_1256/tillsyn/A 35526-2025 tillsynsbegäran.docx", "A 35526-2025")</f>
        <v/>
      </c>
      <c r="AD527">
        <f>HYPERLINK("https://klasma.github.io/Logging_1256/tillsynsmail/A 35526-2025 tillsynsbegäran mail.docx", "A 35526-2025")</f>
        <v/>
      </c>
    </row>
    <row r="528" ht="15" customHeight="1">
      <c r="A528" t="inlineStr">
        <is>
          <t>A 25610-2024</t>
        </is>
      </c>
      <c r="B528" t="inlineStr">
        <is>
          <t>avverkningsanmälan</t>
        </is>
      </c>
      <c r="C528" t="inlineStr">
        <is>
          <t>Föryngringsavverkning</t>
        </is>
      </c>
      <c r="D528" s="1" t="n">
        <v>45463</v>
      </c>
      <c r="E528" s="1" t="n">
        <v>46312</v>
      </c>
      <c r="F528" t="inlineStr">
        <is>
          <t>SKÅNE LÄN</t>
        </is>
      </c>
      <c r="G528" t="inlineStr">
        <is>
          <t>TRELLEBORG</t>
        </is>
      </c>
      <c r="I528" t="n">
        <v>2.9</v>
      </c>
      <c r="J528" t="n">
        <v>0</v>
      </c>
      <c r="K528" t="n">
        <v>1</v>
      </c>
      <c r="L528" t="n">
        <v>0</v>
      </c>
      <c r="M528" t="n">
        <v>0</v>
      </c>
      <c r="N528" t="n">
        <v>0</v>
      </c>
      <c r="O528" t="n">
        <v>0</v>
      </c>
      <c r="P528" t="n">
        <v>0</v>
      </c>
      <c r="Q528" t="n">
        <v>0</v>
      </c>
      <c r="R528" t="n">
        <v>0</v>
      </c>
      <c r="S528" t="n">
        <v>1</v>
      </c>
      <c r="T528" t="n">
        <v>1</v>
      </c>
      <c r="U528" t="n">
        <v>0</v>
      </c>
      <c r="V528" s="2" t="inlineStr">
        <is>
          <t>Mandelriska</t>
        </is>
      </c>
      <c r="W528">
        <f>HYPERLINK("https://klasma.github.io/Logging_1287/artfynd/A 25610-2024 artfynd.xlsx", "A 25610-2024")</f>
        <v/>
      </c>
      <c r="X528">
        <f>HYPERLINK("https://klasma.github.io/Logging_1287/kartor/A 25610-2024 karta.png", "A 25610-2024")</f>
        <v/>
      </c>
      <c r="Y528">
        <f>HYPERLINK("https://klasma.github.io/Logging_1287/kartor_geotiff/A 25610-2024 georefererad karta.tif", "A 25610-2024")</f>
        <v/>
      </c>
      <c r="AA528">
        <f>HYPERLINK("https://klasma.github.io/Logging_1287/klagomål/A 25610-2024 FSC-klagomål.docx", "A 25610-2024")</f>
        <v/>
      </c>
      <c r="AB528">
        <f>HYPERLINK("https://klasma.github.io/Logging_1287/klagomålsmail/A 25610-2024 FSC-klagomål mail.docx", "A 25610-2024")</f>
        <v/>
      </c>
      <c r="AC528">
        <f>HYPERLINK("https://klasma.github.io/Logging_1287/tillsyn/A 25610-2024 tillsynsbegäran.docx", "A 25610-2024")</f>
        <v/>
      </c>
      <c r="AD528">
        <f>HYPERLINK("https://klasma.github.io/Logging_1287/tillsynsmail/A 25610-2024 tillsynsbegäran mail.docx", "A 25610-2024")</f>
        <v/>
      </c>
    </row>
    <row r="529" ht="15" customHeight="1">
      <c r="A529" t="inlineStr">
        <is>
          <t>A 15068-2023</t>
        </is>
      </c>
      <c r="B529" t="inlineStr">
        <is>
          <t>avverkningsanmälan</t>
        </is>
      </c>
      <c r="C529" t="inlineStr">
        <is>
          <t>Föryngringsavverkning</t>
        </is>
      </c>
      <c r="D529" s="1" t="n">
        <v>45015</v>
      </c>
      <c r="E529" s="1" t="n">
        <v>46312</v>
      </c>
      <c r="F529" t="inlineStr">
        <is>
          <t>SKÅNE LÄN</t>
        </is>
      </c>
      <c r="G529" t="inlineStr">
        <is>
          <t>ÖRKELLJUNGA</t>
        </is>
      </c>
      <c r="I529" t="n">
        <v>9.9</v>
      </c>
      <c r="J529" t="n">
        <v>0</v>
      </c>
      <c r="K529" t="n">
        <v>1</v>
      </c>
      <c r="L529" t="n">
        <v>0</v>
      </c>
      <c r="M529" t="n">
        <v>0</v>
      </c>
      <c r="N529" t="n">
        <v>0</v>
      </c>
      <c r="O529" t="n">
        <v>0</v>
      </c>
      <c r="P529" t="n">
        <v>0</v>
      </c>
      <c r="Q529" t="n">
        <v>0</v>
      </c>
      <c r="R529" t="n">
        <v>0</v>
      </c>
      <c r="S529" t="n">
        <v>1</v>
      </c>
      <c r="T529" t="n">
        <v>1</v>
      </c>
      <c r="U529" t="n">
        <v>1</v>
      </c>
      <c r="V529" s="2" t="inlineStr">
        <is>
          <t>Kambräken</t>
        </is>
      </c>
      <c r="W529">
        <f>HYPERLINK("https://klasma.github.io/Logging_1257/artfynd/A 15068-2023 artfynd.xlsx", "A 15068-2023")</f>
        <v/>
      </c>
      <c r="X529">
        <f>HYPERLINK("https://klasma.github.io/Logging_1257/kartor/A 15068-2023 karta.png", "A 15068-2023")</f>
        <v/>
      </c>
      <c r="Y529">
        <f>HYPERLINK("https://klasma.github.io/Logging_1257/kartor_geotiff/A 15068-2023 georefererad karta.tif", "A 15068-2023")</f>
        <v/>
      </c>
      <c r="AA529">
        <f>HYPERLINK("https://klasma.github.io/Logging_1257/klagomål/A 15068-2023 FSC-klagomål.docx", "A 15068-2023")</f>
        <v/>
      </c>
      <c r="AB529">
        <f>HYPERLINK("https://klasma.github.io/Logging_1257/klagomålsmail/A 15068-2023 FSC-klagomål mail.docx", "A 15068-2023")</f>
        <v/>
      </c>
      <c r="AC529">
        <f>HYPERLINK("https://klasma.github.io/Logging_1257/tillsyn/A 15068-2023 tillsynsbegäran.docx", "A 15068-2023")</f>
        <v/>
      </c>
      <c r="AD529">
        <f>HYPERLINK("https://klasma.github.io/Logging_1257/tillsynsmail/A 15068-2023 tillsynsbegäran mail.docx", "A 15068-2023")</f>
        <v/>
      </c>
    </row>
    <row r="530" ht="15" customHeight="1">
      <c r="A530" t="inlineStr">
        <is>
          <t>A 15706-2025</t>
        </is>
      </c>
      <c r="B530" t="inlineStr">
        <is>
          <t>avverkningsanmälan</t>
        </is>
      </c>
      <c r="C530" t="inlineStr">
        <is>
          <t>Föryngringsavverkning</t>
        </is>
      </c>
      <c r="D530" s="1" t="n">
        <v>45748</v>
      </c>
      <c r="E530" s="1" t="n">
        <v>46312</v>
      </c>
      <c r="F530" t="inlineStr">
        <is>
          <t>SKÅNE LÄN</t>
        </is>
      </c>
      <c r="G530" t="inlineStr">
        <is>
          <t>KRISTIANSTAD</t>
        </is>
      </c>
      <c r="I530" t="n">
        <v>0.9</v>
      </c>
      <c r="J530" t="n">
        <v>0</v>
      </c>
      <c r="K530" t="n">
        <v>0</v>
      </c>
      <c r="L530" t="n">
        <v>0</v>
      </c>
      <c r="M530" t="n">
        <v>0</v>
      </c>
      <c r="N530" t="n">
        <v>1</v>
      </c>
      <c r="O530" t="n">
        <v>0</v>
      </c>
      <c r="P530" t="n">
        <v>0</v>
      </c>
      <c r="Q530" t="n">
        <v>1</v>
      </c>
      <c r="R530" t="n">
        <v>1</v>
      </c>
      <c r="S530" t="n">
        <v>1</v>
      </c>
      <c r="T530" t="n">
        <v>1</v>
      </c>
      <c r="U530" t="n">
        <v>0</v>
      </c>
      <c r="V530" s="2" t="inlineStr">
        <is>
          <t>Ask</t>
        </is>
      </c>
      <c r="W530">
        <f>HYPERLINK("https://klasma.github.io/Logging_1290/artfynd/A 15706-2025 artfynd.xlsx", "A 15706-2025")</f>
        <v/>
      </c>
      <c r="X530">
        <f>HYPERLINK("https://klasma.github.io/Logging_1290/kartor/A 15706-2025 karta.png", "A 15706-2025")</f>
        <v/>
      </c>
      <c r="Y530">
        <f>HYPERLINK("https://klasma.github.io/Logging_1290/kartor_geotiff/A 15706-2025 georefererad karta.tif", "A 15706-2025")</f>
        <v/>
      </c>
      <c r="AA530">
        <f>HYPERLINK("https://klasma.github.io/Logging_1290/klagomål/A 15706-2025 FSC-klagomål.docx", "A 15706-2025")</f>
        <v/>
      </c>
      <c r="AB530">
        <f>HYPERLINK("https://klasma.github.io/Logging_1290/klagomålsmail/A 15706-2025 FSC-klagomål mail.docx", "A 15706-2025")</f>
        <v/>
      </c>
      <c r="AC530">
        <f>HYPERLINK("https://klasma.github.io/Logging_1290/tillsyn/A 15706-2025 tillsynsbegäran.docx", "A 15706-2025")</f>
        <v/>
      </c>
      <c r="AD530">
        <f>HYPERLINK("https://klasma.github.io/Logging_1290/tillsynsmail/A 15706-2025 tillsynsbegäran mail.docx", "A 15706-2025")</f>
        <v/>
      </c>
    </row>
    <row r="531" ht="15" customHeight="1">
      <c r="A531" t="inlineStr">
        <is>
          <t>A 45359-2023</t>
        </is>
      </c>
      <c r="B531" t="inlineStr">
        <is>
          <t>avverkningsanmälan</t>
        </is>
      </c>
      <c r="C531" t="inlineStr">
        <is>
          <t>Föryngringsavverkning</t>
        </is>
      </c>
      <c r="D531" s="1" t="n">
        <v>45192</v>
      </c>
      <c r="E531" s="1" t="n">
        <v>46312</v>
      </c>
      <c r="F531" t="inlineStr">
        <is>
          <t>SKÅNE LÄN</t>
        </is>
      </c>
      <c r="G531" t="inlineStr">
        <is>
          <t>ÖSTRA GÖINGE</t>
        </is>
      </c>
      <c r="I531" t="n">
        <v>2.4</v>
      </c>
      <c r="J531" t="n">
        <v>0</v>
      </c>
      <c r="K531" t="n">
        <v>1</v>
      </c>
      <c r="L531" t="n">
        <v>0</v>
      </c>
      <c r="M531" t="n">
        <v>0</v>
      </c>
      <c r="N531" t="n">
        <v>0</v>
      </c>
      <c r="O531" t="n">
        <v>0</v>
      </c>
      <c r="P531" t="n">
        <v>0</v>
      </c>
      <c r="Q531" t="n">
        <v>0</v>
      </c>
      <c r="R531" t="n">
        <v>0</v>
      </c>
      <c r="S531" t="n">
        <v>1</v>
      </c>
      <c r="T531" t="n">
        <v>1</v>
      </c>
      <c r="U531" t="n">
        <v>0</v>
      </c>
      <c r="V531" s="2" t="inlineStr">
        <is>
          <t>Blåmossa</t>
        </is>
      </c>
      <c r="W531">
        <f>HYPERLINK("https://klasma.github.io/Logging_1256/artfynd/A 45359-2023 artfynd.xlsx", "A 45359-2023")</f>
        <v/>
      </c>
      <c r="X531">
        <f>HYPERLINK("https://klasma.github.io/Logging_1256/kartor/A 45359-2023 karta.png", "A 45359-2023")</f>
        <v/>
      </c>
      <c r="Y531">
        <f>HYPERLINK("https://klasma.github.io/Logging_1256/kartor_geotiff/A 45359-2023 georefererad karta.tif", "A 45359-2023")</f>
        <v/>
      </c>
      <c r="AA531">
        <f>HYPERLINK("https://klasma.github.io/Logging_1256/klagomål/A 45359-2023 FSC-klagomål.docx", "A 45359-2023")</f>
        <v/>
      </c>
      <c r="AB531">
        <f>HYPERLINK("https://klasma.github.io/Logging_1256/klagomålsmail/A 45359-2023 FSC-klagomål mail.docx", "A 45359-2023")</f>
        <v/>
      </c>
      <c r="AC531">
        <f>HYPERLINK("https://klasma.github.io/Logging_1256/tillsyn/A 45359-2023 tillsynsbegäran.docx", "A 45359-2023")</f>
        <v/>
      </c>
      <c r="AD531">
        <f>HYPERLINK("https://klasma.github.io/Logging_1256/tillsynsmail/A 45359-2023 tillsynsbegäran mail.docx", "A 45359-2023")</f>
        <v/>
      </c>
    </row>
    <row r="532" ht="15" customHeight="1">
      <c r="A532" t="inlineStr">
        <is>
          <t>A 4615-2024</t>
        </is>
      </c>
      <c r="B532" t="inlineStr">
        <is>
          <t>avverkningsanmälan</t>
        </is>
      </c>
      <c r="C532" t="inlineStr">
        <is>
          <t>Föryngringsavverkning</t>
        </is>
      </c>
      <c r="D532" s="1" t="n">
        <v>45328</v>
      </c>
      <c r="E532" s="1" t="n">
        <v>46312</v>
      </c>
      <c r="F532" t="inlineStr">
        <is>
          <t>SKÅNE LÄN</t>
        </is>
      </c>
      <c r="G532" t="inlineStr">
        <is>
          <t>KRISTIANSTAD</t>
        </is>
      </c>
      <c r="I532" t="n">
        <v>6.6</v>
      </c>
      <c r="J532" t="n">
        <v>0</v>
      </c>
      <c r="K532" t="n">
        <v>0</v>
      </c>
      <c r="L532" t="n">
        <v>1</v>
      </c>
      <c r="M532" t="n">
        <v>0</v>
      </c>
      <c r="N532" t="n">
        <v>0</v>
      </c>
      <c r="O532" t="n">
        <v>0</v>
      </c>
      <c r="P532" t="n">
        <v>0</v>
      </c>
      <c r="Q532" t="n">
        <v>1</v>
      </c>
      <c r="R532" t="n">
        <v>0</v>
      </c>
      <c r="S532" t="n">
        <v>1</v>
      </c>
      <c r="T532" t="n">
        <v>1</v>
      </c>
      <c r="U532" t="n">
        <v>1</v>
      </c>
      <c r="V532" s="2" t="inlineStr">
        <is>
          <t>Skogslysing</t>
        </is>
      </c>
      <c r="W532">
        <f>HYPERLINK("https://klasma.github.io/Logging_1290/artfynd/A 4615-2024 artfynd.xlsx", "A 4615-2024")</f>
        <v/>
      </c>
      <c r="X532">
        <f>HYPERLINK("https://klasma.github.io/Logging_1290/kartor/A 4615-2024 karta.png", "A 4615-2024")</f>
        <v/>
      </c>
      <c r="Y532">
        <f>HYPERLINK("https://klasma.github.io/Logging_1290/kartor_geotiff/A 4615-2024 georefererad karta.tif", "A 4615-2024")</f>
        <v/>
      </c>
      <c r="AA532">
        <f>HYPERLINK("https://klasma.github.io/Logging_1290/klagomål/A 4615-2024 FSC-klagomål.docx", "A 4615-2024")</f>
        <v/>
      </c>
      <c r="AB532">
        <f>HYPERLINK("https://klasma.github.io/Logging_1290/klagomålsmail/A 4615-2024 FSC-klagomål mail.docx", "A 4615-2024")</f>
        <v/>
      </c>
      <c r="AC532">
        <f>HYPERLINK("https://klasma.github.io/Logging_1290/tillsyn/A 4615-2024 tillsynsbegäran.docx", "A 4615-2024")</f>
        <v/>
      </c>
      <c r="AD532">
        <f>HYPERLINK("https://klasma.github.io/Logging_1290/tillsynsmail/A 4615-2024 tillsynsbegäran mail.docx", "A 4615-2024")</f>
        <v/>
      </c>
    </row>
    <row r="533" ht="15" customHeight="1">
      <c r="A533" t="inlineStr">
        <is>
          <t>A 8223-2025</t>
        </is>
      </c>
      <c r="B533" t="inlineStr">
        <is>
          <t>avverkningsanmälan</t>
        </is>
      </c>
      <c r="C533" t="inlineStr">
        <is>
          <t>Föryngringsavverkning</t>
        </is>
      </c>
      <c r="D533" s="1" t="n">
        <v>45708</v>
      </c>
      <c r="E533" s="1" t="n">
        <v>46312</v>
      </c>
      <c r="F533" t="inlineStr">
        <is>
          <t>SKÅNE LÄN</t>
        </is>
      </c>
      <c r="G533" t="inlineStr">
        <is>
          <t>HÄSSLEHOLM</t>
        </is>
      </c>
      <c r="I533" t="n">
        <v>0.8</v>
      </c>
      <c r="J533" t="n">
        <v>1</v>
      </c>
      <c r="K533" t="n">
        <v>0</v>
      </c>
      <c r="L533" t="n">
        <v>0</v>
      </c>
      <c r="M533" t="n">
        <v>0</v>
      </c>
      <c r="N533" t="n">
        <v>0</v>
      </c>
      <c r="O533" t="n">
        <v>0</v>
      </c>
      <c r="P533" t="n">
        <v>0</v>
      </c>
      <c r="Q533" t="n">
        <v>0</v>
      </c>
      <c r="R533" t="n">
        <v>0</v>
      </c>
      <c r="S533" t="n">
        <v>1</v>
      </c>
      <c r="T533" t="n">
        <v>1</v>
      </c>
      <c r="U533" t="n">
        <v>1</v>
      </c>
      <c r="V533" s="2" t="inlineStr">
        <is>
          <t>Kungsfågel</t>
        </is>
      </c>
      <c r="W533">
        <f>HYPERLINK("https://klasma.github.io/Logging_1293/artfynd/A 8223-2025 artfynd.xlsx", "A 8223-2025")</f>
        <v/>
      </c>
      <c r="X533">
        <f>HYPERLINK("https://klasma.github.io/Logging_1293/kartor/A 8223-2025 karta.png", "A 8223-2025")</f>
        <v/>
      </c>
      <c r="Y533">
        <f>HYPERLINK("https://klasma.github.io/Logging_1293/kartor_geotiff/A 8223-2025 georefererad karta.tif", "A 8223-2025")</f>
        <v/>
      </c>
      <c r="AA533">
        <f>HYPERLINK("https://klasma.github.io/Logging_1293/klagomål/A 8223-2025 FSC-klagomål.docx", "A 8223-2025")</f>
        <v/>
      </c>
      <c r="AB533">
        <f>HYPERLINK("https://klasma.github.io/Logging_1293/klagomålsmail/A 8223-2025 FSC-klagomål mail.docx", "A 8223-2025")</f>
        <v/>
      </c>
      <c r="AC533">
        <f>HYPERLINK("https://klasma.github.io/Logging_1293/tillsyn/A 8223-2025 tillsynsbegäran.docx", "A 8223-2025")</f>
        <v/>
      </c>
      <c r="AD533">
        <f>HYPERLINK("https://klasma.github.io/Logging_1293/tillsynsmail/A 8223-2025 tillsynsbegäran mail.docx", "A 8223-2025")</f>
        <v/>
      </c>
    </row>
    <row r="534" ht="15" customHeight="1">
      <c r="A534" t="inlineStr">
        <is>
          <t>A 30925-2022</t>
        </is>
      </c>
      <c r="B534" t="inlineStr">
        <is>
          <t>avverkningsanmälan</t>
        </is>
      </c>
      <c r="C534" t="inlineStr">
        <is>
          <t>Föryngringsavverkning</t>
        </is>
      </c>
      <c r="D534" s="1" t="n">
        <v>44767</v>
      </c>
      <c r="E534" s="1" t="n">
        <v>46312</v>
      </c>
      <c r="F534" t="inlineStr">
        <is>
          <t>SKÅNE LÄN</t>
        </is>
      </c>
      <c r="G534" t="inlineStr">
        <is>
          <t>KRISTIANSTAD</t>
        </is>
      </c>
      <c r="I534" t="n">
        <v>0.9</v>
      </c>
      <c r="J534" t="n">
        <v>0</v>
      </c>
      <c r="K534" t="n">
        <v>0</v>
      </c>
      <c r="L534" t="n">
        <v>0</v>
      </c>
      <c r="M534" t="n">
        <v>1</v>
      </c>
      <c r="N534" t="n">
        <v>0</v>
      </c>
      <c r="O534" t="n">
        <v>0</v>
      </c>
      <c r="P534" t="n">
        <v>0</v>
      </c>
      <c r="Q534" t="n">
        <v>1</v>
      </c>
      <c r="R534" t="n">
        <v>1</v>
      </c>
      <c r="S534" t="n">
        <v>1</v>
      </c>
      <c r="T534" t="n">
        <v>1</v>
      </c>
      <c r="U534" t="n">
        <v>0</v>
      </c>
      <c r="V534" s="2" t="inlineStr">
        <is>
          <t>Sjötåtel</t>
        </is>
      </c>
      <c r="W534">
        <f>HYPERLINK("https://klasma.github.io/Logging_1290/artfynd/A 30925-2022 artfynd.xlsx", "A 30925-2022")</f>
        <v/>
      </c>
      <c r="X534">
        <f>HYPERLINK("https://klasma.github.io/Logging_1290/kartor/A 30925-2022 karta.png", "A 30925-2022")</f>
        <v/>
      </c>
      <c r="Y534">
        <f>HYPERLINK("https://klasma.github.io/Logging_1290/kartor_geotiff/A 30925-2022 georefererad karta.tif", "A 30925-2022")</f>
        <v/>
      </c>
      <c r="AA534">
        <f>HYPERLINK("https://klasma.github.io/Logging_1290/klagomål/A 30925-2022 FSC-klagomål.docx", "A 30925-2022")</f>
        <v/>
      </c>
      <c r="AB534">
        <f>HYPERLINK("https://klasma.github.io/Logging_1290/klagomålsmail/A 30925-2022 FSC-klagomål mail.docx", "A 30925-2022")</f>
        <v/>
      </c>
      <c r="AC534">
        <f>HYPERLINK("https://klasma.github.io/Logging_1290/tillsyn/A 30925-2022 tillsynsbegäran.docx", "A 30925-2022")</f>
        <v/>
      </c>
      <c r="AD534">
        <f>HYPERLINK("https://klasma.github.io/Logging_1290/tillsynsmail/A 30925-2022 tillsynsbegäran mail.docx", "A 30925-2022")</f>
        <v/>
      </c>
    </row>
    <row r="535" ht="15" customHeight="1">
      <c r="A535" t="inlineStr">
        <is>
          <t>A 53189-2025</t>
        </is>
      </c>
      <c r="B535" t="inlineStr">
        <is>
          <t>avverkningsanmälan</t>
        </is>
      </c>
      <c r="C535" t="inlineStr">
        <is>
          <t>Föryngringsavverkning</t>
        </is>
      </c>
      <c r="D535" s="1" t="n">
        <v>45958</v>
      </c>
      <c r="E535" s="1" t="n">
        <v>46312</v>
      </c>
      <c r="F535" t="inlineStr">
        <is>
          <t>SKÅNE LÄN</t>
        </is>
      </c>
      <c r="G535" t="inlineStr">
        <is>
          <t>KRISTIANSTAD</t>
        </is>
      </c>
      <c r="I535" t="n">
        <v>1</v>
      </c>
      <c r="J535" t="n">
        <v>0</v>
      </c>
      <c r="K535" t="n">
        <v>0</v>
      </c>
      <c r="L535" t="n">
        <v>0</v>
      </c>
      <c r="M535" t="n">
        <v>1</v>
      </c>
      <c r="N535" t="n">
        <v>0</v>
      </c>
      <c r="O535" t="n">
        <v>0</v>
      </c>
      <c r="P535" t="n">
        <v>0</v>
      </c>
      <c r="Q535" t="n">
        <v>1</v>
      </c>
      <c r="R535" t="n">
        <v>1</v>
      </c>
      <c r="S535" t="n">
        <v>1</v>
      </c>
      <c r="T535" t="n">
        <v>1</v>
      </c>
      <c r="U535" t="n">
        <v>0</v>
      </c>
      <c r="V535" s="2" t="inlineStr">
        <is>
          <t>Igelkott</t>
        </is>
      </c>
      <c r="W535">
        <f>HYPERLINK("https://klasma.github.io/Logging_1290/artfynd/A 53189-2025 artfynd.xlsx", "A 53189-2025")</f>
        <v/>
      </c>
      <c r="X535">
        <f>HYPERLINK("https://klasma.github.io/Logging_1290/kartor/A 53189-2025 karta.png", "A 53189-2025")</f>
        <v/>
      </c>
      <c r="Y535">
        <f>HYPERLINK("https://klasma.github.io/Logging_1290/kartor_geotiff/A 53189-2025 georefererad karta.tif", "A 53189-2025")</f>
        <v/>
      </c>
      <c r="AA535">
        <f>HYPERLINK("https://klasma.github.io/Logging_1290/klagomål/A 53189-2025 FSC-klagomål.docx", "A 53189-2025")</f>
        <v/>
      </c>
      <c r="AB535">
        <f>HYPERLINK("https://klasma.github.io/Logging_1290/klagomålsmail/A 53189-2025 FSC-klagomål mail.docx", "A 53189-2025")</f>
        <v/>
      </c>
      <c r="AC535">
        <f>HYPERLINK("https://klasma.github.io/Logging_1290/tillsyn/A 53189-2025 tillsynsbegäran.docx", "A 53189-2025")</f>
        <v/>
      </c>
      <c r="AD535">
        <f>HYPERLINK("https://klasma.github.io/Logging_1290/tillsynsmail/A 53189-2025 tillsynsbegäran mail.docx", "A 53189-2025")</f>
        <v/>
      </c>
    </row>
    <row r="536" ht="15" customHeight="1">
      <c r="A536" t="inlineStr">
        <is>
          <t>A 53182-2025</t>
        </is>
      </c>
      <c r="B536" t="inlineStr">
        <is>
          <t>avverkningsanmälan</t>
        </is>
      </c>
      <c r="C536" t="inlineStr">
        <is>
          <t>Föryngringsavverkning</t>
        </is>
      </c>
      <c r="D536" s="1" t="n">
        <v>45958</v>
      </c>
      <c r="E536" s="1" t="n">
        <v>46312</v>
      </c>
      <c r="F536" t="inlineStr">
        <is>
          <t>SKÅNE LÄN</t>
        </is>
      </c>
      <c r="G536" t="inlineStr">
        <is>
          <t>KRISTIANSTAD</t>
        </is>
      </c>
      <c r="I536" t="n">
        <v>0.9</v>
      </c>
      <c r="J536" t="n">
        <v>1</v>
      </c>
      <c r="K536" t="n">
        <v>0</v>
      </c>
      <c r="L536" t="n">
        <v>1</v>
      </c>
      <c r="M536" t="n">
        <v>0</v>
      </c>
      <c r="N536" t="n">
        <v>0</v>
      </c>
      <c r="O536" t="n">
        <v>0</v>
      </c>
      <c r="P536" t="n">
        <v>0</v>
      </c>
      <c r="Q536" t="n">
        <v>1</v>
      </c>
      <c r="R536" t="n">
        <v>0</v>
      </c>
      <c r="S536" t="n">
        <v>1</v>
      </c>
      <c r="T536" t="n">
        <v>1</v>
      </c>
      <c r="U536" t="n">
        <v>1</v>
      </c>
      <c r="V536" s="2" t="inlineStr">
        <is>
          <t>Entita</t>
        </is>
      </c>
      <c r="W536">
        <f>HYPERLINK("https://klasma.github.io/Logging_1290/artfynd/A 53182-2025 artfynd.xlsx", "A 53182-2025")</f>
        <v/>
      </c>
      <c r="X536">
        <f>HYPERLINK("https://klasma.github.io/Logging_1290/kartor/A 53182-2025 karta.png", "A 53182-2025")</f>
        <v/>
      </c>
      <c r="Y536">
        <f>HYPERLINK("https://klasma.github.io/Logging_1290/kartor_geotiff/A 53182-2025 georefererad karta.tif", "A 53182-2025")</f>
        <v/>
      </c>
      <c r="AA536">
        <f>HYPERLINK("https://klasma.github.io/Logging_1290/klagomål/A 53182-2025 FSC-klagomål.docx", "A 53182-2025")</f>
        <v/>
      </c>
      <c r="AB536">
        <f>HYPERLINK("https://klasma.github.io/Logging_1290/klagomålsmail/A 53182-2025 FSC-klagomål mail.docx", "A 53182-2025")</f>
        <v/>
      </c>
      <c r="AC536">
        <f>HYPERLINK("https://klasma.github.io/Logging_1290/tillsyn/A 53182-2025 tillsynsbegäran.docx", "A 53182-2025")</f>
        <v/>
      </c>
      <c r="AD536">
        <f>HYPERLINK("https://klasma.github.io/Logging_1290/tillsynsmail/A 53182-2025 tillsynsbegäran mail.docx", "A 53182-2025")</f>
        <v/>
      </c>
      <c r="AE536">
        <f>HYPERLINK("https://klasma.github.io/Logging_1290/fåglar/A 53182-2025 prioriterade fågelarter.docx", "A 53182-2025")</f>
        <v/>
      </c>
    </row>
    <row r="537" ht="15" customHeight="1">
      <c r="A537" t="inlineStr">
        <is>
          <t>A 61035-2024</t>
        </is>
      </c>
      <c r="B537" t="inlineStr">
        <is>
          <t>avverkningsanmälan</t>
        </is>
      </c>
      <c r="C537" t="inlineStr">
        <is>
          <t>Föryngringsavverkning</t>
        </is>
      </c>
      <c r="D537" s="1" t="n">
        <v>45645</v>
      </c>
      <c r="E537" s="1" t="n">
        <v>46312</v>
      </c>
      <c r="F537" t="inlineStr">
        <is>
          <t>SKÅNE LÄN</t>
        </is>
      </c>
      <c r="G537" t="inlineStr">
        <is>
          <t>ESLÖV</t>
        </is>
      </c>
      <c r="I537" t="n">
        <v>7.6</v>
      </c>
      <c r="J537" t="n">
        <v>0</v>
      </c>
      <c r="K537" t="n">
        <v>0</v>
      </c>
      <c r="L537" t="n">
        <v>1</v>
      </c>
      <c r="M537" t="n">
        <v>0</v>
      </c>
      <c r="N537" t="n">
        <v>0</v>
      </c>
      <c r="O537" t="n">
        <v>0</v>
      </c>
      <c r="P537" t="n">
        <v>0</v>
      </c>
      <c r="Q537" t="n">
        <v>1</v>
      </c>
      <c r="R537" t="n">
        <v>0</v>
      </c>
      <c r="S537" t="n">
        <v>1</v>
      </c>
      <c r="T537" t="n">
        <v>3</v>
      </c>
      <c r="U537" t="n">
        <v>0</v>
      </c>
      <c r="V537" s="2" t="inlineStr">
        <is>
          <t>Gullpudra</t>
        </is>
      </c>
      <c r="W537">
        <f>HYPERLINK("https://klasma.github.io/Logging_1285/artfynd/A 61035-2024 artfynd.xlsx", "A 61035-2024")</f>
        <v/>
      </c>
      <c r="X537">
        <f>HYPERLINK("https://klasma.github.io/Logging_1285/kartor/A 61035-2024 karta.png", "A 61035-2024")</f>
        <v/>
      </c>
      <c r="Y537">
        <f>HYPERLINK("https://klasma.github.io/Logging_1285/kartor_geotiff/A 61035-2024 georefererad karta.tif", "A 61035-2024")</f>
        <v/>
      </c>
      <c r="AA537">
        <f>HYPERLINK("https://klasma.github.io/Logging_1285/klagomål/A 61035-2024 FSC-klagomål.docx", "A 61035-2024")</f>
        <v/>
      </c>
      <c r="AB537">
        <f>HYPERLINK("https://klasma.github.io/Logging_1285/klagomålsmail/A 61035-2024 FSC-klagomål mail.docx", "A 61035-2024")</f>
        <v/>
      </c>
      <c r="AC537">
        <f>HYPERLINK("https://klasma.github.io/Logging_1285/tillsyn/A 61035-2024 tillsynsbegäran.docx", "A 61035-2024")</f>
        <v/>
      </c>
      <c r="AD537">
        <f>HYPERLINK("https://klasma.github.io/Logging_1285/tillsynsmail/A 61035-2024 tillsynsbegäran mail.docx", "A 61035-2024")</f>
        <v/>
      </c>
    </row>
    <row r="538" ht="15" customHeight="1">
      <c r="A538" t="inlineStr">
        <is>
          <t>A 54523-2024</t>
        </is>
      </c>
      <c r="B538" t="inlineStr">
        <is>
          <t>avverkningsanmälan</t>
        </is>
      </c>
      <c r="C538" t="inlineStr">
        <is>
          <t>Föryngringsavverkning</t>
        </is>
      </c>
      <c r="D538" s="1" t="n">
        <v>45617</v>
      </c>
      <c r="E538" s="1" t="n">
        <v>46312</v>
      </c>
      <c r="F538" t="inlineStr">
        <is>
          <t>SKÅNE LÄN</t>
        </is>
      </c>
      <c r="G538" t="inlineStr">
        <is>
          <t>HÄSSLEHOLM</t>
        </is>
      </c>
      <c r="I538" t="n">
        <v>4.5</v>
      </c>
      <c r="J538" t="n">
        <v>1</v>
      </c>
      <c r="K538" t="n">
        <v>0</v>
      </c>
      <c r="L538" t="n">
        <v>0</v>
      </c>
      <c r="M538" t="n">
        <v>0</v>
      </c>
      <c r="N538" t="n">
        <v>0</v>
      </c>
      <c r="O538" t="n">
        <v>0</v>
      </c>
      <c r="P538" t="n">
        <v>0</v>
      </c>
      <c r="Q538" t="n">
        <v>0</v>
      </c>
      <c r="R538" t="n">
        <v>0</v>
      </c>
      <c r="S538" t="n">
        <v>1</v>
      </c>
      <c r="T538" t="n">
        <v>1</v>
      </c>
      <c r="U538" t="n">
        <v>1</v>
      </c>
      <c r="V538" s="2" t="inlineStr">
        <is>
          <t>Grönvit nattviol</t>
        </is>
      </c>
      <c r="W538">
        <f>HYPERLINK("https://klasma.github.io/Logging_1293/artfynd/A 54523-2024 artfynd.xlsx", "A 54523-2024")</f>
        <v/>
      </c>
      <c r="X538">
        <f>HYPERLINK("https://klasma.github.io/Logging_1293/kartor/A 54523-2024 karta.png", "A 54523-2024")</f>
        <v/>
      </c>
      <c r="Y538">
        <f>HYPERLINK("https://klasma.github.io/Logging_1293/kartor_geotiff/A 54523-2024 georefererad karta.tif", "A 54523-2024")</f>
        <v/>
      </c>
      <c r="AA538">
        <f>HYPERLINK("https://klasma.github.io/Logging_1293/klagomål/A 54523-2024 FSC-klagomål.docx", "A 54523-2024")</f>
        <v/>
      </c>
      <c r="AB538">
        <f>HYPERLINK("https://klasma.github.io/Logging_1293/klagomålsmail/A 54523-2024 FSC-klagomål mail.docx", "A 54523-2024")</f>
        <v/>
      </c>
      <c r="AC538">
        <f>HYPERLINK("https://klasma.github.io/Logging_1293/tillsyn/A 54523-2024 tillsynsbegäran.docx", "A 54523-2024")</f>
        <v/>
      </c>
      <c r="AD538">
        <f>HYPERLINK("https://klasma.github.io/Logging_1293/tillsynsmail/A 54523-2024 tillsynsbegäran mail.docx", "A 54523-2024")</f>
        <v/>
      </c>
    </row>
    <row r="539" ht="15" customHeight="1">
      <c r="A539" t="inlineStr">
        <is>
          <t>A 16550-2025</t>
        </is>
      </c>
      <c r="B539" t="inlineStr">
        <is>
          <t>avverkningsanmälan</t>
        </is>
      </c>
      <c r="C539" t="inlineStr">
        <is>
          <t>Föryngringsavverkning</t>
        </is>
      </c>
      <c r="D539" s="1" t="n">
        <v>45751</v>
      </c>
      <c r="E539" s="1" t="n">
        <v>46312</v>
      </c>
      <c r="F539" t="inlineStr">
        <is>
          <t>SKÅNE LÄN</t>
        </is>
      </c>
      <c r="G539" t="inlineStr">
        <is>
          <t>HÄSSLEHOLM</t>
        </is>
      </c>
      <c r="I539" t="n">
        <v>0.7</v>
      </c>
      <c r="J539" t="n">
        <v>0</v>
      </c>
      <c r="K539" t="n">
        <v>1</v>
      </c>
      <c r="L539" t="n">
        <v>0</v>
      </c>
      <c r="M539" t="n">
        <v>0</v>
      </c>
      <c r="N539" t="n">
        <v>0</v>
      </c>
      <c r="O539" t="n">
        <v>0</v>
      </c>
      <c r="P539" t="n">
        <v>0</v>
      </c>
      <c r="Q539" t="n">
        <v>0</v>
      </c>
      <c r="R539" t="n">
        <v>0</v>
      </c>
      <c r="S539" t="n">
        <v>1</v>
      </c>
      <c r="T539" t="n">
        <v>1</v>
      </c>
      <c r="U539" t="n">
        <v>0</v>
      </c>
      <c r="V539" s="2" t="inlineStr">
        <is>
          <t>Skuggsprötmossa</t>
        </is>
      </c>
      <c r="W539">
        <f>HYPERLINK("https://klasma.github.io/Logging_1293/artfynd/A 16550-2025 artfynd.xlsx", "A 16550-2025")</f>
        <v/>
      </c>
      <c r="X539">
        <f>HYPERLINK("https://klasma.github.io/Logging_1293/kartor/A 16550-2025 karta.png", "A 16550-2025")</f>
        <v/>
      </c>
      <c r="Y539">
        <f>HYPERLINK("https://klasma.github.io/Logging_1293/kartor_geotiff/A 16550-2025 georefererad karta.tif", "A 16550-2025")</f>
        <v/>
      </c>
      <c r="AA539">
        <f>HYPERLINK("https://klasma.github.io/Logging_1293/klagomål/A 16550-2025 FSC-klagomål.docx", "A 16550-2025")</f>
        <v/>
      </c>
      <c r="AB539">
        <f>HYPERLINK("https://klasma.github.io/Logging_1293/klagomålsmail/A 16550-2025 FSC-klagomål mail.docx", "A 16550-2025")</f>
        <v/>
      </c>
      <c r="AC539">
        <f>HYPERLINK("https://klasma.github.io/Logging_1293/tillsyn/A 16550-2025 tillsynsbegäran.docx", "A 16550-2025")</f>
        <v/>
      </c>
      <c r="AD539">
        <f>HYPERLINK("https://klasma.github.io/Logging_1293/tillsynsmail/A 16550-2025 tillsynsbegäran mail.docx", "A 16550-2025")</f>
        <v/>
      </c>
    </row>
    <row r="540" ht="15" customHeight="1">
      <c r="A540" t="inlineStr">
        <is>
          <t>A 60891-2024</t>
        </is>
      </c>
      <c r="B540" t="inlineStr">
        <is>
          <t>avverkningsanmälan</t>
        </is>
      </c>
      <c r="C540" t="inlineStr">
        <is>
          <t>Föryngringsavverkning</t>
        </is>
      </c>
      <c r="D540" s="1" t="n">
        <v>45644</v>
      </c>
      <c r="E540" s="1" t="n">
        <v>46312</v>
      </c>
      <c r="F540" t="inlineStr">
        <is>
          <t>SKÅNE LÄN</t>
        </is>
      </c>
      <c r="G540" t="inlineStr">
        <is>
          <t>YSTAD</t>
        </is>
      </c>
      <c r="I540" t="n">
        <v>16.1</v>
      </c>
      <c r="J540" t="n">
        <v>1</v>
      </c>
      <c r="K540" t="n">
        <v>0</v>
      </c>
      <c r="L540" t="n">
        <v>0</v>
      </c>
      <c r="M540" t="n">
        <v>0</v>
      </c>
      <c r="N540" t="n">
        <v>0</v>
      </c>
      <c r="O540" t="n">
        <v>0</v>
      </c>
      <c r="P540" t="n">
        <v>0</v>
      </c>
      <c r="Q540" t="n">
        <v>0</v>
      </c>
      <c r="R540" t="n">
        <v>0</v>
      </c>
      <c r="S540" t="n">
        <v>1</v>
      </c>
      <c r="T540" t="n">
        <v>1</v>
      </c>
      <c r="U540" t="n">
        <v>0</v>
      </c>
      <c r="V540" s="2" t="inlineStr">
        <is>
          <t>Lövgroda</t>
        </is>
      </c>
      <c r="W540">
        <f>HYPERLINK("https://klasma.github.io/Logging_1286/artfynd/A 60891-2024 artfynd.xlsx", "A 60891-2024")</f>
        <v/>
      </c>
      <c r="X540">
        <f>HYPERLINK("https://klasma.github.io/Logging_1286/kartor/A 60891-2024 karta.png", "A 60891-2024")</f>
        <v/>
      </c>
      <c r="Y540">
        <f>HYPERLINK("https://klasma.github.io/Logging_1286/kartor_geotiff/A 60891-2024 georefererad karta.tif", "A 60891-2024")</f>
        <v/>
      </c>
      <c r="AA540">
        <f>HYPERLINK("https://klasma.github.io/Logging_1286/klagomål/A 60891-2024 FSC-klagomål.docx", "A 60891-2024")</f>
        <v/>
      </c>
      <c r="AB540">
        <f>HYPERLINK("https://klasma.github.io/Logging_1286/klagomålsmail/A 60891-2024 FSC-klagomål mail.docx", "A 60891-2024")</f>
        <v/>
      </c>
      <c r="AC540">
        <f>HYPERLINK("https://klasma.github.io/Logging_1286/tillsyn/A 60891-2024 tillsynsbegäran.docx", "A 60891-2024")</f>
        <v/>
      </c>
      <c r="AD540">
        <f>HYPERLINK("https://klasma.github.io/Logging_1286/tillsynsmail/A 60891-2024 tillsynsbegäran mail.docx", "A 60891-2024")</f>
        <v/>
      </c>
    </row>
    <row r="541" ht="15" customHeight="1">
      <c r="A541" t="inlineStr">
        <is>
          <t>A 47612-2023</t>
        </is>
      </c>
      <c r="B541" t="inlineStr">
        <is>
          <t>avverkningsanmälan</t>
        </is>
      </c>
      <c r="C541" t="inlineStr">
        <is>
          <t>Föryngringsavverkning</t>
        </is>
      </c>
      <c r="D541" s="1" t="n">
        <v>45203</v>
      </c>
      <c r="E541" s="1" t="n">
        <v>46312</v>
      </c>
      <c r="F541" t="inlineStr">
        <is>
          <t>SKÅNE LÄN</t>
        </is>
      </c>
      <c r="G541" t="inlineStr">
        <is>
          <t>HÖRBY</t>
        </is>
      </c>
      <c r="I541" t="n">
        <v>2.4</v>
      </c>
      <c r="J541" t="n">
        <v>0</v>
      </c>
      <c r="K541" t="n">
        <v>0</v>
      </c>
      <c r="L541" t="n">
        <v>0</v>
      </c>
      <c r="M541" t="n">
        <v>0</v>
      </c>
      <c r="N541" t="n">
        <v>1</v>
      </c>
      <c r="O541" t="n">
        <v>0</v>
      </c>
      <c r="P541" t="n">
        <v>0</v>
      </c>
      <c r="Q541" t="n">
        <v>1</v>
      </c>
      <c r="R541" t="n">
        <v>1</v>
      </c>
      <c r="S541" t="n">
        <v>1</v>
      </c>
      <c r="T541" t="n">
        <v>1</v>
      </c>
      <c r="U541" t="n">
        <v>0</v>
      </c>
      <c r="V541" s="2" t="inlineStr">
        <is>
          <t>Ask</t>
        </is>
      </c>
      <c r="W541">
        <f>HYPERLINK("https://klasma.github.io/Logging_1266/artfynd/A 47612-2023 artfynd.xlsx", "A 47612-2023")</f>
        <v/>
      </c>
      <c r="X541">
        <f>HYPERLINK("https://klasma.github.io/Logging_1266/kartor/A 47612-2023 karta.png", "A 47612-2023")</f>
        <v/>
      </c>
      <c r="Y541">
        <f>HYPERLINK("https://klasma.github.io/Logging_1266/kartor_geotiff/A 47612-2023 georefererad karta.tif", "A 47612-2023")</f>
        <v/>
      </c>
      <c r="AA541">
        <f>HYPERLINK("https://klasma.github.io/Logging_1266/klagomål/A 47612-2023 FSC-klagomål.docx", "A 47612-2023")</f>
        <v/>
      </c>
      <c r="AB541">
        <f>HYPERLINK("https://klasma.github.io/Logging_1266/klagomålsmail/A 47612-2023 FSC-klagomål mail.docx", "A 47612-2023")</f>
        <v/>
      </c>
      <c r="AC541">
        <f>HYPERLINK("https://klasma.github.io/Logging_1266/tillsyn/A 47612-2023 tillsynsbegäran.docx", "A 47612-2023")</f>
        <v/>
      </c>
      <c r="AD541">
        <f>HYPERLINK("https://klasma.github.io/Logging_1266/tillsynsmail/A 47612-2023 tillsynsbegäran mail.docx", "A 47612-2023")</f>
        <v/>
      </c>
    </row>
    <row r="542" ht="15" customHeight="1">
      <c r="A542" t="inlineStr">
        <is>
          <t>A 26965-2023</t>
        </is>
      </c>
      <c r="B542" t="inlineStr">
        <is>
          <t>avverkningsanmälan</t>
        </is>
      </c>
      <c r="C542" t="inlineStr">
        <is>
          <t>Avverkning för att bevara och utveckla /försöksver</t>
        </is>
      </c>
      <c r="D542" s="1" t="n">
        <v>45093</v>
      </c>
      <c r="E542" s="1" t="n">
        <v>46312</v>
      </c>
      <c r="F542" t="inlineStr">
        <is>
          <t>SKÅNE LÄN</t>
        </is>
      </c>
      <c r="G542" t="inlineStr">
        <is>
          <t>KRISTIANSTAD</t>
        </is>
      </c>
      <c r="H542" t="inlineStr">
        <is>
          <t>Sveaskog</t>
        </is>
      </c>
      <c r="I542" t="n">
        <v>9.9</v>
      </c>
      <c r="J542" t="n">
        <v>0</v>
      </c>
      <c r="K542" t="n">
        <v>0</v>
      </c>
      <c r="L542" t="n">
        <v>0</v>
      </c>
      <c r="M542" t="n">
        <v>1</v>
      </c>
      <c r="N542" t="n">
        <v>0</v>
      </c>
      <c r="O542" t="n">
        <v>0</v>
      </c>
      <c r="P542" t="n">
        <v>0</v>
      </c>
      <c r="Q542" t="n">
        <v>1</v>
      </c>
      <c r="R542" t="n">
        <v>1</v>
      </c>
      <c r="S542" t="n">
        <v>1</v>
      </c>
      <c r="T542" t="n">
        <v>4</v>
      </c>
      <c r="U542" t="n">
        <v>0</v>
      </c>
      <c r="V542" s="2" t="inlineStr">
        <is>
          <t>Sjötåtel</t>
        </is>
      </c>
      <c r="W542">
        <f>HYPERLINK("https://klasma.github.io/Logging_1290/artfynd/A 26965-2023 artfynd.xlsx", "A 26965-2023")</f>
        <v/>
      </c>
      <c r="X542">
        <f>HYPERLINK("https://klasma.github.io/Logging_1290/kartor/A 26965-2023 karta.png", "A 26965-2023")</f>
        <v/>
      </c>
      <c r="Y542">
        <f>HYPERLINK("https://klasma.github.io/Logging_1290/kartor_geotiff/A 26965-2023 georefererad karta.tif", "A 26965-2023")</f>
        <v/>
      </c>
      <c r="AA542">
        <f>HYPERLINK("https://klasma.github.io/Logging_1290/klagomål/A 26965-2023 FSC-klagomål.docx", "A 26965-2023")</f>
        <v/>
      </c>
      <c r="AB542">
        <f>HYPERLINK("https://klasma.github.io/Logging_1290/klagomålsmail/A 26965-2023 FSC-klagomål mail.docx", "A 26965-2023")</f>
        <v/>
      </c>
      <c r="AC542">
        <f>HYPERLINK("https://klasma.github.io/Logging_1290/tillsyn/A 26965-2023 tillsynsbegäran.docx", "A 26965-2023")</f>
        <v/>
      </c>
      <c r="AD542">
        <f>HYPERLINK("https://klasma.github.io/Logging_1290/tillsynsmail/A 26965-2023 tillsynsbegäran mail.docx", "A 26965-2023")</f>
        <v/>
      </c>
    </row>
    <row r="543" ht="15" customHeight="1">
      <c r="A543" t="inlineStr">
        <is>
          <t>A 34360-2023</t>
        </is>
      </c>
      <c r="B543" t="inlineStr">
        <is>
          <t>avverkningsanmälan</t>
        </is>
      </c>
      <c r="C543" t="inlineStr">
        <is>
          <t>Föryngringsavverkning</t>
        </is>
      </c>
      <c r="D543" s="1" t="n">
        <v>45139</v>
      </c>
      <c r="E543" s="1" t="n">
        <v>46312</v>
      </c>
      <c r="F543" t="inlineStr">
        <is>
          <t>SKÅNE LÄN</t>
        </is>
      </c>
      <c r="G543" t="inlineStr">
        <is>
          <t>KRISTIANSTAD</t>
        </is>
      </c>
      <c r="I543" t="n">
        <v>2.2</v>
      </c>
      <c r="J543" t="n">
        <v>0</v>
      </c>
      <c r="K543" t="n">
        <v>0</v>
      </c>
      <c r="L543" t="n">
        <v>0</v>
      </c>
      <c r="M543" t="n">
        <v>1</v>
      </c>
      <c r="N543" t="n">
        <v>0</v>
      </c>
      <c r="O543" t="n">
        <v>0</v>
      </c>
      <c r="P543" t="n">
        <v>0</v>
      </c>
      <c r="Q543" t="n">
        <v>1</v>
      </c>
      <c r="R543" t="n">
        <v>1</v>
      </c>
      <c r="S543" t="n">
        <v>1</v>
      </c>
      <c r="T543" t="n">
        <v>1</v>
      </c>
      <c r="U543" t="n">
        <v>1</v>
      </c>
      <c r="V543" s="2" t="inlineStr">
        <is>
          <t>Småvänderot</t>
        </is>
      </c>
      <c r="W543">
        <f>HYPERLINK("https://klasma.github.io/Logging_1290/artfynd/A 34360-2023 artfynd.xlsx", "A 34360-2023")</f>
        <v/>
      </c>
      <c r="X543">
        <f>HYPERLINK("https://klasma.github.io/Logging_1290/kartor/A 34360-2023 karta.png", "A 34360-2023")</f>
        <v/>
      </c>
      <c r="Y543">
        <f>HYPERLINK("https://klasma.github.io/Logging_1290/kartor_geotiff/A 34360-2023 georefererad karta.tif", "A 34360-2023")</f>
        <v/>
      </c>
      <c r="AA543">
        <f>HYPERLINK("https://klasma.github.io/Logging_1290/klagomål/A 34360-2023 FSC-klagomål.docx", "A 34360-2023")</f>
        <v/>
      </c>
      <c r="AB543">
        <f>HYPERLINK("https://klasma.github.io/Logging_1290/klagomålsmail/A 34360-2023 FSC-klagomål mail.docx", "A 34360-2023")</f>
        <v/>
      </c>
      <c r="AC543">
        <f>HYPERLINK("https://klasma.github.io/Logging_1290/tillsyn/A 34360-2023 tillsynsbegäran.docx", "A 34360-2023")</f>
        <v/>
      </c>
      <c r="AD543">
        <f>HYPERLINK("https://klasma.github.io/Logging_1290/tillsynsmail/A 34360-2023 tillsynsbegäran mail.docx", "A 34360-2023")</f>
        <v/>
      </c>
    </row>
    <row r="544" ht="15" customHeight="1">
      <c r="A544" t="inlineStr">
        <is>
          <t>A 34834-2023</t>
        </is>
      </c>
      <c r="B544" t="inlineStr">
        <is>
          <t>avverkningsanmälan</t>
        </is>
      </c>
      <c r="C544" t="inlineStr">
        <is>
          <t>Föryngringsavverkning</t>
        </is>
      </c>
      <c r="D544" s="1" t="n">
        <v>45141</v>
      </c>
      <c r="E544" s="1" t="n">
        <v>46312</v>
      </c>
      <c r="F544" t="inlineStr">
        <is>
          <t>SKÅNE LÄN</t>
        </is>
      </c>
      <c r="G544" t="inlineStr">
        <is>
          <t>HÄSSLEHOLM</t>
        </is>
      </c>
      <c r="I544" t="n">
        <v>1</v>
      </c>
      <c r="J544" t="n">
        <v>1</v>
      </c>
      <c r="K544" t="n">
        <v>0</v>
      </c>
      <c r="L544" t="n">
        <v>0</v>
      </c>
      <c r="M544" t="n">
        <v>0</v>
      </c>
      <c r="N544" t="n">
        <v>0</v>
      </c>
      <c r="O544" t="n">
        <v>0</v>
      </c>
      <c r="P544" t="n">
        <v>0</v>
      </c>
      <c r="Q544" t="n">
        <v>0</v>
      </c>
      <c r="R544" t="n">
        <v>0</v>
      </c>
      <c r="S544" t="n">
        <v>1</v>
      </c>
      <c r="T544" t="n">
        <v>1</v>
      </c>
      <c r="U544" t="n">
        <v>0</v>
      </c>
      <c r="V544" s="2" t="inlineStr">
        <is>
          <t>Lopplummer (aggregat)</t>
        </is>
      </c>
      <c r="W544">
        <f>HYPERLINK("https://klasma.github.io/Logging_1293/artfynd/A 34834-2023 artfynd.xlsx", "A 34834-2023")</f>
        <v/>
      </c>
      <c r="X544">
        <f>HYPERLINK("https://klasma.github.io/Logging_1293/kartor/A 34834-2023 karta.png", "A 34834-2023")</f>
        <v/>
      </c>
      <c r="Y544">
        <f>HYPERLINK("https://klasma.github.io/Logging_1293/kartor_geotiff/A 34834-2023 georefererad karta.tif", "A 34834-2023")</f>
        <v/>
      </c>
      <c r="AA544">
        <f>HYPERLINK("https://klasma.github.io/Logging_1293/klagomål/A 34834-2023 FSC-klagomål.docx", "A 34834-2023")</f>
        <v/>
      </c>
      <c r="AB544">
        <f>HYPERLINK("https://klasma.github.io/Logging_1293/klagomålsmail/A 34834-2023 FSC-klagomål mail.docx", "A 34834-2023")</f>
        <v/>
      </c>
      <c r="AC544">
        <f>HYPERLINK("https://klasma.github.io/Logging_1293/tillsyn/A 34834-2023 tillsynsbegäran.docx", "A 34834-2023")</f>
        <v/>
      </c>
      <c r="AD544">
        <f>HYPERLINK("https://klasma.github.io/Logging_1293/tillsynsmail/A 34834-2023 tillsynsbegäran mail.docx", "A 34834-2023")</f>
        <v/>
      </c>
    </row>
    <row r="545" ht="15" customHeight="1">
      <c r="A545" t="inlineStr">
        <is>
          <t>A 33486-2022</t>
        </is>
      </c>
      <c r="B545" t="inlineStr">
        <is>
          <t>avverkningsanmälan</t>
        </is>
      </c>
      <c r="C545" t="inlineStr">
        <is>
          <t>Föryngringsavverkning</t>
        </is>
      </c>
      <c r="D545" s="1" t="n">
        <v>44788</v>
      </c>
      <c r="E545" s="1" t="n">
        <v>46312</v>
      </c>
      <c r="F545" t="inlineStr">
        <is>
          <t>SKÅNE LÄN</t>
        </is>
      </c>
      <c r="G545" t="inlineStr">
        <is>
          <t>OSBY</t>
        </is>
      </c>
      <c r="I545" t="n">
        <v>7.8</v>
      </c>
      <c r="J545" t="n">
        <v>1</v>
      </c>
      <c r="K545" t="n">
        <v>0</v>
      </c>
      <c r="L545" t="n">
        <v>1</v>
      </c>
      <c r="M545" t="n">
        <v>0</v>
      </c>
      <c r="N545" t="n">
        <v>0</v>
      </c>
      <c r="O545" t="n">
        <v>0</v>
      </c>
      <c r="P545" t="n">
        <v>0</v>
      </c>
      <c r="Q545" t="n">
        <v>1</v>
      </c>
      <c r="R545" t="n">
        <v>0</v>
      </c>
      <c r="S545" t="n">
        <v>1</v>
      </c>
      <c r="T545" t="n">
        <v>2</v>
      </c>
      <c r="U545" t="n">
        <v>2</v>
      </c>
      <c r="V545" s="2" t="inlineStr">
        <is>
          <t>Sparvuggla</t>
        </is>
      </c>
      <c r="W545">
        <f>HYPERLINK("https://klasma.github.io/Logging_1273/artfynd/A 33486-2022 artfynd.xlsx", "A 33486-2022")</f>
        <v/>
      </c>
      <c r="X545">
        <f>HYPERLINK("https://klasma.github.io/Logging_1273/kartor/A 33486-2022 karta.png", "A 33486-2022")</f>
        <v/>
      </c>
      <c r="Y545">
        <f>HYPERLINK("https://klasma.github.io/Logging_1273/kartor_geotiff/A 33486-2022 georefererad karta.tif", "A 33486-2022")</f>
        <v/>
      </c>
      <c r="AA545">
        <f>HYPERLINK("https://klasma.github.io/Logging_1273/klagomål/A 33486-2022 FSC-klagomål.docx", "A 33486-2022")</f>
        <v/>
      </c>
      <c r="AB545">
        <f>HYPERLINK("https://klasma.github.io/Logging_1273/klagomålsmail/A 33486-2022 FSC-klagomål mail.docx", "A 33486-2022")</f>
        <v/>
      </c>
      <c r="AC545">
        <f>HYPERLINK("https://klasma.github.io/Logging_1273/tillsyn/A 33486-2022 tillsynsbegäran.docx", "A 33486-2022")</f>
        <v/>
      </c>
      <c r="AD545">
        <f>HYPERLINK("https://klasma.github.io/Logging_1273/tillsynsmail/A 33486-2022 tillsynsbegäran mail.docx", "A 33486-2022")</f>
        <v/>
      </c>
      <c r="AE545">
        <f>HYPERLINK("https://klasma.github.io/Logging_1273/fåglar/A 33486-2022 prioriterade fågelarter.docx", "A 33486-2022")</f>
        <v/>
      </c>
    </row>
    <row r="546" ht="15" customHeight="1">
      <c r="A546" t="inlineStr">
        <is>
          <t>A 29272-2023</t>
        </is>
      </c>
      <c r="B546" t="inlineStr">
        <is>
          <t>avverkningsanmälan</t>
        </is>
      </c>
      <c r="C546" t="inlineStr">
        <is>
          <t>Föryngringsavverkning</t>
        </is>
      </c>
      <c r="D546" s="1" t="n">
        <v>45105</v>
      </c>
      <c r="E546" s="1" t="n">
        <v>46312</v>
      </c>
      <c r="F546" t="inlineStr">
        <is>
          <t>SKÅNE LÄN</t>
        </is>
      </c>
      <c r="G546" t="inlineStr">
        <is>
          <t>HÄSSLEHOLM</t>
        </is>
      </c>
      <c r="I546" t="n">
        <v>2.2</v>
      </c>
      <c r="J546" t="n">
        <v>0</v>
      </c>
      <c r="K546" t="n">
        <v>1</v>
      </c>
      <c r="L546" t="n">
        <v>0</v>
      </c>
      <c r="M546" t="n">
        <v>0</v>
      </c>
      <c r="N546" t="n">
        <v>0</v>
      </c>
      <c r="O546" t="n">
        <v>0</v>
      </c>
      <c r="P546" t="n">
        <v>0</v>
      </c>
      <c r="Q546" t="n">
        <v>0</v>
      </c>
      <c r="R546" t="n">
        <v>0</v>
      </c>
      <c r="S546" t="n">
        <v>1</v>
      </c>
      <c r="T546" t="n">
        <v>1</v>
      </c>
      <c r="U546" t="n">
        <v>1</v>
      </c>
      <c r="V546" s="2" t="inlineStr">
        <is>
          <t>Sotlav</t>
        </is>
      </c>
      <c r="W546">
        <f>HYPERLINK("https://klasma.github.io/Logging_1293/artfynd/A 29272-2023 artfynd.xlsx", "A 29272-2023")</f>
        <v/>
      </c>
      <c r="X546">
        <f>HYPERLINK("https://klasma.github.io/Logging_1293/kartor/A 29272-2023 karta.png", "A 29272-2023")</f>
        <v/>
      </c>
      <c r="Y546">
        <f>HYPERLINK("https://klasma.github.io/Logging_1293/kartor_geotiff/A 29272-2023 georefererad karta.tif", "A 29272-2023")</f>
        <v/>
      </c>
      <c r="AA546">
        <f>HYPERLINK("https://klasma.github.io/Logging_1293/klagomål/A 29272-2023 FSC-klagomål.docx", "A 29272-2023")</f>
        <v/>
      </c>
      <c r="AB546">
        <f>HYPERLINK("https://klasma.github.io/Logging_1293/klagomålsmail/A 29272-2023 FSC-klagomål mail.docx", "A 29272-2023")</f>
        <v/>
      </c>
      <c r="AC546">
        <f>HYPERLINK("https://klasma.github.io/Logging_1293/tillsyn/A 29272-2023 tillsynsbegäran.docx", "A 29272-2023")</f>
        <v/>
      </c>
      <c r="AD546">
        <f>HYPERLINK("https://klasma.github.io/Logging_1293/tillsynsmail/A 29272-2023 tillsynsbegäran mail.docx", "A 29272-2023")</f>
        <v/>
      </c>
    </row>
    <row r="547" ht="15" customHeight="1">
      <c r="A547" t="inlineStr">
        <is>
          <t>A 57533-2025</t>
        </is>
      </c>
      <c r="B547" t="inlineStr">
        <is>
          <t>avverkningsanmälan</t>
        </is>
      </c>
      <c r="C547" t="inlineStr">
        <is>
          <t>Föryngringsavverkning</t>
        </is>
      </c>
      <c r="D547" s="1" t="n">
        <v>45980</v>
      </c>
      <c r="E547" s="1" t="n">
        <v>46312</v>
      </c>
      <c r="F547" t="inlineStr">
        <is>
          <t>SKÅNE LÄN</t>
        </is>
      </c>
      <c r="G547" t="inlineStr">
        <is>
          <t>HÄSSLEHOLM</t>
        </is>
      </c>
      <c r="I547" t="n">
        <v>0.9</v>
      </c>
      <c r="J547" t="n">
        <v>0</v>
      </c>
      <c r="K547" t="n">
        <v>1</v>
      </c>
      <c r="L547" t="n">
        <v>0</v>
      </c>
      <c r="M547" t="n">
        <v>0</v>
      </c>
      <c r="N547" t="n">
        <v>0</v>
      </c>
      <c r="O547" t="n">
        <v>0</v>
      </c>
      <c r="P547" t="n">
        <v>0</v>
      </c>
      <c r="Q547" t="n">
        <v>0</v>
      </c>
      <c r="R547" t="n">
        <v>0</v>
      </c>
      <c r="S547" t="n">
        <v>1</v>
      </c>
      <c r="T547" t="n">
        <v>1</v>
      </c>
      <c r="U547" t="n">
        <v>0</v>
      </c>
      <c r="V547" s="2" t="inlineStr">
        <is>
          <t>Strutbräken</t>
        </is>
      </c>
      <c r="W547">
        <f>HYPERLINK("https://klasma.github.io/Logging_1293/artfynd/A 57533-2025 artfynd.xlsx", "A 57533-2025")</f>
        <v/>
      </c>
      <c r="X547">
        <f>HYPERLINK("https://klasma.github.io/Logging_1293/kartor/A 57533-2025 karta.png", "A 57533-2025")</f>
        <v/>
      </c>
      <c r="Y547">
        <f>HYPERLINK("https://klasma.github.io/Logging_1293/kartor_geotiff/A 57533-2025 georefererad karta.tif", "A 57533-2025")</f>
        <v/>
      </c>
      <c r="AA547">
        <f>HYPERLINK("https://klasma.github.io/Logging_1293/klagomål/A 57533-2025 FSC-klagomål.docx", "A 57533-2025")</f>
        <v/>
      </c>
      <c r="AB547">
        <f>HYPERLINK("https://klasma.github.io/Logging_1293/klagomålsmail/A 57533-2025 FSC-klagomål mail.docx", "A 57533-2025")</f>
        <v/>
      </c>
      <c r="AC547">
        <f>HYPERLINK("https://klasma.github.io/Logging_1293/tillsyn/A 57533-2025 tillsynsbegäran.docx", "A 57533-2025")</f>
        <v/>
      </c>
      <c r="AD547">
        <f>HYPERLINK("https://klasma.github.io/Logging_1293/tillsynsmail/A 57533-2025 tillsynsbegäran mail.docx", "A 57533-2025")</f>
        <v/>
      </c>
    </row>
    <row r="548" ht="15" customHeight="1">
      <c r="A548" t="inlineStr">
        <is>
          <t>A 57429-2025</t>
        </is>
      </c>
      <c r="B548" t="inlineStr">
        <is>
          <t>avverkningsanmälan</t>
        </is>
      </c>
      <c r="C548" t="inlineStr">
        <is>
          <t>Föryngringsavverkning</t>
        </is>
      </c>
      <c r="D548" s="1" t="n">
        <v>45980</v>
      </c>
      <c r="E548" s="1" t="n">
        <v>46312</v>
      </c>
      <c r="F548" t="inlineStr">
        <is>
          <t>SKÅNE LÄN</t>
        </is>
      </c>
      <c r="G548" t="inlineStr">
        <is>
          <t>ÖRKELLJUNGA</t>
        </is>
      </c>
      <c r="I548" t="n">
        <v>2.8</v>
      </c>
      <c r="J548" t="n">
        <v>0</v>
      </c>
      <c r="K548" t="n">
        <v>0</v>
      </c>
      <c r="L548" t="n">
        <v>0</v>
      </c>
      <c r="M548" t="n">
        <v>1</v>
      </c>
      <c r="N548" t="n">
        <v>0</v>
      </c>
      <c r="O548" t="n">
        <v>0</v>
      </c>
      <c r="P548" t="n">
        <v>0</v>
      </c>
      <c r="Q548" t="n">
        <v>1</v>
      </c>
      <c r="R548" t="n">
        <v>1</v>
      </c>
      <c r="S548" t="n">
        <v>1</v>
      </c>
      <c r="T548" t="n">
        <v>1</v>
      </c>
      <c r="U548" t="n">
        <v>0</v>
      </c>
      <c r="V548" s="2" t="inlineStr">
        <is>
          <t>Slåttergubbe</t>
        </is>
      </c>
      <c r="W548">
        <f>HYPERLINK("https://klasma.github.io/Logging_1257/artfynd/A 57429-2025 artfynd.xlsx", "A 57429-2025")</f>
        <v/>
      </c>
      <c r="X548">
        <f>HYPERLINK("https://klasma.github.io/Logging_1257/kartor/A 57429-2025 karta.png", "A 57429-2025")</f>
        <v/>
      </c>
      <c r="Y548">
        <f>HYPERLINK("https://klasma.github.io/Logging_1257/kartor_geotiff/A 57429-2025 georefererad karta.tif", "A 57429-2025")</f>
        <v/>
      </c>
      <c r="AA548">
        <f>HYPERLINK("https://klasma.github.io/Logging_1257/klagomål/A 57429-2025 FSC-klagomål.docx", "A 57429-2025")</f>
        <v/>
      </c>
      <c r="AB548">
        <f>HYPERLINK("https://klasma.github.io/Logging_1257/klagomålsmail/A 57429-2025 FSC-klagomål mail.docx", "A 57429-2025")</f>
        <v/>
      </c>
      <c r="AC548">
        <f>HYPERLINK("https://klasma.github.io/Logging_1257/tillsyn/A 57429-2025 tillsynsbegäran.docx", "A 57429-2025")</f>
        <v/>
      </c>
      <c r="AD548">
        <f>HYPERLINK("https://klasma.github.io/Logging_1257/tillsynsmail/A 57429-2025 tillsynsbegäran mail.docx", "A 57429-2025")</f>
        <v/>
      </c>
    </row>
    <row r="549" ht="15" customHeight="1">
      <c r="A549" t="inlineStr">
        <is>
          <t>A 14232-2023</t>
        </is>
      </c>
      <c r="B549" t="inlineStr">
        <is>
          <t>avverkningsanmälan</t>
        </is>
      </c>
      <c r="C549" t="inlineStr">
        <is>
          <t>Föryngringsavverkning</t>
        </is>
      </c>
      <c r="D549" s="1" t="n">
        <v>45009</v>
      </c>
      <c r="E549" s="1" t="n">
        <v>46312</v>
      </c>
      <c r="F549" t="inlineStr">
        <is>
          <t>SKÅNE LÄN</t>
        </is>
      </c>
      <c r="G549" t="inlineStr">
        <is>
          <t>KRISTIANSTAD</t>
        </is>
      </c>
      <c r="I549" t="n">
        <v>7.1</v>
      </c>
      <c r="J549" t="n">
        <v>1</v>
      </c>
      <c r="K549" t="n">
        <v>0</v>
      </c>
      <c r="L549" t="n">
        <v>0</v>
      </c>
      <c r="M549" t="n">
        <v>0</v>
      </c>
      <c r="N549" t="n">
        <v>0</v>
      </c>
      <c r="O549" t="n">
        <v>0</v>
      </c>
      <c r="P549" t="n">
        <v>0</v>
      </c>
      <c r="Q549" t="n">
        <v>0</v>
      </c>
      <c r="R549" t="n">
        <v>0</v>
      </c>
      <c r="S549" t="n">
        <v>1</v>
      </c>
      <c r="T549" t="n">
        <v>1</v>
      </c>
      <c r="U549" t="n">
        <v>1</v>
      </c>
      <c r="V549" s="2" t="inlineStr">
        <is>
          <t>Gullviva</t>
        </is>
      </c>
      <c r="W549">
        <f>HYPERLINK("https://klasma.github.io/Logging_1290/artfynd/A 14232-2023 artfynd.xlsx", "A 14232-2023")</f>
        <v/>
      </c>
      <c r="X549">
        <f>HYPERLINK("https://klasma.github.io/Logging_1290/kartor/A 14232-2023 karta.png", "A 14232-2023")</f>
        <v/>
      </c>
      <c r="Y549">
        <f>HYPERLINK("https://klasma.github.io/Logging_1290/kartor_geotiff/A 14232-2023 georefererad karta.tif", "A 14232-2023")</f>
        <v/>
      </c>
      <c r="AA549">
        <f>HYPERLINK("https://klasma.github.io/Logging_1290/klagomål/A 14232-2023 FSC-klagomål.docx", "A 14232-2023")</f>
        <v/>
      </c>
      <c r="AB549">
        <f>HYPERLINK("https://klasma.github.io/Logging_1290/klagomålsmail/A 14232-2023 FSC-klagomål mail.docx", "A 14232-2023")</f>
        <v/>
      </c>
      <c r="AC549">
        <f>HYPERLINK("https://klasma.github.io/Logging_1290/tillsyn/A 14232-2023 tillsynsbegäran.docx", "A 14232-2023")</f>
        <v/>
      </c>
      <c r="AD549">
        <f>HYPERLINK("https://klasma.github.io/Logging_1290/tillsynsmail/A 14232-2023 tillsynsbegäran mail.docx", "A 14232-2023")</f>
        <v/>
      </c>
    </row>
    <row r="550" ht="15" customHeight="1">
      <c r="A550" t="inlineStr">
        <is>
          <t>A 17396-2024</t>
        </is>
      </c>
      <c r="B550" t="inlineStr">
        <is>
          <t>avverkningsanmälan</t>
        </is>
      </c>
      <c r="C550" t="inlineStr">
        <is>
          <t>Föryngringsavverkning</t>
        </is>
      </c>
      <c r="D550" s="1" t="n">
        <v>45414</v>
      </c>
      <c r="E550" s="1" t="n">
        <v>46312</v>
      </c>
      <c r="F550" t="inlineStr">
        <is>
          <t>SKÅNE LÄN</t>
        </is>
      </c>
      <c r="G550" t="inlineStr">
        <is>
          <t>BROMÖLLA</t>
        </is>
      </c>
      <c r="I550" t="n">
        <v>1.8</v>
      </c>
      <c r="J550" t="n">
        <v>0</v>
      </c>
      <c r="K550" t="n">
        <v>1</v>
      </c>
      <c r="L550" t="n">
        <v>0</v>
      </c>
      <c r="M550" t="n">
        <v>0</v>
      </c>
      <c r="N550" t="n">
        <v>0</v>
      </c>
      <c r="O550" t="n">
        <v>0</v>
      </c>
      <c r="P550" t="n">
        <v>0</v>
      </c>
      <c r="Q550" t="n">
        <v>0</v>
      </c>
      <c r="R550" t="n">
        <v>0</v>
      </c>
      <c r="S550" t="n">
        <v>1</v>
      </c>
      <c r="T550" t="n">
        <v>1</v>
      </c>
      <c r="U550" t="n">
        <v>0</v>
      </c>
      <c r="V550" s="2" t="inlineStr">
        <is>
          <t>Safsa</t>
        </is>
      </c>
      <c r="W550">
        <f>HYPERLINK("https://klasma.github.io/Logging_1272/artfynd/A 17396-2024 artfynd.xlsx", "A 17396-2024")</f>
        <v/>
      </c>
      <c r="X550">
        <f>HYPERLINK("https://klasma.github.io/Logging_1272/kartor/A 17396-2024 karta.png", "A 17396-2024")</f>
        <v/>
      </c>
      <c r="Y550">
        <f>HYPERLINK("https://klasma.github.io/Logging_1272/kartor_geotiff/A 17396-2024 georefererad karta.tif", "A 17396-2024")</f>
        <v/>
      </c>
      <c r="AA550">
        <f>HYPERLINK("https://klasma.github.io/Logging_1272/klagomål/A 17396-2024 FSC-klagomål.docx", "A 17396-2024")</f>
        <v/>
      </c>
      <c r="AB550">
        <f>HYPERLINK("https://klasma.github.io/Logging_1272/klagomålsmail/A 17396-2024 FSC-klagomål mail.docx", "A 17396-2024")</f>
        <v/>
      </c>
      <c r="AC550">
        <f>HYPERLINK("https://klasma.github.io/Logging_1272/tillsyn/A 17396-2024 tillsynsbegäran.docx", "A 17396-2024")</f>
        <v/>
      </c>
      <c r="AD550">
        <f>HYPERLINK("https://klasma.github.io/Logging_1272/tillsynsmail/A 17396-2024 tillsynsbegäran mail.docx", "A 17396-2024")</f>
        <v/>
      </c>
    </row>
    <row r="551" ht="15" customHeight="1">
      <c r="A551" t="inlineStr">
        <is>
          <t>A 58474-2025</t>
        </is>
      </c>
      <c r="B551" t="inlineStr">
        <is>
          <t>avverkningsanmälan</t>
        </is>
      </c>
      <c r="C551" t="inlineStr">
        <is>
          <t>Föryngringsavverkning</t>
        </is>
      </c>
      <c r="D551" s="1" t="n">
        <v>45985</v>
      </c>
      <c r="E551" s="1" t="n">
        <v>46312</v>
      </c>
      <c r="F551" t="inlineStr">
        <is>
          <t>SKÅNE LÄN</t>
        </is>
      </c>
      <c r="G551" t="inlineStr">
        <is>
          <t>KRISTIANSTAD</t>
        </is>
      </c>
      <c r="I551" t="n">
        <v>4.7</v>
      </c>
      <c r="J551" t="n">
        <v>1</v>
      </c>
      <c r="K551" t="n">
        <v>0</v>
      </c>
      <c r="L551" t="n">
        <v>0</v>
      </c>
      <c r="M551" t="n">
        <v>0</v>
      </c>
      <c r="N551" t="n">
        <v>1</v>
      </c>
      <c r="O551" t="n">
        <v>0</v>
      </c>
      <c r="P551" t="n">
        <v>0</v>
      </c>
      <c r="Q551" t="n">
        <v>1</v>
      </c>
      <c r="R551" t="n">
        <v>1</v>
      </c>
      <c r="S551" t="n">
        <v>1</v>
      </c>
      <c r="T551" t="n">
        <v>1</v>
      </c>
      <c r="U551" t="n">
        <v>1</v>
      </c>
      <c r="V551" s="2" t="inlineStr">
        <is>
          <t>Storspov</t>
        </is>
      </c>
      <c r="W551">
        <f>HYPERLINK("https://klasma.github.io/Logging_1290/artfynd/A 58474-2025 artfynd.xlsx", "A 58474-2025")</f>
        <v/>
      </c>
      <c r="X551">
        <f>HYPERLINK("https://klasma.github.io/Logging_1290/kartor/A 58474-2025 karta.png", "A 58474-2025")</f>
        <v/>
      </c>
      <c r="Y551">
        <f>HYPERLINK("https://klasma.github.io/Logging_1290/kartor_geotiff/A 58474-2025 georefererad karta.tif", "A 58474-2025")</f>
        <v/>
      </c>
      <c r="AA551">
        <f>HYPERLINK("https://klasma.github.io/Logging_1290/klagomål/A 58474-2025 FSC-klagomål.docx", "A 58474-2025")</f>
        <v/>
      </c>
      <c r="AB551">
        <f>HYPERLINK("https://klasma.github.io/Logging_1290/klagomålsmail/A 58474-2025 FSC-klagomål mail.docx", "A 58474-2025")</f>
        <v/>
      </c>
      <c r="AC551">
        <f>HYPERLINK("https://klasma.github.io/Logging_1290/tillsyn/A 58474-2025 tillsynsbegäran.docx", "A 58474-2025")</f>
        <v/>
      </c>
      <c r="AD551">
        <f>HYPERLINK("https://klasma.github.io/Logging_1290/tillsynsmail/A 58474-2025 tillsynsbegäran mail.docx", "A 58474-2025")</f>
        <v/>
      </c>
    </row>
    <row r="552" ht="15" customHeight="1">
      <c r="A552" t="inlineStr">
        <is>
          <t>A 61007-2024</t>
        </is>
      </c>
      <c r="B552" t="inlineStr">
        <is>
          <t>avverkningsanmälan</t>
        </is>
      </c>
      <c r="C552" t="inlineStr">
        <is>
          <t>Avverkning för annat ändamål</t>
        </is>
      </c>
      <c r="D552" s="1" t="n">
        <v>45645</v>
      </c>
      <c r="E552" s="1" t="n">
        <v>46312</v>
      </c>
      <c r="F552" t="inlineStr">
        <is>
          <t>SKÅNE LÄN</t>
        </is>
      </c>
      <c r="G552" t="inlineStr">
        <is>
          <t>HÖÖR</t>
        </is>
      </c>
      <c r="H552" t="inlineStr">
        <is>
          <t>Kommuner</t>
        </is>
      </c>
      <c r="I552" t="n">
        <v>0.5</v>
      </c>
      <c r="J552" t="n">
        <v>1</v>
      </c>
      <c r="K552" t="n">
        <v>0</v>
      </c>
      <c r="L552" t="n">
        <v>1</v>
      </c>
      <c r="M552" t="n">
        <v>0</v>
      </c>
      <c r="N552" t="n">
        <v>0</v>
      </c>
      <c r="O552" t="n">
        <v>0</v>
      </c>
      <c r="P552" t="n">
        <v>0</v>
      </c>
      <c r="Q552" t="n">
        <v>1</v>
      </c>
      <c r="R552" t="n">
        <v>0</v>
      </c>
      <c r="S552" t="n">
        <v>1</v>
      </c>
      <c r="T552" t="n">
        <v>1</v>
      </c>
      <c r="U552" t="n">
        <v>0</v>
      </c>
      <c r="V552" s="2" t="inlineStr">
        <is>
          <t>Kungsfiskare</t>
        </is>
      </c>
      <c r="W552">
        <f>HYPERLINK("https://klasma.github.io/Logging_1267/artfynd/A 61007-2024 artfynd.xlsx", "A 61007-2024")</f>
        <v/>
      </c>
      <c r="X552">
        <f>HYPERLINK("https://klasma.github.io/Logging_1267/kartor/A 61007-2024 karta.png", "A 61007-2024")</f>
        <v/>
      </c>
      <c r="Y552">
        <f>HYPERLINK("https://klasma.github.io/Logging_1267/kartor_geotiff/A 61007-2024 georefererad karta.tif", "A 61007-2024")</f>
        <v/>
      </c>
      <c r="AA552">
        <f>HYPERLINK("https://klasma.github.io/Logging_1267/klagomål/A 61007-2024 FSC-klagomål.docx", "A 61007-2024")</f>
        <v/>
      </c>
      <c r="AB552">
        <f>HYPERLINK("https://klasma.github.io/Logging_1267/klagomålsmail/A 61007-2024 FSC-klagomål mail.docx", "A 61007-2024")</f>
        <v/>
      </c>
      <c r="AC552">
        <f>HYPERLINK("https://klasma.github.io/Logging_1267/tillsyn/A 61007-2024 tillsynsbegäran.docx", "A 61007-2024")</f>
        <v/>
      </c>
      <c r="AD552">
        <f>HYPERLINK("https://klasma.github.io/Logging_1267/tillsynsmail/A 61007-2024 tillsynsbegäran mail.docx", "A 61007-2024")</f>
        <v/>
      </c>
    </row>
    <row r="553" ht="15" customHeight="1">
      <c r="A553" t="inlineStr">
        <is>
          <t>A 8290-2024</t>
        </is>
      </c>
      <c r="B553" t="inlineStr">
        <is>
          <t>avverkningsanmälan</t>
        </is>
      </c>
      <c r="C553" t="inlineStr">
        <is>
          <t>Föryngringsavverkning</t>
        </is>
      </c>
      <c r="D553" s="1" t="n">
        <v>45352</v>
      </c>
      <c r="E553" s="1" t="n">
        <v>46312</v>
      </c>
      <c r="F553" t="inlineStr">
        <is>
          <t>SKÅNE LÄN</t>
        </is>
      </c>
      <c r="G553" t="inlineStr">
        <is>
          <t>KRISTIANSTAD</t>
        </is>
      </c>
      <c r="I553" t="n">
        <v>0.7</v>
      </c>
      <c r="J553" t="n">
        <v>0</v>
      </c>
      <c r="K553" t="n">
        <v>1</v>
      </c>
      <c r="L553" t="n">
        <v>0</v>
      </c>
      <c r="M553" t="n">
        <v>0</v>
      </c>
      <c r="N553" t="n">
        <v>0</v>
      </c>
      <c r="O553" t="n">
        <v>0</v>
      </c>
      <c r="P553" t="n">
        <v>0</v>
      </c>
      <c r="Q553" t="n">
        <v>0</v>
      </c>
      <c r="R553" t="n">
        <v>0</v>
      </c>
      <c r="S553" t="n">
        <v>1</v>
      </c>
      <c r="T553" t="n">
        <v>1</v>
      </c>
      <c r="U553" t="n">
        <v>0</v>
      </c>
      <c r="V553" s="2" t="inlineStr">
        <is>
          <t>Lömsk flugsvamp</t>
        </is>
      </c>
      <c r="W553">
        <f>HYPERLINK("https://klasma.github.io/Logging_1290/artfynd/A 8290-2024 artfynd.xlsx", "A 8290-2024")</f>
        <v/>
      </c>
      <c r="X553">
        <f>HYPERLINK("https://klasma.github.io/Logging_1290/kartor/A 8290-2024 karta.png", "A 8290-2024")</f>
        <v/>
      </c>
      <c r="Y553">
        <f>HYPERLINK("https://klasma.github.io/Logging_1290/kartor_geotiff/A 8290-2024 georefererad karta.tif", "A 8290-2024")</f>
        <v/>
      </c>
      <c r="AA553">
        <f>HYPERLINK("https://klasma.github.io/Logging_1290/klagomål/A 8290-2024 FSC-klagomål.docx", "A 8290-2024")</f>
        <v/>
      </c>
      <c r="AB553">
        <f>HYPERLINK("https://klasma.github.io/Logging_1290/klagomålsmail/A 8290-2024 FSC-klagomål mail.docx", "A 8290-2024")</f>
        <v/>
      </c>
      <c r="AC553">
        <f>HYPERLINK("https://klasma.github.io/Logging_1290/tillsyn/A 8290-2024 tillsynsbegäran.docx", "A 8290-2024")</f>
        <v/>
      </c>
      <c r="AD553">
        <f>HYPERLINK("https://klasma.github.io/Logging_1290/tillsynsmail/A 8290-2024 tillsynsbegäran mail.docx", "A 8290-2024")</f>
        <v/>
      </c>
    </row>
    <row r="554" ht="15" customHeight="1">
      <c r="A554" t="inlineStr">
        <is>
          <t>A 12150-2024</t>
        </is>
      </c>
      <c r="B554" t="inlineStr">
        <is>
          <t>avverkningsanmälan</t>
        </is>
      </c>
      <c r="C554" t="inlineStr">
        <is>
          <t>Föryngringsavverkning</t>
        </is>
      </c>
      <c r="D554" s="1" t="n">
        <v>45377</v>
      </c>
      <c r="E554" s="1" t="n">
        <v>46312</v>
      </c>
      <c r="F554" t="inlineStr">
        <is>
          <t>SKÅNE LÄN</t>
        </is>
      </c>
      <c r="G554" t="inlineStr">
        <is>
          <t>ÄNGELHOLM</t>
        </is>
      </c>
      <c r="I554" t="n">
        <v>1.4</v>
      </c>
      <c r="J554" t="n">
        <v>0</v>
      </c>
      <c r="K554" t="n">
        <v>0</v>
      </c>
      <c r="L554" t="n">
        <v>0</v>
      </c>
      <c r="M554" t="n">
        <v>1</v>
      </c>
      <c r="N554" t="n">
        <v>0</v>
      </c>
      <c r="O554" t="n">
        <v>0</v>
      </c>
      <c r="P554" t="n">
        <v>0</v>
      </c>
      <c r="Q554" t="n">
        <v>1</v>
      </c>
      <c r="R554" t="n">
        <v>1</v>
      </c>
      <c r="S554" t="n">
        <v>1</v>
      </c>
      <c r="T554" t="n">
        <v>1</v>
      </c>
      <c r="U554" t="n">
        <v>1</v>
      </c>
      <c r="V554" s="2" t="inlineStr">
        <is>
          <t>Igelkott</t>
        </is>
      </c>
      <c r="W554">
        <f>HYPERLINK("https://klasma.github.io/Logging_1292/artfynd/A 12150-2024 artfynd.xlsx", "A 12150-2024")</f>
        <v/>
      </c>
      <c r="X554">
        <f>HYPERLINK("https://klasma.github.io/Logging_1292/kartor/A 12150-2024 karta.png", "A 12150-2024")</f>
        <v/>
      </c>
      <c r="Y554">
        <f>HYPERLINK("https://klasma.github.io/Logging_1292/kartor_geotiff/A 12150-2024 georefererad karta.tif", "A 12150-2024")</f>
        <v/>
      </c>
      <c r="AA554">
        <f>HYPERLINK("https://klasma.github.io/Logging_1292/klagomål/A 12150-2024 FSC-klagomål.docx", "A 12150-2024")</f>
        <v/>
      </c>
      <c r="AB554">
        <f>HYPERLINK("https://klasma.github.io/Logging_1292/klagomålsmail/A 12150-2024 FSC-klagomål mail.docx", "A 12150-2024")</f>
        <v/>
      </c>
      <c r="AC554">
        <f>HYPERLINK("https://klasma.github.io/Logging_1292/tillsyn/A 12150-2024 tillsynsbegäran.docx", "A 12150-2024")</f>
        <v/>
      </c>
      <c r="AD554">
        <f>HYPERLINK("https://klasma.github.io/Logging_1292/tillsynsmail/A 12150-2024 tillsynsbegäran mail.docx", "A 12150-2024")</f>
        <v/>
      </c>
    </row>
    <row r="555" ht="15" customHeight="1">
      <c r="A555" t="inlineStr">
        <is>
          <t>A 33362-2023</t>
        </is>
      </c>
      <c r="B555" t="inlineStr">
        <is>
          <t>avverkningsanmälan</t>
        </is>
      </c>
      <c r="C555" t="inlineStr">
        <is>
          <t>Föryngringsavverkning</t>
        </is>
      </c>
      <c r="D555" s="1" t="n">
        <v>45128</v>
      </c>
      <c r="E555" s="1" t="n">
        <v>46312</v>
      </c>
      <c r="F555" t="inlineStr">
        <is>
          <t>SKÅNE LÄN</t>
        </is>
      </c>
      <c r="G555" t="inlineStr">
        <is>
          <t>KRISTIANSTAD</t>
        </is>
      </c>
      <c r="I555" t="n">
        <v>4.9</v>
      </c>
      <c r="J555" t="n">
        <v>0</v>
      </c>
      <c r="K555" t="n">
        <v>1</v>
      </c>
      <c r="L555" t="n">
        <v>0</v>
      </c>
      <c r="M555" t="n">
        <v>0</v>
      </c>
      <c r="N555" t="n">
        <v>0</v>
      </c>
      <c r="O555" t="n">
        <v>0</v>
      </c>
      <c r="P555" t="n">
        <v>0</v>
      </c>
      <c r="Q555" t="n">
        <v>0</v>
      </c>
      <c r="R555" t="n">
        <v>0</v>
      </c>
      <c r="S555" t="n">
        <v>1</v>
      </c>
      <c r="T555" t="n">
        <v>1</v>
      </c>
      <c r="U555" t="n">
        <v>0</v>
      </c>
      <c r="V555" s="2" t="inlineStr">
        <is>
          <t>Rostfläck</t>
        </is>
      </c>
      <c r="W555">
        <f>HYPERLINK("https://klasma.github.io/Logging_1290/artfynd/A 33362-2023 artfynd.xlsx", "A 33362-2023")</f>
        <v/>
      </c>
      <c r="X555">
        <f>HYPERLINK("https://klasma.github.io/Logging_1290/kartor/A 33362-2023 karta.png", "A 33362-2023")</f>
        <v/>
      </c>
      <c r="Y555">
        <f>HYPERLINK("https://klasma.github.io/Logging_1290/kartor_geotiff/A 33362-2023 georefererad karta.tif", "A 33362-2023")</f>
        <v/>
      </c>
      <c r="AA555">
        <f>HYPERLINK("https://klasma.github.io/Logging_1290/klagomål/A 33362-2023 FSC-klagomål.docx", "A 33362-2023")</f>
        <v/>
      </c>
      <c r="AB555">
        <f>HYPERLINK("https://klasma.github.io/Logging_1290/klagomålsmail/A 33362-2023 FSC-klagomål mail.docx", "A 33362-2023")</f>
        <v/>
      </c>
      <c r="AC555">
        <f>HYPERLINK("https://klasma.github.io/Logging_1290/tillsyn/A 33362-2023 tillsynsbegäran.docx", "A 33362-2023")</f>
        <v/>
      </c>
      <c r="AD555">
        <f>HYPERLINK("https://klasma.github.io/Logging_1290/tillsynsmail/A 33362-2023 tillsynsbegäran mail.docx", "A 33362-2023")</f>
        <v/>
      </c>
    </row>
    <row r="556" ht="15" customHeight="1">
      <c r="A556" t="inlineStr">
        <is>
          <t>A 40376-2023</t>
        </is>
      </c>
      <c r="B556" t="inlineStr">
        <is>
          <t>avverkningsanmälan</t>
        </is>
      </c>
      <c r="C556" t="inlineStr">
        <is>
          <t>Föryngringsavverkning</t>
        </is>
      </c>
      <c r="D556" s="1" t="n">
        <v>45169</v>
      </c>
      <c r="E556" s="1" t="n">
        <v>46312</v>
      </c>
      <c r="F556" t="inlineStr">
        <is>
          <t>SKÅNE LÄN</t>
        </is>
      </c>
      <c r="G556" t="inlineStr">
        <is>
          <t>HÖRBY</t>
        </is>
      </c>
      <c r="I556" t="n">
        <v>2.7</v>
      </c>
      <c r="J556" t="n">
        <v>1</v>
      </c>
      <c r="K556" t="n">
        <v>0</v>
      </c>
      <c r="L556" t="n">
        <v>1</v>
      </c>
      <c r="M556" t="n">
        <v>0</v>
      </c>
      <c r="N556" t="n">
        <v>0</v>
      </c>
      <c r="O556" t="n">
        <v>0</v>
      </c>
      <c r="P556" t="n">
        <v>0</v>
      </c>
      <c r="Q556" t="n">
        <v>1</v>
      </c>
      <c r="R556" t="n">
        <v>0</v>
      </c>
      <c r="S556" t="n">
        <v>1</v>
      </c>
      <c r="T556" t="n">
        <v>1</v>
      </c>
      <c r="U556" t="n">
        <v>0</v>
      </c>
      <c r="V556" s="2" t="inlineStr">
        <is>
          <t>Talltita</t>
        </is>
      </c>
      <c r="W556">
        <f>HYPERLINK("https://klasma.github.io/Logging_1266/artfynd/A 40376-2023 artfynd.xlsx", "A 40376-2023")</f>
        <v/>
      </c>
      <c r="X556">
        <f>HYPERLINK("https://klasma.github.io/Logging_1266/kartor/A 40376-2023 karta.png", "A 40376-2023")</f>
        <v/>
      </c>
      <c r="Y556">
        <f>HYPERLINK("https://klasma.github.io/Logging_1266/kartor_geotiff/A 40376-2023 georefererad karta.tif", "A 40376-2023")</f>
        <v/>
      </c>
      <c r="AA556">
        <f>HYPERLINK("https://klasma.github.io/Logging_1266/klagomål/A 40376-2023 FSC-klagomål.docx", "A 40376-2023")</f>
        <v/>
      </c>
      <c r="AB556">
        <f>HYPERLINK("https://klasma.github.io/Logging_1266/klagomålsmail/A 40376-2023 FSC-klagomål mail.docx", "A 40376-2023")</f>
        <v/>
      </c>
      <c r="AC556">
        <f>HYPERLINK("https://klasma.github.io/Logging_1266/tillsyn/A 40376-2023 tillsynsbegäran.docx", "A 40376-2023")</f>
        <v/>
      </c>
      <c r="AD556">
        <f>HYPERLINK("https://klasma.github.io/Logging_1266/tillsynsmail/A 40376-2023 tillsynsbegäran mail.docx", "A 40376-2023")</f>
        <v/>
      </c>
      <c r="AE556">
        <f>HYPERLINK("https://klasma.github.io/Logging_1266/fåglar/A 40376-2023 prioriterade fågelarter.docx", "A 40376-2023")</f>
        <v/>
      </c>
    </row>
    <row r="557" ht="15" customHeight="1">
      <c r="A557" t="inlineStr">
        <is>
          <t>A 40668-2024</t>
        </is>
      </c>
      <c r="B557" t="inlineStr">
        <is>
          <t>avverkningsanmälan</t>
        </is>
      </c>
      <c r="C557" t="inlineStr">
        <is>
          <t>Föryngringsavverkning</t>
        </is>
      </c>
      <c r="D557" s="1" t="n">
        <v>45558</v>
      </c>
      <c r="E557" s="1" t="n">
        <v>46312</v>
      </c>
      <c r="F557" t="inlineStr">
        <is>
          <t>SKÅNE LÄN</t>
        </is>
      </c>
      <c r="G557" t="inlineStr">
        <is>
          <t>KRISTIANSTAD</t>
        </is>
      </c>
      <c r="I557" t="n">
        <v>1.3</v>
      </c>
      <c r="J557" t="n">
        <v>1</v>
      </c>
      <c r="K557" t="n">
        <v>0</v>
      </c>
      <c r="L557" t="n">
        <v>0</v>
      </c>
      <c r="M557" t="n">
        <v>0</v>
      </c>
      <c r="N557" t="n">
        <v>0</v>
      </c>
      <c r="O557" t="n">
        <v>0</v>
      </c>
      <c r="P557" t="n">
        <v>0</v>
      </c>
      <c r="Q557" t="n">
        <v>0</v>
      </c>
      <c r="R557" t="n">
        <v>0</v>
      </c>
      <c r="S557" t="n">
        <v>1</v>
      </c>
      <c r="T557" t="n">
        <v>1</v>
      </c>
      <c r="U557" t="n">
        <v>0</v>
      </c>
      <c r="V557" s="2" t="inlineStr">
        <is>
          <t>Spillkråka</t>
        </is>
      </c>
      <c r="W557">
        <f>HYPERLINK("https://klasma.github.io/Logging_1290/artfynd/A 40668-2024 artfynd.xlsx", "A 40668-2024")</f>
        <v/>
      </c>
      <c r="X557">
        <f>HYPERLINK("https://klasma.github.io/Logging_1290/kartor/A 40668-2024 karta.png", "A 40668-2024")</f>
        <v/>
      </c>
      <c r="Y557">
        <f>HYPERLINK("https://klasma.github.io/Logging_1290/kartor_geotiff/A 40668-2024 georefererad karta.tif", "A 40668-2024")</f>
        <v/>
      </c>
      <c r="AA557">
        <f>HYPERLINK("https://klasma.github.io/Logging_1290/klagomål/A 40668-2024 FSC-klagomål.docx", "A 40668-2024")</f>
        <v/>
      </c>
      <c r="AB557">
        <f>HYPERLINK("https://klasma.github.io/Logging_1290/klagomålsmail/A 40668-2024 FSC-klagomål mail.docx", "A 40668-2024")</f>
        <v/>
      </c>
      <c r="AC557">
        <f>HYPERLINK("https://klasma.github.io/Logging_1290/tillsyn/A 40668-2024 tillsynsbegäran.docx", "A 40668-2024")</f>
        <v/>
      </c>
      <c r="AD557">
        <f>HYPERLINK("https://klasma.github.io/Logging_1290/tillsynsmail/A 40668-2024 tillsynsbegäran mail.docx", "A 40668-2024")</f>
        <v/>
      </c>
      <c r="AE557">
        <f>HYPERLINK("https://klasma.github.io/Logging_1290/fåglar/A 40668-2024 prioriterade fågelarter.docx", "A 40668-2024")</f>
        <v/>
      </c>
    </row>
    <row r="558" ht="15" customHeight="1">
      <c r="A558" t="inlineStr">
        <is>
          <t>A 60006-2025</t>
        </is>
      </c>
      <c r="B558" t="inlineStr">
        <is>
          <t>avverkningsanmälan</t>
        </is>
      </c>
      <c r="C558" t="inlineStr">
        <is>
          <t>Föryngringsavverkning</t>
        </is>
      </c>
      <c r="D558" s="1" t="n">
        <v>45993</v>
      </c>
      <c r="E558" s="1" t="n">
        <v>46312</v>
      </c>
      <c r="F558" t="inlineStr">
        <is>
          <t>SKÅNE LÄN</t>
        </is>
      </c>
      <c r="G558" t="inlineStr">
        <is>
          <t>KRISTIANSTAD</t>
        </is>
      </c>
      <c r="H558" t="inlineStr">
        <is>
          <t>Övriga Aktiebolag</t>
        </is>
      </c>
      <c r="I558" t="n">
        <v>4.8</v>
      </c>
      <c r="J558" t="n">
        <v>1</v>
      </c>
      <c r="K558" t="n">
        <v>1</v>
      </c>
      <c r="L558" t="n">
        <v>0</v>
      </c>
      <c r="M558" t="n">
        <v>0</v>
      </c>
      <c r="N558" t="n">
        <v>0</v>
      </c>
      <c r="O558" t="n">
        <v>0</v>
      </c>
      <c r="P558" t="n">
        <v>0</v>
      </c>
      <c r="Q558" t="n">
        <v>0</v>
      </c>
      <c r="R558" t="n">
        <v>0</v>
      </c>
      <c r="S558" t="n">
        <v>1</v>
      </c>
      <c r="T558" t="n">
        <v>1</v>
      </c>
      <c r="U558" t="n">
        <v>0</v>
      </c>
      <c r="V558" s="2" t="inlineStr">
        <is>
          <t>Ekoxe</t>
        </is>
      </c>
      <c r="W558">
        <f>HYPERLINK("https://klasma.github.io/Logging_1290/artfynd/A 60006-2025 artfynd.xlsx", "A 60006-2025")</f>
        <v/>
      </c>
      <c r="X558">
        <f>HYPERLINK("https://klasma.github.io/Logging_1290/kartor/A 60006-2025 karta.png", "A 60006-2025")</f>
        <v/>
      </c>
      <c r="Y558">
        <f>HYPERLINK("https://klasma.github.io/Logging_1290/kartor_geotiff/A 60006-2025 georefererad karta.tif", "A 60006-2025")</f>
        <v/>
      </c>
      <c r="AA558">
        <f>HYPERLINK("https://klasma.github.io/Logging_1290/klagomål/A 60006-2025 FSC-klagomål.docx", "A 60006-2025")</f>
        <v/>
      </c>
      <c r="AB558">
        <f>HYPERLINK("https://klasma.github.io/Logging_1290/klagomålsmail/A 60006-2025 FSC-klagomål mail.docx", "A 60006-2025")</f>
        <v/>
      </c>
      <c r="AC558">
        <f>HYPERLINK("https://klasma.github.io/Logging_1290/tillsyn/A 60006-2025 tillsynsbegäran.docx", "A 60006-2025")</f>
        <v/>
      </c>
      <c r="AD558">
        <f>HYPERLINK("https://klasma.github.io/Logging_1290/tillsynsmail/A 60006-2025 tillsynsbegäran mail.docx", "A 60006-2025")</f>
        <v/>
      </c>
    </row>
    <row r="559" ht="15" customHeight="1">
      <c r="A559" t="inlineStr">
        <is>
          <t>A 60983-2025</t>
        </is>
      </c>
      <c r="B559" t="inlineStr">
        <is>
          <t>avverkningsanmälan</t>
        </is>
      </c>
      <c r="C559" t="inlineStr">
        <is>
          <t>Föryngringsavverkning</t>
        </is>
      </c>
      <c r="D559" s="1" t="n">
        <v>45999</v>
      </c>
      <c r="E559" s="1" t="n">
        <v>46312</v>
      </c>
      <c r="F559" t="inlineStr">
        <is>
          <t>SKÅNE LÄN</t>
        </is>
      </c>
      <c r="G559" t="inlineStr">
        <is>
          <t>OSBY</t>
        </is>
      </c>
      <c r="I559" t="n">
        <v>1</v>
      </c>
      <c r="J559" t="n">
        <v>0</v>
      </c>
      <c r="K559" t="n">
        <v>0</v>
      </c>
      <c r="L559" t="n">
        <v>0</v>
      </c>
      <c r="M559" t="n">
        <v>0</v>
      </c>
      <c r="N559" t="n">
        <v>1</v>
      </c>
      <c r="O559" t="n">
        <v>0</v>
      </c>
      <c r="P559" t="n">
        <v>0</v>
      </c>
      <c r="Q559" t="n">
        <v>1</v>
      </c>
      <c r="R559" t="n">
        <v>1</v>
      </c>
      <c r="S559" t="n">
        <v>1</v>
      </c>
      <c r="T559" t="n">
        <v>3</v>
      </c>
      <c r="U559" t="n">
        <v>0</v>
      </c>
      <c r="V559" s="2" t="inlineStr">
        <is>
          <t>Ask</t>
        </is>
      </c>
      <c r="W559">
        <f>HYPERLINK("https://klasma.github.io/Logging_1273/artfynd/A 60983-2025 artfynd.xlsx", "A 60983-2025")</f>
        <v/>
      </c>
      <c r="X559">
        <f>HYPERLINK("https://klasma.github.io/Logging_1273/kartor/A 60983-2025 karta.png", "A 60983-2025")</f>
        <v/>
      </c>
      <c r="Y559">
        <f>HYPERLINK("https://klasma.github.io/Logging_1273/kartor_geotiff/A 60983-2025 georefererad karta.tif", "A 60983-2025")</f>
        <v/>
      </c>
      <c r="AA559">
        <f>HYPERLINK("https://klasma.github.io/Logging_1273/klagomål/A 60983-2025 FSC-klagomål.docx", "A 60983-2025")</f>
        <v/>
      </c>
      <c r="AB559">
        <f>HYPERLINK("https://klasma.github.io/Logging_1273/klagomålsmail/A 60983-2025 FSC-klagomål mail.docx", "A 60983-2025")</f>
        <v/>
      </c>
      <c r="AC559">
        <f>HYPERLINK("https://klasma.github.io/Logging_1273/tillsyn/A 60983-2025 tillsynsbegäran.docx", "A 60983-2025")</f>
        <v/>
      </c>
      <c r="AD559">
        <f>HYPERLINK("https://klasma.github.io/Logging_1273/tillsynsmail/A 60983-2025 tillsynsbegäran mail.docx", "A 60983-2025")</f>
        <v/>
      </c>
    </row>
    <row r="560" ht="15" customHeight="1">
      <c r="A560" t="inlineStr">
        <is>
          <t>A 27902-2023</t>
        </is>
      </c>
      <c r="B560" t="inlineStr">
        <is>
          <t>avverkningsanmälan</t>
        </is>
      </c>
      <c r="C560" t="inlineStr">
        <is>
          <t>Föryngringsavverkning</t>
        </is>
      </c>
      <c r="D560" s="1" t="n">
        <v>45098</v>
      </c>
      <c r="E560" s="1" t="n">
        <v>46312</v>
      </c>
      <c r="F560" t="inlineStr">
        <is>
          <t>SKÅNE LÄN</t>
        </is>
      </c>
      <c r="G560" t="inlineStr">
        <is>
          <t>HÖÖR</t>
        </is>
      </c>
      <c r="I560" t="n">
        <v>10.3</v>
      </c>
      <c r="J560" t="n">
        <v>0</v>
      </c>
      <c r="K560" t="n">
        <v>0</v>
      </c>
      <c r="L560" t="n">
        <v>0</v>
      </c>
      <c r="M560" t="n">
        <v>0</v>
      </c>
      <c r="N560" t="n">
        <v>1</v>
      </c>
      <c r="O560" t="n">
        <v>0</v>
      </c>
      <c r="P560" t="n">
        <v>0</v>
      </c>
      <c r="Q560" t="n">
        <v>1</v>
      </c>
      <c r="R560" t="n">
        <v>1</v>
      </c>
      <c r="S560" t="n">
        <v>1</v>
      </c>
      <c r="T560" t="n">
        <v>1</v>
      </c>
      <c r="U560" t="n">
        <v>0</v>
      </c>
      <c r="V560" s="2" t="inlineStr">
        <is>
          <t>Skogsalm</t>
        </is>
      </c>
      <c r="W560">
        <f>HYPERLINK("https://klasma.github.io/Logging_1267/artfynd/A 27902-2023 artfynd.xlsx", "A 27902-2023")</f>
        <v/>
      </c>
      <c r="X560">
        <f>HYPERLINK("https://klasma.github.io/Logging_1267/kartor/A 27902-2023 karta.png", "A 27902-2023")</f>
        <v/>
      </c>
      <c r="Y560">
        <f>HYPERLINK("https://klasma.github.io/Logging_1267/kartor_geotiff/A 27902-2023 georefererad karta.tif", "A 27902-2023")</f>
        <v/>
      </c>
      <c r="AA560">
        <f>HYPERLINK("https://klasma.github.io/Logging_1267/klagomål/A 27902-2023 FSC-klagomål.docx", "A 27902-2023")</f>
        <v/>
      </c>
      <c r="AB560">
        <f>HYPERLINK("https://klasma.github.io/Logging_1267/klagomålsmail/A 27902-2023 FSC-klagomål mail.docx", "A 27902-2023")</f>
        <v/>
      </c>
      <c r="AC560">
        <f>HYPERLINK("https://klasma.github.io/Logging_1267/tillsyn/A 27902-2023 tillsynsbegäran.docx", "A 27902-2023")</f>
        <v/>
      </c>
      <c r="AD560">
        <f>HYPERLINK("https://klasma.github.io/Logging_1267/tillsynsmail/A 27902-2023 tillsynsbegäran mail.docx", "A 27902-2023")</f>
        <v/>
      </c>
    </row>
    <row r="561" ht="15" customHeight="1">
      <c r="A561" t="inlineStr">
        <is>
          <t>A 59369-2024</t>
        </is>
      </c>
      <c r="B561" t="inlineStr">
        <is>
          <t>avverkningsanmälan</t>
        </is>
      </c>
      <c r="C561" t="inlineStr">
        <is>
          <t>Föryngringsavverkning</t>
        </is>
      </c>
      <c r="D561" s="1" t="n">
        <v>45638</v>
      </c>
      <c r="E561" s="1" t="n">
        <v>46312</v>
      </c>
      <c r="F561" t="inlineStr">
        <is>
          <t>SKÅNE LÄN</t>
        </is>
      </c>
      <c r="G561" t="inlineStr">
        <is>
          <t>ÖSTRA GÖINGE</t>
        </is>
      </c>
      <c r="I561" t="n">
        <v>3.2</v>
      </c>
      <c r="J561" t="n">
        <v>0</v>
      </c>
      <c r="K561" t="n">
        <v>0</v>
      </c>
      <c r="L561" t="n">
        <v>0</v>
      </c>
      <c r="M561" t="n">
        <v>1</v>
      </c>
      <c r="N561" t="n">
        <v>0</v>
      </c>
      <c r="O561" t="n">
        <v>0</v>
      </c>
      <c r="P561" t="n">
        <v>0</v>
      </c>
      <c r="Q561" t="n">
        <v>1</v>
      </c>
      <c r="R561" t="n">
        <v>1</v>
      </c>
      <c r="S561" t="n">
        <v>1</v>
      </c>
      <c r="T561" t="n">
        <v>1</v>
      </c>
      <c r="U561" t="n">
        <v>0</v>
      </c>
      <c r="V561" s="2" t="inlineStr">
        <is>
          <t>Slåttergubbe</t>
        </is>
      </c>
      <c r="W561">
        <f>HYPERLINK("https://klasma.github.io/Logging_1256/artfynd/A 59369-2024 artfynd.xlsx", "A 59369-2024")</f>
        <v/>
      </c>
      <c r="X561">
        <f>HYPERLINK("https://klasma.github.io/Logging_1256/kartor/A 59369-2024 karta.png", "A 59369-2024")</f>
        <v/>
      </c>
      <c r="Y561">
        <f>HYPERLINK("https://klasma.github.io/Logging_1256/kartor_geotiff/A 59369-2024 georefererad karta.tif", "A 59369-2024")</f>
        <v/>
      </c>
      <c r="AA561">
        <f>HYPERLINK("https://klasma.github.io/Logging_1256/klagomål/A 59369-2024 FSC-klagomål.docx", "A 59369-2024")</f>
        <v/>
      </c>
      <c r="AB561">
        <f>HYPERLINK("https://klasma.github.io/Logging_1256/klagomålsmail/A 59369-2024 FSC-klagomål mail.docx", "A 59369-2024")</f>
        <v/>
      </c>
      <c r="AC561">
        <f>HYPERLINK("https://klasma.github.io/Logging_1256/tillsyn/A 59369-2024 tillsynsbegäran.docx", "A 59369-2024")</f>
        <v/>
      </c>
      <c r="AD561">
        <f>HYPERLINK("https://klasma.github.io/Logging_1256/tillsynsmail/A 59369-2024 tillsynsbegäran mail.docx", "A 59369-2024")</f>
        <v/>
      </c>
    </row>
    <row r="562" ht="15" customHeight="1">
      <c r="A562" t="inlineStr">
        <is>
          <t>A 24543-2026</t>
        </is>
      </c>
      <c r="B562" t="inlineStr">
        <is>
          <t>avverkningsanmälan</t>
        </is>
      </c>
      <c r="C562" t="inlineStr">
        <is>
          <t>Föryngringsavverkning</t>
        </is>
      </c>
      <c r="D562" s="1" t="n">
        <v>46170</v>
      </c>
      <c r="E562" s="1" t="n">
        <v>46312</v>
      </c>
      <c r="F562" t="inlineStr">
        <is>
          <t>SKÅNE LÄN</t>
        </is>
      </c>
      <c r="G562" t="inlineStr">
        <is>
          <t>OSBY</t>
        </is>
      </c>
      <c r="I562" t="n">
        <v>2</v>
      </c>
      <c r="J562" t="n">
        <v>0</v>
      </c>
      <c r="K562" t="n">
        <v>1</v>
      </c>
      <c r="L562" t="n">
        <v>0</v>
      </c>
      <c r="M562" t="n">
        <v>0</v>
      </c>
      <c r="N562" t="n">
        <v>0</v>
      </c>
      <c r="O562" t="n">
        <v>0</v>
      </c>
      <c r="P562" t="n">
        <v>0</v>
      </c>
      <c r="Q562" t="n">
        <v>0</v>
      </c>
      <c r="R562" t="n">
        <v>0</v>
      </c>
      <c r="S562" t="n">
        <v>1</v>
      </c>
      <c r="T562" t="n">
        <v>1</v>
      </c>
      <c r="U562" t="n">
        <v>0</v>
      </c>
      <c r="V562" s="2" t="inlineStr">
        <is>
          <t>Fällmossa</t>
        </is>
      </c>
      <c r="W562">
        <f>HYPERLINK("https://klasma.github.io/Logging_1273/artfynd/A 24543-2026 artfynd.xlsx", "A 24543-2026")</f>
        <v/>
      </c>
      <c r="X562">
        <f>HYPERLINK("https://klasma.github.io/Logging_1273/kartor/A 24543-2026 karta.png", "A 24543-2026")</f>
        <v/>
      </c>
      <c r="Y562">
        <f>HYPERLINK("https://klasma.github.io/Logging_1273/kartor_geotiff/A 24543-2026 georefererad karta.tif", "A 24543-2026")</f>
        <v/>
      </c>
      <c r="AA562">
        <f>HYPERLINK("https://klasma.github.io/Logging_1273/klagomål/A 24543-2026 FSC-klagomål.docx", "A 24543-2026")</f>
        <v/>
      </c>
      <c r="AB562">
        <f>HYPERLINK("https://klasma.github.io/Logging_1273/klagomålsmail/A 24543-2026 FSC-klagomål mail.docx", "A 24543-2026")</f>
        <v/>
      </c>
      <c r="AC562">
        <f>HYPERLINK("https://klasma.github.io/Logging_1273/tillsyn/A 24543-2026 tillsynsbegäran.docx", "A 24543-2026")</f>
        <v/>
      </c>
      <c r="AD562">
        <f>HYPERLINK("https://klasma.github.io/Logging_1273/tillsynsmail/A 24543-2026 tillsynsbegäran mail.docx", "A 24543-2026")</f>
        <v/>
      </c>
    </row>
    <row r="563" ht="15" customHeight="1">
      <c r="A563" t="inlineStr">
        <is>
          <t>A 24823-2026</t>
        </is>
      </c>
      <c r="B563" t="inlineStr">
        <is>
          <t>avverkningsanmälan</t>
        </is>
      </c>
      <c r="C563" t="inlineStr">
        <is>
          <t>Föryngringsavverkning</t>
        </is>
      </c>
      <c r="D563" s="1" t="n">
        <v>46174</v>
      </c>
      <c r="E563" s="1" t="n">
        <v>46312</v>
      </c>
      <c r="F563" t="inlineStr">
        <is>
          <t>SKÅNE LÄN</t>
        </is>
      </c>
      <c r="G563" t="inlineStr">
        <is>
          <t>HÖRBY</t>
        </is>
      </c>
      <c r="H563" t="inlineStr">
        <is>
          <t>Sveaskog</t>
        </is>
      </c>
      <c r="I563" t="n">
        <v>5.1</v>
      </c>
      <c r="J563" t="n">
        <v>0</v>
      </c>
      <c r="K563" t="n">
        <v>0</v>
      </c>
      <c r="L563" t="n">
        <v>0</v>
      </c>
      <c r="M563" t="n">
        <v>0</v>
      </c>
      <c r="N563" t="n">
        <v>0</v>
      </c>
      <c r="O563" t="n">
        <v>0</v>
      </c>
      <c r="P563" t="n">
        <v>0</v>
      </c>
      <c r="Q563" t="n">
        <v>0</v>
      </c>
      <c r="R563" t="n">
        <v>0</v>
      </c>
      <c r="S563" t="n">
        <v>1</v>
      </c>
      <c r="T563" t="n">
        <v>1</v>
      </c>
      <c r="U563" t="n">
        <v>1</v>
      </c>
      <c r="V563" s="2" t="inlineStr">
        <is>
          <t>Tandrot</t>
        </is>
      </c>
      <c r="W563">
        <f>HYPERLINK("https://klasma.github.io/Logging_1266/artfynd/A 24823-2026 artfynd.xlsx", "A 24823-2026")</f>
        <v/>
      </c>
      <c r="X563">
        <f>HYPERLINK("https://klasma.github.io/Logging_1266/kartor/A 24823-2026 karta.png", "A 24823-2026")</f>
        <v/>
      </c>
      <c r="Y563">
        <f>HYPERLINK("https://klasma.github.io/Logging_1266/kartor_geotiff/A 24823-2026 georefererad karta.tif", "A 24823-2026")</f>
        <v/>
      </c>
      <c r="AA563">
        <f>HYPERLINK("https://klasma.github.io/Logging_1266/klagomål/A 24823-2026 FSC-klagomål.docx", "A 24823-2026")</f>
        <v/>
      </c>
      <c r="AB563">
        <f>HYPERLINK("https://klasma.github.io/Logging_1266/klagomålsmail/A 24823-2026 FSC-klagomål mail.docx", "A 24823-2026")</f>
        <v/>
      </c>
      <c r="AC563">
        <f>HYPERLINK("https://klasma.github.io/Logging_1266/tillsyn/A 24823-2026 tillsynsbegäran.docx", "A 24823-2026")</f>
        <v/>
      </c>
      <c r="AD563">
        <f>HYPERLINK("https://klasma.github.io/Logging_1266/tillsynsmail/A 24823-2026 tillsynsbegäran mail.docx", "A 24823-2026")</f>
        <v/>
      </c>
    </row>
    <row r="564" ht="15" customHeight="1">
      <c r="A564" t="inlineStr">
        <is>
          <t>A 6262-2024</t>
        </is>
      </c>
      <c r="B564" t="inlineStr">
        <is>
          <t>avverkningsanmälan</t>
        </is>
      </c>
      <c r="C564" t="inlineStr">
        <is>
          <t>Föryngringsavverkning</t>
        </is>
      </c>
      <c r="D564" s="1" t="n">
        <v>45337</v>
      </c>
      <c r="E564" s="1" t="n">
        <v>46312</v>
      </c>
      <c r="F564" t="inlineStr">
        <is>
          <t>SKÅNE LÄN</t>
        </is>
      </c>
      <c r="G564" t="inlineStr">
        <is>
          <t>TOMELILLA</t>
        </is>
      </c>
      <c r="I564" t="n">
        <v>4.5</v>
      </c>
      <c r="J564" t="n">
        <v>1</v>
      </c>
      <c r="K564" t="n">
        <v>0</v>
      </c>
      <c r="L564" t="n">
        <v>0</v>
      </c>
      <c r="M564" t="n">
        <v>0</v>
      </c>
      <c r="N564" t="n">
        <v>0</v>
      </c>
      <c r="O564" t="n">
        <v>0</v>
      </c>
      <c r="P564" t="n">
        <v>0</v>
      </c>
      <c r="Q564" t="n">
        <v>0</v>
      </c>
      <c r="R564" t="n">
        <v>0</v>
      </c>
      <c r="S564" t="n">
        <v>1</v>
      </c>
      <c r="T564" t="n">
        <v>1</v>
      </c>
      <c r="U564" t="n">
        <v>1</v>
      </c>
      <c r="V564" s="2" t="inlineStr">
        <is>
          <t>Kungsfågel</t>
        </is>
      </c>
      <c r="W564">
        <f>HYPERLINK("https://klasma.github.io/Logging_1270/artfynd/A 6262-2024 artfynd.xlsx", "A 6262-2024")</f>
        <v/>
      </c>
      <c r="X564">
        <f>HYPERLINK("https://klasma.github.io/Logging_1270/kartor/A 6262-2024 karta.png", "A 6262-2024")</f>
        <v/>
      </c>
      <c r="Y564">
        <f>HYPERLINK("https://klasma.github.io/Logging_1270/kartor_geotiff/A 6262-2024 georefererad karta.tif", "A 6262-2024")</f>
        <v/>
      </c>
      <c r="AA564">
        <f>HYPERLINK("https://klasma.github.io/Logging_1270/klagomål/A 6262-2024 FSC-klagomål.docx", "A 6262-2024")</f>
        <v/>
      </c>
      <c r="AB564">
        <f>HYPERLINK("https://klasma.github.io/Logging_1270/klagomålsmail/A 6262-2024 FSC-klagomål mail.docx", "A 6262-2024")</f>
        <v/>
      </c>
      <c r="AC564">
        <f>HYPERLINK("https://klasma.github.io/Logging_1270/tillsyn/A 6262-2024 tillsynsbegäran.docx", "A 6262-2024")</f>
        <v/>
      </c>
      <c r="AD564">
        <f>HYPERLINK("https://klasma.github.io/Logging_1270/tillsynsmail/A 6262-2024 tillsynsbegäran mail.docx", "A 6262-2024")</f>
        <v/>
      </c>
    </row>
    <row r="565" ht="15" customHeight="1">
      <c r="A565" t="inlineStr">
        <is>
          <t>A 27242-2022</t>
        </is>
      </c>
      <c r="B565" t="inlineStr">
        <is>
          <t>avverkningsanmälan</t>
        </is>
      </c>
      <c r="C565" t="inlineStr">
        <is>
          <t>Föryngringsavverkning</t>
        </is>
      </c>
      <c r="D565" s="1" t="n">
        <v>44741</v>
      </c>
      <c r="E565" s="1" t="n">
        <v>46312</v>
      </c>
      <c r="F565" t="inlineStr">
        <is>
          <t>SKÅNE LÄN</t>
        </is>
      </c>
      <c r="G565" t="inlineStr">
        <is>
          <t>HÄSSLEHOLM</t>
        </is>
      </c>
      <c r="I565" t="n">
        <v>1.9</v>
      </c>
      <c r="J565" t="n">
        <v>0</v>
      </c>
      <c r="K565" t="n">
        <v>0</v>
      </c>
      <c r="L565" t="n">
        <v>0</v>
      </c>
      <c r="M565" t="n">
        <v>1</v>
      </c>
      <c r="N565" t="n">
        <v>0</v>
      </c>
      <c r="O565" t="n">
        <v>0</v>
      </c>
      <c r="P565" t="n">
        <v>0</v>
      </c>
      <c r="Q565" t="n">
        <v>1</v>
      </c>
      <c r="R565" t="n">
        <v>1</v>
      </c>
      <c r="S565" t="n">
        <v>1</v>
      </c>
      <c r="T565" t="n">
        <v>2</v>
      </c>
      <c r="U565" t="n">
        <v>0</v>
      </c>
      <c r="V565" s="2" t="inlineStr">
        <is>
          <t>Vildris</t>
        </is>
      </c>
      <c r="W565">
        <f>HYPERLINK("https://klasma.github.io/Logging_1293/artfynd/A 27242-2022 artfynd.xlsx", "A 27242-2022")</f>
        <v/>
      </c>
      <c r="X565">
        <f>HYPERLINK("https://klasma.github.io/Logging_1293/kartor/A 27242-2022 karta.png", "A 27242-2022")</f>
        <v/>
      </c>
      <c r="Y565">
        <f>HYPERLINK("https://klasma.github.io/Logging_1293/kartor_geotiff/A 27242-2022 georefererad karta.tif", "A 27242-2022")</f>
        <v/>
      </c>
      <c r="AA565">
        <f>HYPERLINK("https://klasma.github.io/Logging_1293/klagomål/A 27242-2022 FSC-klagomål.docx", "A 27242-2022")</f>
        <v/>
      </c>
      <c r="AB565">
        <f>HYPERLINK("https://klasma.github.io/Logging_1293/klagomålsmail/A 27242-2022 FSC-klagomål mail.docx", "A 27242-2022")</f>
        <v/>
      </c>
      <c r="AC565">
        <f>HYPERLINK("https://klasma.github.io/Logging_1293/tillsyn/A 27242-2022 tillsynsbegäran.docx", "A 27242-2022")</f>
        <v/>
      </c>
      <c r="AD565">
        <f>HYPERLINK("https://klasma.github.io/Logging_1293/tillsynsmail/A 27242-2022 tillsynsbegäran mail.docx", "A 27242-2022")</f>
        <v/>
      </c>
    </row>
    <row r="566" ht="15" customHeight="1">
      <c r="A566" t="inlineStr">
        <is>
          <t>A 21425-2022</t>
        </is>
      </c>
      <c r="B566" t="inlineStr">
        <is>
          <t>avverkningsanmälan</t>
        </is>
      </c>
      <c r="C566" t="inlineStr">
        <is>
          <t>Föryngringsavverkning</t>
        </is>
      </c>
      <c r="D566" s="1" t="n">
        <v>44706</v>
      </c>
      <c r="E566" s="1" t="n">
        <v>46312</v>
      </c>
      <c r="F566" t="inlineStr">
        <is>
          <t>SKÅNE LÄN</t>
        </is>
      </c>
      <c r="G566" t="inlineStr">
        <is>
          <t>SJÖBO</t>
        </is>
      </c>
      <c r="I566" t="n">
        <v>0.7</v>
      </c>
      <c r="J566" t="n">
        <v>0</v>
      </c>
      <c r="K566" t="n">
        <v>0</v>
      </c>
      <c r="L566" t="n">
        <v>1</v>
      </c>
      <c r="M566" t="n">
        <v>0</v>
      </c>
      <c r="N566" t="n">
        <v>0</v>
      </c>
      <c r="O566" t="n">
        <v>0</v>
      </c>
      <c r="P566" t="n">
        <v>0</v>
      </c>
      <c r="Q566" t="n">
        <v>1</v>
      </c>
      <c r="R566" t="n">
        <v>0</v>
      </c>
      <c r="S566" t="n">
        <v>1</v>
      </c>
      <c r="T566" t="n">
        <v>4</v>
      </c>
      <c r="U566" t="n">
        <v>4</v>
      </c>
      <c r="V566" s="2" t="inlineStr">
        <is>
          <t>Gullpudra</t>
        </is>
      </c>
      <c r="W566">
        <f>HYPERLINK("https://klasma.github.io/Logging_1265/artfynd/A 21425-2022 artfynd.xlsx", "A 21425-2022")</f>
        <v/>
      </c>
      <c r="X566">
        <f>HYPERLINK("https://klasma.github.io/Logging_1265/kartor/A 21425-2022 karta.png", "A 21425-2022")</f>
        <v/>
      </c>
      <c r="Y566">
        <f>HYPERLINK("https://klasma.github.io/Logging_1265/kartor_geotiff/A 21425-2022 georefererad karta.tif", "A 21425-2022")</f>
        <v/>
      </c>
      <c r="AA566">
        <f>HYPERLINK("https://klasma.github.io/Logging_1265/klagomål/A 21425-2022 FSC-klagomål.docx", "A 21425-2022")</f>
        <v/>
      </c>
      <c r="AB566">
        <f>HYPERLINK("https://klasma.github.io/Logging_1265/klagomålsmail/A 21425-2022 FSC-klagomål mail.docx", "A 21425-2022")</f>
        <v/>
      </c>
      <c r="AC566">
        <f>HYPERLINK("https://klasma.github.io/Logging_1265/tillsyn/A 21425-2022 tillsynsbegäran.docx", "A 21425-2022")</f>
        <v/>
      </c>
      <c r="AD566">
        <f>HYPERLINK("https://klasma.github.io/Logging_1265/tillsynsmail/A 21425-2022 tillsynsbegäran mail.docx", "A 21425-2022")</f>
        <v/>
      </c>
    </row>
    <row r="567" ht="15" customHeight="1">
      <c r="A567" t="inlineStr">
        <is>
          <t>A 62367-2023</t>
        </is>
      </c>
      <c r="B567" t="inlineStr">
        <is>
          <t>avverkningsanmälan</t>
        </is>
      </c>
      <c r="C567" t="inlineStr">
        <is>
          <t>Avverkning för att bevara och utveckla /försöksver</t>
        </is>
      </c>
      <c r="D567" s="1" t="n">
        <v>45267</v>
      </c>
      <c r="E567" s="1" t="n">
        <v>46312</v>
      </c>
      <c r="F567" t="inlineStr">
        <is>
          <t>SKÅNE LÄN</t>
        </is>
      </c>
      <c r="G567" t="inlineStr">
        <is>
          <t>KRISTIANSTAD</t>
        </is>
      </c>
      <c r="H567" t="inlineStr">
        <is>
          <t>Sveaskog</t>
        </is>
      </c>
      <c r="I567" t="n">
        <v>5.2</v>
      </c>
      <c r="J567" t="n">
        <v>0</v>
      </c>
      <c r="K567" t="n">
        <v>0</v>
      </c>
      <c r="L567" t="n">
        <v>0</v>
      </c>
      <c r="M567" t="n">
        <v>1</v>
      </c>
      <c r="N567" t="n">
        <v>0</v>
      </c>
      <c r="O567" t="n">
        <v>0</v>
      </c>
      <c r="P567" t="n">
        <v>0</v>
      </c>
      <c r="Q567" t="n">
        <v>1</v>
      </c>
      <c r="R567" t="n">
        <v>1</v>
      </c>
      <c r="S567" t="n">
        <v>1</v>
      </c>
      <c r="T567" t="n">
        <v>1</v>
      </c>
      <c r="U567" t="n">
        <v>0</v>
      </c>
      <c r="V567" s="2" t="inlineStr">
        <is>
          <t>Sjötåtel</t>
        </is>
      </c>
      <c r="W567">
        <f>HYPERLINK("https://klasma.github.io/Logging_1290/artfynd/A 62367-2023 artfynd.xlsx", "A 62367-2023")</f>
        <v/>
      </c>
      <c r="X567">
        <f>HYPERLINK("https://klasma.github.io/Logging_1290/kartor/A 62367-2023 karta.png", "A 62367-2023")</f>
        <v/>
      </c>
      <c r="Y567">
        <f>HYPERLINK("https://klasma.github.io/Logging_1290/kartor_geotiff/A 62367-2023 georefererad karta.tif", "A 62367-2023")</f>
        <v/>
      </c>
      <c r="AA567">
        <f>HYPERLINK("https://klasma.github.io/Logging_1290/klagomål/A 62367-2023 FSC-klagomål.docx", "A 62367-2023")</f>
        <v/>
      </c>
      <c r="AB567">
        <f>HYPERLINK("https://klasma.github.io/Logging_1290/klagomålsmail/A 62367-2023 FSC-klagomål mail.docx", "A 62367-2023")</f>
        <v/>
      </c>
      <c r="AC567">
        <f>HYPERLINK("https://klasma.github.io/Logging_1290/tillsyn/A 62367-2023 tillsynsbegäran.docx", "A 62367-2023")</f>
        <v/>
      </c>
      <c r="AD567">
        <f>HYPERLINK("https://klasma.github.io/Logging_1290/tillsynsmail/A 62367-2023 tillsynsbegäran mail.docx", "A 62367-2023")</f>
        <v/>
      </c>
    </row>
    <row r="568" ht="15" customHeight="1">
      <c r="A568" t="inlineStr">
        <is>
          <t>A 113-2023</t>
        </is>
      </c>
      <c r="B568" t="inlineStr">
        <is>
          <t>avverkningsanmälan</t>
        </is>
      </c>
      <c r="C568" t="inlineStr">
        <is>
          <t>Föryngringsavverkning</t>
        </is>
      </c>
      <c r="D568" s="1" t="n">
        <v>44928</v>
      </c>
      <c r="E568" s="1" t="n">
        <v>46312</v>
      </c>
      <c r="F568" t="inlineStr">
        <is>
          <t>SKÅNE LÄN</t>
        </is>
      </c>
      <c r="G568" t="inlineStr">
        <is>
          <t>HÖRBY</t>
        </is>
      </c>
      <c r="I568" t="n">
        <v>5.1</v>
      </c>
      <c r="J568" t="n">
        <v>0</v>
      </c>
      <c r="K568" t="n">
        <v>0</v>
      </c>
      <c r="L568" t="n">
        <v>0</v>
      </c>
      <c r="M568" t="n">
        <v>1</v>
      </c>
      <c r="N568" t="n">
        <v>0</v>
      </c>
      <c r="O568" t="n">
        <v>0</v>
      </c>
      <c r="P568" t="n">
        <v>0</v>
      </c>
      <c r="Q568" t="n">
        <v>1</v>
      </c>
      <c r="R568" t="n">
        <v>1</v>
      </c>
      <c r="S568" t="n">
        <v>1</v>
      </c>
      <c r="T568" t="n">
        <v>1</v>
      </c>
      <c r="U568" t="n">
        <v>0</v>
      </c>
      <c r="V568" s="2" t="inlineStr">
        <is>
          <t>Slåttergubbe</t>
        </is>
      </c>
      <c r="W568">
        <f>HYPERLINK("https://klasma.github.io/Logging_1266/artfynd/A 113-2023 artfynd.xlsx", "A 113-2023")</f>
        <v/>
      </c>
      <c r="X568">
        <f>HYPERLINK("https://klasma.github.io/Logging_1266/kartor/A 113-2023 karta.png", "A 113-2023")</f>
        <v/>
      </c>
      <c r="Y568">
        <f>HYPERLINK("https://klasma.github.io/Logging_1266/kartor_geotiff/A 113-2023 georefererad karta.tif", "A 113-2023")</f>
        <v/>
      </c>
      <c r="AA568">
        <f>HYPERLINK("https://klasma.github.io/Logging_1266/klagomål/A 113-2023 FSC-klagomål.docx", "A 113-2023")</f>
        <v/>
      </c>
      <c r="AB568">
        <f>HYPERLINK("https://klasma.github.io/Logging_1266/klagomålsmail/A 113-2023 FSC-klagomål mail.docx", "A 113-2023")</f>
        <v/>
      </c>
      <c r="AC568">
        <f>HYPERLINK("https://klasma.github.io/Logging_1266/tillsyn/A 113-2023 tillsynsbegäran.docx", "A 113-2023")</f>
        <v/>
      </c>
      <c r="AD568">
        <f>HYPERLINK("https://klasma.github.io/Logging_1266/tillsynsmail/A 113-2023 tillsynsbegäran mail.docx", "A 113-2023")</f>
        <v/>
      </c>
    </row>
    <row r="569" ht="15" customHeight="1">
      <c r="A569" t="inlineStr">
        <is>
          <t>A 63487-2025</t>
        </is>
      </c>
      <c r="B569" t="inlineStr">
        <is>
          <t>avverkningsanmälan</t>
        </is>
      </c>
      <c r="C569" t="inlineStr">
        <is>
          <t>Föryngringsavverkning</t>
        </is>
      </c>
      <c r="D569" s="1" t="n">
        <v>46013</v>
      </c>
      <c r="E569" s="1" t="n">
        <v>46312</v>
      </c>
      <c r="F569" t="inlineStr">
        <is>
          <t>SKÅNE LÄN</t>
        </is>
      </c>
      <c r="G569" t="inlineStr">
        <is>
          <t>HÄSSLEHOLM</t>
        </is>
      </c>
      <c r="H569" t="inlineStr">
        <is>
          <t>Kommuner</t>
        </is>
      </c>
      <c r="I569" t="n">
        <v>9.800000000000001</v>
      </c>
      <c r="J569" t="n">
        <v>1</v>
      </c>
      <c r="K569" t="n">
        <v>0</v>
      </c>
      <c r="L569" t="n">
        <v>0</v>
      </c>
      <c r="M569" t="n">
        <v>0</v>
      </c>
      <c r="N569" t="n">
        <v>0</v>
      </c>
      <c r="O569" t="n">
        <v>0</v>
      </c>
      <c r="P569" t="n">
        <v>0</v>
      </c>
      <c r="Q569" t="n">
        <v>0</v>
      </c>
      <c r="R569" t="n">
        <v>0</v>
      </c>
      <c r="S569" t="n">
        <v>1</v>
      </c>
      <c r="T569" t="n">
        <v>1</v>
      </c>
      <c r="U569" t="n">
        <v>0</v>
      </c>
      <c r="V569" s="2" t="inlineStr">
        <is>
          <t>Kungsfågel</t>
        </is>
      </c>
      <c r="W569">
        <f>HYPERLINK("https://klasma.github.io/Logging_1293/artfynd/A 63487-2025 artfynd.xlsx", "A 63487-2025")</f>
        <v/>
      </c>
      <c r="X569">
        <f>HYPERLINK("https://klasma.github.io/Logging_1293/kartor/A 63487-2025 karta.png", "A 63487-2025")</f>
        <v/>
      </c>
      <c r="Y569">
        <f>HYPERLINK("https://klasma.github.io/Logging_1293/kartor_geotiff/A 63487-2025 georefererad karta.tif", "A 63487-2025")</f>
        <v/>
      </c>
      <c r="AA569">
        <f>HYPERLINK("https://klasma.github.io/Logging_1293/klagomål/A 63487-2025 FSC-klagomål.docx", "A 63487-2025")</f>
        <v/>
      </c>
      <c r="AB569">
        <f>HYPERLINK("https://klasma.github.io/Logging_1293/klagomålsmail/A 63487-2025 FSC-klagomål mail.docx", "A 63487-2025")</f>
        <v/>
      </c>
      <c r="AC569">
        <f>HYPERLINK("https://klasma.github.io/Logging_1293/tillsyn/A 63487-2025 tillsynsbegäran.docx", "A 63487-2025")</f>
        <v/>
      </c>
      <c r="AD569">
        <f>HYPERLINK("https://klasma.github.io/Logging_1293/tillsynsmail/A 63487-2025 tillsynsbegäran mail.docx", "A 63487-2025")</f>
        <v/>
      </c>
    </row>
    <row r="570" ht="15" customHeight="1">
      <c r="A570" t="inlineStr">
        <is>
          <t>A 23857-2024</t>
        </is>
      </c>
      <c r="B570" t="inlineStr">
        <is>
          <t>avverkningsanmälan</t>
        </is>
      </c>
      <c r="C570" t="inlineStr">
        <is>
          <t>Föryngringsavverkning</t>
        </is>
      </c>
      <c r="D570" s="1" t="n">
        <v>45455</v>
      </c>
      <c r="E570" s="1" t="n">
        <v>46312</v>
      </c>
      <c r="F570" t="inlineStr">
        <is>
          <t>SKÅNE LÄN</t>
        </is>
      </c>
      <c r="G570" t="inlineStr">
        <is>
          <t>HÄSSLEHOLM</t>
        </is>
      </c>
      <c r="I570" t="n">
        <v>3</v>
      </c>
      <c r="J570" t="n">
        <v>0</v>
      </c>
      <c r="K570" t="n">
        <v>0</v>
      </c>
      <c r="L570" t="n">
        <v>0</v>
      </c>
      <c r="M570" t="n">
        <v>0</v>
      </c>
      <c r="N570" t="n">
        <v>0</v>
      </c>
      <c r="O570" t="n">
        <v>0</v>
      </c>
      <c r="P570" t="n">
        <v>0</v>
      </c>
      <c r="Q570" t="n">
        <v>0</v>
      </c>
      <c r="R570" t="n">
        <v>0</v>
      </c>
      <c r="S570" t="n">
        <v>1</v>
      </c>
      <c r="T570" t="n">
        <v>1</v>
      </c>
      <c r="U570" t="n">
        <v>1</v>
      </c>
      <c r="V570" s="2" t="inlineStr">
        <is>
          <t>Missne</t>
        </is>
      </c>
      <c r="W570">
        <f>HYPERLINK("https://klasma.github.io/Logging_1293/artfynd/A 23857-2024 artfynd.xlsx", "A 23857-2024")</f>
        <v/>
      </c>
      <c r="X570">
        <f>HYPERLINK("https://klasma.github.io/Logging_1293/kartor/A 23857-2024 karta.png", "A 23857-2024")</f>
        <v/>
      </c>
      <c r="Y570">
        <f>HYPERLINK("https://klasma.github.io/Logging_1293/kartor_geotiff/A 23857-2024 georefererad karta.tif", "A 23857-2024")</f>
        <v/>
      </c>
      <c r="AA570">
        <f>HYPERLINK("https://klasma.github.io/Logging_1293/klagomål/A 23857-2024 FSC-klagomål.docx", "A 23857-2024")</f>
        <v/>
      </c>
      <c r="AB570">
        <f>HYPERLINK("https://klasma.github.io/Logging_1293/klagomålsmail/A 23857-2024 FSC-klagomål mail.docx", "A 23857-2024")</f>
        <v/>
      </c>
      <c r="AC570">
        <f>HYPERLINK("https://klasma.github.io/Logging_1293/tillsyn/A 23857-2024 tillsynsbegäran.docx", "A 23857-2024")</f>
        <v/>
      </c>
      <c r="AD570">
        <f>HYPERLINK("https://klasma.github.io/Logging_1293/tillsynsmail/A 23857-2024 tillsynsbegäran mail.docx", "A 23857-2024")</f>
        <v/>
      </c>
    </row>
    <row r="571" ht="15" customHeight="1">
      <c r="A571" t="inlineStr">
        <is>
          <t>A 7054-2024</t>
        </is>
      </c>
      <c r="B571" t="inlineStr">
        <is>
          <t>avverkningsanmälan</t>
        </is>
      </c>
      <c r="C571" t="inlineStr">
        <is>
          <t>Föryngringsavverkning</t>
        </is>
      </c>
      <c r="D571" s="1" t="n">
        <v>45343</v>
      </c>
      <c r="E571" s="1" t="n">
        <v>46312</v>
      </c>
      <c r="F571" t="inlineStr">
        <is>
          <t>SKÅNE LÄN</t>
        </is>
      </c>
      <c r="G571" t="inlineStr">
        <is>
          <t>KRISTIANSTAD</t>
        </is>
      </c>
      <c r="H571" t="inlineStr">
        <is>
          <t>Sveaskog</t>
        </is>
      </c>
      <c r="I571" t="n">
        <v>0.4</v>
      </c>
      <c r="J571" t="n">
        <v>1</v>
      </c>
      <c r="K571" t="n">
        <v>0</v>
      </c>
      <c r="L571" t="n">
        <v>0</v>
      </c>
      <c r="M571" t="n">
        <v>0</v>
      </c>
      <c r="N571" t="n">
        <v>0</v>
      </c>
      <c r="O571" t="n">
        <v>0</v>
      </c>
      <c r="P571" t="n">
        <v>0</v>
      </c>
      <c r="Q571" t="n">
        <v>0</v>
      </c>
      <c r="R571" t="n">
        <v>0</v>
      </c>
      <c r="S571" t="n">
        <v>1</v>
      </c>
      <c r="T571" t="n">
        <v>1</v>
      </c>
      <c r="U571" t="n">
        <v>1</v>
      </c>
      <c r="V571" s="2" t="inlineStr">
        <is>
          <t>Törnskata</t>
        </is>
      </c>
      <c r="W571">
        <f>HYPERLINK("https://klasma.github.io/Logging_1290/artfynd/A 7054-2024 artfynd.xlsx", "A 7054-2024")</f>
        <v/>
      </c>
      <c r="X571">
        <f>HYPERLINK("https://klasma.github.io/Logging_1290/kartor/A 7054-2024 karta.png", "A 7054-2024")</f>
        <v/>
      </c>
      <c r="Y571">
        <f>HYPERLINK("https://klasma.github.io/Logging_1290/kartor_geotiff/A 7054-2024 georefererad karta.tif", "A 7054-2024")</f>
        <v/>
      </c>
      <c r="AA571">
        <f>HYPERLINK("https://klasma.github.io/Logging_1290/klagomål/A 7054-2024 FSC-klagomål.docx", "A 7054-2024")</f>
        <v/>
      </c>
      <c r="AB571">
        <f>HYPERLINK("https://klasma.github.io/Logging_1290/klagomålsmail/A 7054-2024 FSC-klagomål mail.docx", "A 7054-2024")</f>
        <v/>
      </c>
      <c r="AC571">
        <f>HYPERLINK("https://klasma.github.io/Logging_1290/tillsyn/A 7054-2024 tillsynsbegäran.docx", "A 7054-2024")</f>
        <v/>
      </c>
      <c r="AD571">
        <f>HYPERLINK("https://klasma.github.io/Logging_1290/tillsynsmail/A 7054-2024 tillsynsbegäran mail.docx", "A 7054-2024")</f>
        <v/>
      </c>
      <c r="AE571">
        <f>HYPERLINK("https://klasma.github.io/Logging_1290/fåglar/A 7054-2024 prioriterade fågelarter.docx", "A 7054-2024")</f>
        <v/>
      </c>
    </row>
    <row r="572" ht="15" customHeight="1">
      <c r="A572" t="inlineStr">
        <is>
          <t>A 18332-2025</t>
        </is>
      </c>
      <c r="B572" t="inlineStr">
        <is>
          <t>avverkningsanmälan</t>
        </is>
      </c>
      <c r="C572" t="inlineStr">
        <is>
          <t>Föryngringsavverkning</t>
        </is>
      </c>
      <c r="D572" s="1" t="n">
        <v>45762</v>
      </c>
      <c r="E572" s="1" t="n">
        <v>46312</v>
      </c>
      <c r="F572" t="inlineStr">
        <is>
          <t>SKÅNE LÄN</t>
        </is>
      </c>
      <c r="G572" t="inlineStr">
        <is>
          <t>BÅSTAD</t>
        </is>
      </c>
      <c r="I572" t="n">
        <v>2.5</v>
      </c>
      <c r="J572" t="n">
        <v>0</v>
      </c>
      <c r="K572" t="n">
        <v>1</v>
      </c>
      <c r="L572" t="n">
        <v>0</v>
      </c>
      <c r="M572" t="n">
        <v>0</v>
      </c>
      <c r="N572" t="n">
        <v>0</v>
      </c>
      <c r="O572" t="n">
        <v>0</v>
      </c>
      <c r="P572" t="n">
        <v>0</v>
      </c>
      <c r="Q572" t="n">
        <v>0</v>
      </c>
      <c r="R572" t="n">
        <v>0</v>
      </c>
      <c r="S572" t="n">
        <v>1</v>
      </c>
      <c r="T572" t="n">
        <v>1</v>
      </c>
      <c r="U572" t="n">
        <v>0</v>
      </c>
      <c r="V572" s="2" t="inlineStr">
        <is>
          <t>Källmossa</t>
        </is>
      </c>
      <c r="W572">
        <f>HYPERLINK("https://klasma.github.io/Logging_1278/artfynd/A 18332-2025 artfynd.xlsx", "A 18332-2025")</f>
        <v/>
      </c>
      <c r="X572">
        <f>HYPERLINK("https://klasma.github.io/Logging_1278/kartor/A 18332-2025 karta.png", "A 18332-2025")</f>
        <v/>
      </c>
      <c r="Y572">
        <f>HYPERLINK("https://klasma.github.io/Logging_1278/kartor_geotiff/A 18332-2025 georefererad karta.tif", "A 18332-2025")</f>
        <v/>
      </c>
      <c r="AA572">
        <f>HYPERLINK("https://klasma.github.io/Logging_1278/klagomål/A 18332-2025 FSC-klagomål.docx", "A 18332-2025")</f>
        <v/>
      </c>
      <c r="AB572">
        <f>HYPERLINK("https://klasma.github.io/Logging_1278/klagomålsmail/A 18332-2025 FSC-klagomål mail.docx", "A 18332-2025")</f>
        <v/>
      </c>
      <c r="AC572">
        <f>HYPERLINK("https://klasma.github.io/Logging_1278/tillsyn/A 18332-2025 tillsynsbegäran.docx", "A 18332-2025")</f>
        <v/>
      </c>
      <c r="AD572">
        <f>HYPERLINK("https://klasma.github.io/Logging_1278/tillsynsmail/A 18332-2025 tillsynsbegäran mail.docx", "A 18332-2025")</f>
        <v/>
      </c>
    </row>
    <row r="573" ht="15" customHeight="1">
      <c r="A573" t="inlineStr">
        <is>
          <t>A 15810-2024</t>
        </is>
      </c>
      <c r="B573" t="inlineStr">
        <is>
          <t>avverkningsanmälan</t>
        </is>
      </c>
      <c r="C573" t="inlineStr">
        <is>
          <t>Föryngringsavverkning</t>
        </is>
      </c>
      <c r="D573" s="1" t="n">
        <v>45404</v>
      </c>
      <c r="E573" s="1" t="n">
        <v>46312</v>
      </c>
      <c r="F573" t="inlineStr">
        <is>
          <t>SKÅNE LÄN</t>
        </is>
      </c>
      <c r="G573" t="inlineStr">
        <is>
          <t>KLIPPAN</t>
        </is>
      </c>
      <c r="H573" t="inlineStr">
        <is>
          <t>Sveaskog</t>
        </is>
      </c>
      <c r="I573" t="n">
        <v>3.7</v>
      </c>
      <c r="J573" t="n">
        <v>0</v>
      </c>
      <c r="K573" t="n">
        <v>0</v>
      </c>
      <c r="L573" t="n">
        <v>0</v>
      </c>
      <c r="M573" t="n">
        <v>1</v>
      </c>
      <c r="N573" t="n">
        <v>0</v>
      </c>
      <c r="O573" t="n">
        <v>0</v>
      </c>
      <c r="P573" t="n">
        <v>0</v>
      </c>
      <c r="Q573" t="n">
        <v>1</v>
      </c>
      <c r="R573" t="n">
        <v>1</v>
      </c>
      <c r="S573" t="n">
        <v>1</v>
      </c>
      <c r="T573" t="n">
        <v>1</v>
      </c>
      <c r="U573" t="n">
        <v>1</v>
      </c>
      <c r="V573" s="2" t="inlineStr">
        <is>
          <t>Småvänderot</t>
        </is>
      </c>
      <c r="W573">
        <f>HYPERLINK("https://klasma.github.io/Logging_1276/artfynd/A 15810-2024 artfynd.xlsx", "A 15810-2024")</f>
        <v/>
      </c>
      <c r="X573">
        <f>HYPERLINK("https://klasma.github.io/Logging_1276/kartor/A 15810-2024 karta.png", "A 15810-2024")</f>
        <v/>
      </c>
      <c r="Y573">
        <f>HYPERLINK("https://klasma.github.io/Logging_1276/kartor_geotiff/A 15810-2024 georefererad karta.tif", "A 15810-2024")</f>
        <v/>
      </c>
      <c r="AA573">
        <f>HYPERLINK("https://klasma.github.io/Logging_1276/klagomål/A 15810-2024 FSC-klagomål.docx", "A 15810-2024")</f>
        <v/>
      </c>
      <c r="AB573">
        <f>HYPERLINK("https://klasma.github.io/Logging_1276/klagomålsmail/A 15810-2024 FSC-klagomål mail.docx", "A 15810-2024")</f>
        <v/>
      </c>
      <c r="AC573">
        <f>HYPERLINK("https://klasma.github.io/Logging_1276/tillsyn/A 15810-2024 tillsynsbegäran.docx", "A 15810-2024")</f>
        <v/>
      </c>
      <c r="AD573">
        <f>HYPERLINK("https://klasma.github.io/Logging_1276/tillsynsmail/A 15810-2024 tillsynsbegäran mail.docx", "A 15810-2024")</f>
        <v/>
      </c>
    </row>
    <row r="574" ht="15" customHeight="1">
      <c r="A574" t="inlineStr">
        <is>
          <t>A 12026-2023</t>
        </is>
      </c>
      <c r="B574" t="inlineStr">
        <is>
          <t>avverkningsanmälan</t>
        </is>
      </c>
      <c r="C574" t="inlineStr">
        <is>
          <t>Föryngringsavverkning</t>
        </is>
      </c>
      <c r="D574" s="1" t="n">
        <v>44995</v>
      </c>
      <c r="E574" s="1" t="n">
        <v>46312</v>
      </c>
      <c r="F574" t="inlineStr">
        <is>
          <t>SKÅNE LÄN</t>
        </is>
      </c>
      <c r="G574" t="inlineStr">
        <is>
          <t>LOMMA</t>
        </is>
      </c>
      <c r="I574" t="n">
        <v>0.5</v>
      </c>
      <c r="J574" t="n">
        <v>1</v>
      </c>
      <c r="K574" t="n">
        <v>0</v>
      </c>
      <c r="L574" t="n">
        <v>0</v>
      </c>
      <c r="M574" t="n">
        <v>1</v>
      </c>
      <c r="N574" t="n">
        <v>0</v>
      </c>
      <c r="O574" t="n">
        <v>0</v>
      </c>
      <c r="P574" t="n">
        <v>0</v>
      </c>
      <c r="Q574" t="n">
        <v>1</v>
      </c>
      <c r="R574" t="n">
        <v>1</v>
      </c>
      <c r="S574" t="n">
        <v>1</v>
      </c>
      <c r="T574" t="n">
        <v>1</v>
      </c>
      <c r="U574" t="n">
        <v>0</v>
      </c>
      <c r="V574" s="2" t="inlineStr">
        <is>
          <t>Hedblomster</t>
        </is>
      </c>
      <c r="W574">
        <f>HYPERLINK("https://klasma.github.io/Logging_1262/artfynd/A 12026-2023 artfynd.xlsx", "A 12026-2023")</f>
        <v/>
      </c>
      <c r="X574">
        <f>HYPERLINK("https://klasma.github.io/Logging_1262/kartor/A 12026-2023 karta.png", "A 12026-2023")</f>
        <v/>
      </c>
      <c r="Y574">
        <f>HYPERLINK("https://klasma.github.io/Logging_1262/kartor_geotiff/A 12026-2023 georefererad karta.tif", "A 12026-2023")</f>
        <v/>
      </c>
      <c r="AA574">
        <f>HYPERLINK("https://klasma.github.io/Logging_1262/klagomål/A 12026-2023 FSC-klagomål.docx", "A 12026-2023")</f>
        <v/>
      </c>
      <c r="AB574">
        <f>HYPERLINK("https://klasma.github.io/Logging_1262/klagomålsmail/A 12026-2023 FSC-klagomål mail.docx", "A 12026-2023")</f>
        <v/>
      </c>
      <c r="AC574">
        <f>HYPERLINK("https://klasma.github.io/Logging_1262/tillsyn/A 12026-2023 tillsynsbegäran.docx", "A 12026-2023")</f>
        <v/>
      </c>
      <c r="AD574">
        <f>HYPERLINK("https://klasma.github.io/Logging_1262/tillsynsmail/A 12026-2023 tillsynsbegäran mail.docx", "A 12026-2023")</f>
        <v/>
      </c>
    </row>
    <row r="575" ht="15" customHeight="1">
      <c r="A575" t="inlineStr">
        <is>
          <t>A 43874-2022</t>
        </is>
      </c>
      <c r="B575" t="inlineStr">
        <is>
          <t>avverkningsanmälan</t>
        </is>
      </c>
      <c r="C575" t="inlineStr">
        <is>
          <t>Föryngringsavverkning</t>
        </is>
      </c>
      <c r="D575" s="1" t="n">
        <v>44838</v>
      </c>
      <c r="E575" s="1" t="n">
        <v>46312</v>
      </c>
      <c r="F575" t="inlineStr">
        <is>
          <t>SKÅNE LÄN</t>
        </is>
      </c>
      <c r="G575" t="inlineStr">
        <is>
          <t>HÄSSLEHOLM</t>
        </is>
      </c>
      <c r="I575" t="n">
        <v>2.1</v>
      </c>
      <c r="J575" t="n">
        <v>0</v>
      </c>
      <c r="K575" t="n">
        <v>0</v>
      </c>
      <c r="L575" t="n">
        <v>0</v>
      </c>
      <c r="M575" t="n">
        <v>1</v>
      </c>
      <c r="N575" t="n">
        <v>0</v>
      </c>
      <c r="O575" t="n">
        <v>0</v>
      </c>
      <c r="P575" t="n">
        <v>0</v>
      </c>
      <c r="Q575" t="n">
        <v>1</v>
      </c>
      <c r="R575" t="n">
        <v>1</v>
      </c>
      <c r="S575" t="n">
        <v>1</v>
      </c>
      <c r="T575" t="n">
        <v>1</v>
      </c>
      <c r="U575" t="n">
        <v>1</v>
      </c>
      <c r="V575" s="2" t="inlineStr">
        <is>
          <t>Igelkott</t>
        </is>
      </c>
      <c r="W575">
        <f>HYPERLINK("https://klasma.github.io/Logging_1293/artfynd/A 43874-2022 artfynd.xlsx", "A 43874-2022")</f>
        <v/>
      </c>
      <c r="X575">
        <f>HYPERLINK("https://klasma.github.io/Logging_1293/kartor/A 43874-2022 karta.png", "A 43874-2022")</f>
        <v/>
      </c>
      <c r="Y575">
        <f>HYPERLINK("https://klasma.github.io/Logging_1293/kartor_geotiff/A 43874-2022 georefererad karta.tif", "A 43874-2022")</f>
        <v/>
      </c>
      <c r="AA575">
        <f>HYPERLINK("https://klasma.github.io/Logging_1293/klagomål/A 43874-2022 FSC-klagomål.docx", "A 43874-2022")</f>
        <v/>
      </c>
      <c r="AB575">
        <f>HYPERLINK("https://klasma.github.io/Logging_1293/klagomålsmail/A 43874-2022 FSC-klagomål mail.docx", "A 43874-2022")</f>
        <v/>
      </c>
      <c r="AC575">
        <f>HYPERLINK("https://klasma.github.io/Logging_1293/tillsyn/A 43874-2022 tillsynsbegäran.docx", "A 43874-2022")</f>
        <v/>
      </c>
      <c r="AD575">
        <f>HYPERLINK("https://klasma.github.io/Logging_1293/tillsynsmail/A 43874-2022 tillsynsbegäran mail.docx", "A 43874-2022")</f>
        <v/>
      </c>
    </row>
    <row r="576" ht="15" customHeight="1">
      <c r="A576" t="inlineStr">
        <is>
          <t>A 45925-2023</t>
        </is>
      </c>
      <c r="B576" t="inlineStr">
        <is>
          <t>avverkningsanmälan</t>
        </is>
      </c>
      <c r="C576" t="inlineStr">
        <is>
          <t>Avverkning för annat ändamål</t>
        </is>
      </c>
      <c r="D576" s="1" t="n">
        <v>45189</v>
      </c>
      <c r="E576" s="1" t="n">
        <v>46312</v>
      </c>
      <c r="F576" t="inlineStr">
        <is>
          <t>SKÅNE LÄN</t>
        </is>
      </c>
      <c r="G576" t="inlineStr">
        <is>
          <t>SJÖBO</t>
        </is>
      </c>
      <c r="H576" t="inlineStr">
        <is>
          <t>Sveaskog</t>
        </is>
      </c>
      <c r="I576" t="n">
        <v>4.7</v>
      </c>
      <c r="J576" t="n">
        <v>0</v>
      </c>
      <c r="K576" t="n">
        <v>0</v>
      </c>
      <c r="L576" t="n">
        <v>0</v>
      </c>
      <c r="M576" t="n">
        <v>0</v>
      </c>
      <c r="N576" t="n">
        <v>1</v>
      </c>
      <c r="O576" t="n">
        <v>0</v>
      </c>
      <c r="P576" t="n">
        <v>0</v>
      </c>
      <c r="Q576" t="n">
        <v>1</v>
      </c>
      <c r="R576" t="n">
        <v>1</v>
      </c>
      <c r="S576" t="n">
        <v>1</v>
      </c>
      <c r="T576" t="n">
        <v>1</v>
      </c>
      <c r="U576" t="n">
        <v>0</v>
      </c>
      <c r="V576" s="2" t="inlineStr">
        <is>
          <t>Ask</t>
        </is>
      </c>
      <c r="W576">
        <f>HYPERLINK("https://klasma.github.io/Logging_1265/artfynd/A 45925-2023 artfynd.xlsx", "A 45925-2023")</f>
        <v/>
      </c>
      <c r="X576">
        <f>HYPERLINK("https://klasma.github.io/Logging_1265/kartor/A 45925-2023 karta.png", "A 45925-2023")</f>
        <v/>
      </c>
      <c r="Y576">
        <f>HYPERLINK("https://klasma.github.io/Logging_1265/kartor_geotiff/A 45925-2023 georefererad karta.tif", "A 45925-2023")</f>
        <v/>
      </c>
      <c r="AA576">
        <f>HYPERLINK("https://klasma.github.io/Logging_1265/klagomål/A 45925-2023 FSC-klagomål.docx", "A 45925-2023")</f>
        <v/>
      </c>
      <c r="AB576">
        <f>HYPERLINK("https://klasma.github.io/Logging_1265/klagomålsmail/A 45925-2023 FSC-klagomål mail.docx", "A 45925-2023")</f>
        <v/>
      </c>
      <c r="AC576">
        <f>HYPERLINK("https://klasma.github.io/Logging_1265/tillsyn/A 45925-2023 tillsynsbegäran.docx", "A 45925-2023")</f>
        <v/>
      </c>
      <c r="AD576">
        <f>HYPERLINK("https://klasma.github.io/Logging_1265/tillsynsmail/A 45925-2023 tillsynsbegäran mail.docx", "A 45925-2023")</f>
        <v/>
      </c>
    </row>
    <row r="577" ht="15" customHeight="1">
      <c r="A577" t="inlineStr">
        <is>
          <t>A 44885-2022</t>
        </is>
      </c>
      <c r="B577" t="inlineStr">
        <is>
          <t>avverkningsanmälan</t>
        </is>
      </c>
      <c r="C577" t="inlineStr">
        <is>
          <t>Föryngringsavverkning</t>
        </is>
      </c>
      <c r="D577" s="1" t="n">
        <v>44841</v>
      </c>
      <c r="E577" s="1" t="n">
        <v>46312</v>
      </c>
      <c r="F577" t="inlineStr">
        <is>
          <t>SKÅNE LÄN</t>
        </is>
      </c>
      <c r="G577" t="inlineStr">
        <is>
          <t>KLIPPAN</t>
        </is>
      </c>
      <c r="I577" t="n">
        <v>1.7</v>
      </c>
      <c r="J577" t="n">
        <v>0</v>
      </c>
      <c r="K577" t="n">
        <v>1</v>
      </c>
      <c r="L577" t="n">
        <v>0</v>
      </c>
      <c r="M577" t="n">
        <v>0</v>
      </c>
      <c r="N577" t="n">
        <v>0</v>
      </c>
      <c r="O577" t="n">
        <v>0</v>
      </c>
      <c r="P577" t="n">
        <v>0</v>
      </c>
      <c r="Q577" t="n">
        <v>0</v>
      </c>
      <c r="R577" t="n">
        <v>0</v>
      </c>
      <c r="S577" t="n">
        <v>1</v>
      </c>
      <c r="T577" t="n">
        <v>1</v>
      </c>
      <c r="U577" t="n">
        <v>0</v>
      </c>
      <c r="V577" s="2" t="inlineStr">
        <is>
          <t>Blåmossa</t>
        </is>
      </c>
      <c r="W577">
        <f>HYPERLINK("https://klasma.github.io/Logging_1276/artfynd/A 44885-2022 artfynd.xlsx", "A 44885-2022")</f>
        <v/>
      </c>
      <c r="X577">
        <f>HYPERLINK("https://klasma.github.io/Logging_1276/kartor/A 44885-2022 karta.png", "A 44885-2022")</f>
        <v/>
      </c>
      <c r="Y577">
        <f>HYPERLINK("https://klasma.github.io/Logging_1276/kartor_geotiff/A 44885-2022 georefererad karta.tif", "A 44885-2022")</f>
        <v/>
      </c>
      <c r="AA577">
        <f>HYPERLINK("https://klasma.github.io/Logging_1276/klagomål/A 44885-2022 FSC-klagomål.docx", "A 44885-2022")</f>
        <v/>
      </c>
      <c r="AB577">
        <f>HYPERLINK("https://klasma.github.io/Logging_1276/klagomålsmail/A 44885-2022 FSC-klagomål mail.docx", "A 44885-2022")</f>
        <v/>
      </c>
      <c r="AC577">
        <f>HYPERLINK("https://klasma.github.io/Logging_1276/tillsyn/A 44885-2022 tillsynsbegäran.docx", "A 44885-2022")</f>
        <v/>
      </c>
      <c r="AD577">
        <f>HYPERLINK("https://klasma.github.io/Logging_1276/tillsynsmail/A 44885-2022 tillsynsbegäran mail.docx", "A 44885-2022")</f>
        <v/>
      </c>
    </row>
    <row r="578" ht="15" customHeight="1">
      <c r="A578" t="inlineStr">
        <is>
          <t>A 31400-2025</t>
        </is>
      </c>
      <c r="B578" t="inlineStr">
        <is>
          <t>avverkningsanmälan</t>
        </is>
      </c>
      <c r="C578" t="inlineStr">
        <is>
          <t>Föryngringsavverkning</t>
        </is>
      </c>
      <c r="D578" s="1" t="n">
        <v>45833</v>
      </c>
      <c r="E578" s="1" t="n">
        <v>46312</v>
      </c>
      <c r="F578" t="inlineStr">
        <is>
          <t>SKÅNE LÄN</t>
        </is>
      </c>
      <c r="G578" t="inlineStr">
        <is>
          <t>KRISTIANSTAD</t>
        </is>
      </c>
      <c r="I578" t="n">
        <v>8</v>
      </c>
      <c r="J578" t="n">
        <v>1</v>
      </c>
      <c r="K578" t="n">
        <v>0</v>
      </c>
      <c r="L578" t="n">
        <v>0</v>
      </c>
      <c r="M578" t="n">
        <v>0</v>
      </c>
      <c r="N578" t="n">
        <v>0</v>
      </c>
      <c r="O578" t="n">
        <v>0</v>
      </c>
      <c r="P578" t="n">
        <v>0</v>
      </c>
      <c r="Q578" t="n">
        <v>0</v>
      </c>
      <c r="R578" t="n">
        <v>0</v>
      </c>
      <c r="S578" t="n">
        <v>1</v>
      </c>
      <c r="T578" t="n">
        <v>1</v>
      </c>
      <c r="U578" t="n">
        <v>1</v>
      </c>
      <c r="V578" s="2" t="inlineStr">
        <is>
          <t>Lopplummer (aggregat)</t>
        </is>
      </c>
      <c r="W578">
        <f>HYPERLINK("https://klasma.github.io/Logging_1290/artfynd/A 31400-2025 artfynd.xlsx", "A 31400-2025")</f>
        <v/>
      </c>
      <c r="X578">
        <f>HYPERLINK("https://klasma.github.io/Logging_1290/kartor/A 31400-2025 karta.png", "A 31400-2025")</f>
        <v/>
      </c>
      <c r="Y578">
        <f>HYPERLINK("https://klasma.github.io/Logging_1290/kartor_geotiff/A 31400-2025 georefererad karta.tif", "A 31400-2025")</f>
        <v/>
      </c>
      <c r="AA578">
        <f>HYPERLINK("https://klasma.github.io/Logging_1290/klagomål/A 31400-2025 FSC-klagomål.docx", "A 31400-2025")</f>
        <v/>
      </c>
      <c r="AB578">
        <f>HYPERLINK("https://klasma.github.io/Logging_1290/klagomålsmail/A 31400-2025 FSC-klagomål mail.docx", "A 31400-2025")</f>
        <v/>
      </c>
      <c r="AC578">
        <f>HYPERLINK("https://klasma.github.io/Logging_1290/tillsyn/A 31400-2025 tillsynsbegäran.docx", "A 31400-2025")</f>
        <v/>
      </c>
      <c r="AD578">
        <f>HYPERLINK("https://klasma.github.io/Logging_1290/tillsynsmail/A 31400-2025 tillsynsbegäran mail.docx", "A 31400-2025")</f>
        <v/>
      </c>
    </row>
    <row r="579" ht="15" customHeight="1">
      <c r="A579" t="inlineStr">
        <is>
          <t>A 25909-2026</t>
        </is>
      </c>
      <c r="B579" t="inlineStr">
        <is>
          <t>avverkningsanmälan</t>
        </is>
      </c>
      <c r="C579" t="inlineStr">
        <is>
          <t>Föryngringsavverkning</t>
        </is>
      </c>
      <c r="D579" s="1" t="n">
        <v>46178</v>
      </c>
      <c r="E579" s="1" t="n">
        <v>46312</v>
      </c>
      <c r="F579" t="inlineStr">
        <is>
          <t>SKÅNE LÄN</t>
        </is>
      </c>
      <c r="G579" t="inlineStr">
        <is>
          <t>OSBY</t>
        </is>
      </c>
      <c r="I579" t="n">
        <v>2.4</v>
      </c>
      <c r="J579" t="n">
        <v>1</v>
      </c>
      <c r="K579" t="n">
        <v>0</v>
      </c>
      <c r="L579" t="n">
        <v>0</v>
      </c>
      <c r="M579" t="n">
        <v>0</v>
      </c>
      <c r="N579" t="n">
        <v>0</v>
      </c>
      <c r="O579" t="n">
        <v>0</v>
      </c>
      <c r="P579" t="n">
        <v>0</v>
      </c>
      <c r="Q579" t="n">
        <v>0</v>
      </c>
      <c r="R579" t="n">
        <v>0</v>
      </c>
      <c r="S579" t="n">
        <v>1</v>
      </c>
      <c r="T579" t="n">
        <v>2</v>
      </c>
      <c r="U579" t="n">
        <v>0</v>
      </c>
      <c r="V579" s="2" t="inlineStr">
        <is>
          <t>Kungsfågel</t>
        </is>
      </c>
      <c r="W579">
        <f>HYPERLINK("https://klasma.github.io/Logging_1273/artfynd/A 25909-2026 artfynd.xlsx", "A 25909-2026")</f>
        <v/>
      </c>
      <c r="X579">
        <f>HYPERLINK("https://klasma.github.io/Logging_1273/kartor/A 25909-2026 karta.png", "A 25909-2026")</f>
        <v/>
      </c>
      <c r="Y579">
        <f>HYPERLINK("https://klasma.github.io/Logging_1273/kartor_geotiff/A 25909-2026 georefererad karta.tif", "A 25909-2026")</f>
        <v/>
      </c>
      <c r="AA579">
        <f>HYPERLINK("https://klasma.github.io/Logging_1273/klagomål/A 25909-2026 FSC-klagomål.docx", "A 25909-2026")</f>
        <v/>
      </c>
      <c r="AB579">
        <f>HYPERLINK("https://klasma.github.io/Logging_1273/klagomålsmail/A 25909-2026 FSC-klagomål mail.docx", "A 25909-2026")</f>
        <v/>
      </c>
      <c r="AC579">
        <f>HYPERLINK("https://klasma.github.io/Logging_1273/tillsyn/A 25909-2026 tillsynsbegäran.docx", "A 25909-2026")</f>
        <v/>
      </c>
      <c r="AD579">
        <f>HYPERLINK("https://klasma.github.io/Logging_1273/tillsynsmail/A 25909-2026 tillsynsbegäran mail.docx", "A 25909-2026")</f>
        <v/>
      </c>
    </row>
    <row r="580" ht="15" customHeight="1">
      <c r="A580" t="inlineStr">
        <is>
          <t>A 30857-2023</t>
        </is>
      </c>
      <c r="B580" t="inlineStr">
        <is>
          <t>avverkningsanmälan</t>
        </is>
      </c>
      <c r="C580" t="inlineStr">
        <is>
          <t>Föryngringsavverkning</t>
        </is>
      </c>
      <c r="D580" s="1" t="n">
        <v>45112</v>
      </c>
      <c r="E580" s="1" t="n">
        <v>46312</v>
      </c>
      <c r="F580" t="inlineStr">
        <is>
          <t>SKÅNE LÄN</t>
        </is>
      </c>
      <c r="G580" t="inlineStr">
        <is>
          <t>KRISTIANSTAD</t>
        </is>
      </c>
      <c r="H580" t="inlineStr">
        <is>
          <t>Sveaskog</t>
        </is>
      </c>
      <c r="I580" t="n">
        <v>0.7</v>
      </c>
      <c r="J580" t="n">
        <v>0</v>
      </c>
      <c r="K580" t="n">
        <v>0</v>
      </c>
      <c r="L580" t="n">
        <v>1</v>
      </c>
      <c r="M580" t="n">
        <v>0</v>
      </c>
      <c r="N580" t="n">
        <v>0</v>
      </c>
      <c r="O580" t="n">
        <v>0</v>
      </c>
      <c r="P580" t="n">
        <v>0</v>
      </c>
      <c r="Q580" t="n">
        <v>1</v>
      </c>
      <c r="R580" t="n">
        <v>0</v>
      </c>
      <c r="S580" t="n">
        <v>1</v>
      </c>
      <c r="T580" t="n">
        <v>2</v>
      </c>
      <c r="U580" t="n">
        <v>2</v>
      </c>
      <c r="V580" s="2" t="inlineStr">
        <is>
          <t>Sommarfibbla</t>
        </is>
      </c>
      <c r="W580">
        <f>HYPERLINK("https://klasma.github.io/Logging_1290/artfynd/A 30857-2023 artfynd.xlsx", "A 30857-2023")</f>
        <v/>
      </c>
      <c r="X580">
        <f>HYPERLINK("https://klasma.github.io/Logging_1290/kartor/A 30857-2023 karta.png", "A 30857-2023")</f>
        <v/>
      </c>
      <c r="Y580">
        <f>HYPERLINK("https://klasma.github.io/Logging_1290/kartor_geotiff/A 30857-2023 georefererad karta.tif", "A 30857-2023")</f>
        <v/>
      </c>
      <c r="AA580">
        <f>HYPERLINK("https://klasma.github.io/Logging_1290/klagomål/A 30857-2023 FSC-klagomål.docx", "A 30857-2023")</f>
        <v/>
      </c>
      <c r="AB580">
        <f>HYPERLINK("https://klasma.github.io/Logging_1290/klagomålsmail/A 30857-2023 FSC-klagomål mail.docx", "A 30857-2023")</f>
        <v/>
      </c>
      <c r="AC580">
        <f>HYPERLINK("https://klasma.github.io/Logging_1290/tillsyn/A 30857-2023 tillsynsbegäran.docx", "A 30857-2023")</f>
        <v/>
      </c>
      <c r="AD580">
        <f>HYPERLINK("https://klasma.github.io/Logging_1290/tillsynsmail/A 30857-2023 tillsynsbegäran mail.docx", "A 30857-2023")</f>
        <v/>
      </c>
    </row>
    <row r="581" ht="15" customHeight="1">
      <c r="A581" t="inlineStr">
        <is>
          <t>A 38440-2024</t>
        </is>
      </c>
      <c r="B581" t="inlineStr">
        <is>
          <t>avverkningsanmälan</t>
        </is>
      </c>
      <c r="C581" t="inlineStr">
        <is>
          <t>Föryngringsavverkning</t>
        </is>
      </c>
      <c r="D581" s="1" t="n">
        <v>45546</v>
      </c>
      <c r="E581" s="1" t="n">
        <v>46312</v>
      </c>
      <c r="F581" t="inlineStr">
        <is>
          <t>SKÅNE LÄN</t>
        </is>
      </c>
      <c r="G581" t="inlineStr">
        <is>
          <t>KRISTIANSTAD</t>
        </is>
      </c>
      <c r="I581" t="n">
        <v>6.2</v>
      </c>
      <c r="J581" t="n">
        <v>0</v>
      </c>
      <c r="K581" t="n">
        <v>0</v>
      </c>
      <c r="L581" t="n">
        <v>0</v>
      </c>
      <c r="M581" t="n">
        <v>1</v>
      </c>
      <c r="N581" t="n">
        <v>0</v>
      </c>
      <c r="O581" t="n">
        <v>0</v>
      </c>
      <c r="P581" t="n">
        <v>0</v>
      </c>
      <c r="Q581" t="n">
        <v>1</v>
      </c>
      <c r="R581" t="n">
        <v>1</v>
      </c>
      <c r="S581" t="n">
        <v>1</v>
      </c>
      <c r="T581" t="n">
        <v>1</v>
      </c>
      <c r="U581" t="n">
        <v>1</v>
      </c>
      <c r="V581" s="2" t="inlineStr">
        <is>
          <t>Igelkott</t>
        </is>
      </c>
      <c r="W581">
        <f>HYPERLINK("https://klasma.github.io/Logging_1290/artfynd/A 38440-2024 artfynd.xlsx", "A 38440-2024")</f>
        <v/>
      </c>
      <c r="X581">
        <f>HYPERLINK("https://klasma.github.io/Logging_1290/kartor/A 38440-2024 karta.png", "A 38440-2024")</f>
        <v/>
      </c>
      <c r="Y581">
        <f>HYPERLINK("https://klasma.github.io/Logging_1290/kartor_geotiff/A 38440-2024 georefererad karta.tif", "A 38440-2024")</f>
        <v/>
      </c>
      <c r="AA581">
        <f>HYPERLINK("https://klasma.github.io/Logging_1290/klagomål/A 38440-2024 FSC-klagomål.docx", "A 38440-2024")</f>
        <v/>
      </c>
      <c r="AB581">
        <f>HYPERLINK("https://klasma.github.io/Logging_1290/klagomålsmail/A 38440-2024 FSC-klagomål mail.docx", "A 38440-2024")</f>
        <v/>
      </c>
      <c r="AC581">
        <f>HYPERLINK("https://klasma.github.io/Logging_1290/tillsyn/A 38440-2024 tillsynsbegäran.docx", "A 38440-2024")</f>
        <v/>
      </c>
      <c r="AD581">
        <f>HYPERLINK("https://klasma.github.io/Logging_1290/tillsynsmail/A 38440-2024 tillsynsbegäran mail.docx", "A 38440-2024")</f>
        <v/>
      </c>
    </row>
    <row r="582" ht="15" customHeight="1">
      <c r="A582" t="inlineStr">
        <is>
          <t>A 49813-2025</t>
        </is>
      </c>
      <c r="B582" t="inlineStr">
        <is>
          <t>avverkningsanmälan</t>
        </is>
      </c>
      <c r="C582" t="inlineStr">
        <is>
          <t>Föryngringsavverkning</t>
        </is>
      </c>
      <c r="D582" s="1" t="n">
        <v>45940</v>
      </c>
      <c r="E582" s="1" t="n">
        <v>46312</v>
      </c>
      <c r="F582" t="inlineStr">
        <is>
          <t>SKÅNE LÄN</t>
        </is>
      </c>
      <c r="G582" t="inlineStr">
        <is>
          <t>TOMELILLA</t>
        </is>
      </c>
      <c r="I582" t="n">
        <v>4.5</v>
      </c>
      <c r="J582" t="n">
        <v>1</v>
      </c>
      <c r="K582" t="n">
        <v>0</v>
      </c>
      <c r="L582" t="n">
        <v>0</v>
      </c>
      <c r="M582" t="n">
        <v>0</v>
      </c>
      <c r="N582" t="n">
        <v>0</v>
      </c>
      <c r="O582" t="n">
        <v>0</v>
      </c>
      <c r="P582" t="n">
        <v>0</v>
      </c>
      <c r="Q582" t="n">
        <v>0</v>
      </c>
      <c r="R582" t="n">
        <v>0</v>
      </c>
      <c r="S582" t="n">
        <v>1</v>
      </c>
      <c r="T582" t="n">
        <v>1</v>
      </c>
      <c r="U582" t="n">
        <v>0</v>
      </c>
      <c r="V582" s="2" t="inlineStr">
        <is>
          <t>Långbensgroda</t>
        </is>
      </c>
      <c r="W582">
        <f>HYPERLINK("https://klasma.github.io/Logging_1270/artfynd/A 49813-2025 artfynd.xlsx", "A 49813-2025")</f>
        <v/>
      </c>
      <c r="X582">
        <f>HYPERLINK("https://klasma.github.io/Logging_1270/kartor/A 49813-2025 karta.png", "A 49813-2025")</f>
        <v/>
      </c>
      <c r="Y582">
        <f>HYPERLINK("https://klasma.github.io/Logging_1270/kartor_geotiff/A 49813-2025 georefererad karta.tif", "A 49813-2025")</f>
        <v/>
      </c>
      <c r="AA582">
        <f>HYPERLINK("https://klasma.github.io/Logging_1270/klagomål/A 49813-2025 FSC-klagomål.docx", "A 49813-2025")</f>
        <v/>
      </c>
      <c r="AB582">
        <f>HYPERLINK("https://klasma.github.io/Logging_1270/klagomålsmail/A 49813-2025 FSC-klagomål mail.docx", "A 49813-2025")</f>
        <v/>
      </c>
      <c r="AC582">
        <f>HYPERLINK("https://klasma.github.io/Logging_1270/tillsyn/A 49813-2025 tillsynsbegäran.docx", "A 49813-2025")</f>
        <v/>
      </c>
      <c r="AD582">
        <f>HYPERLINK("https://klasma.github.io/Logging_1270/tillsynsmail/A 49813-2025 tillsynsbegäran mail.docx", "A 49813-2025")</f>
        <v/>
      </c>
    </row>
    <row r="583" ht="15" customHeight="1">
      <c r="A583" t="inlineStr">
        <is>
          <t>A 47943-2023</t>
        </is>
      </c>
      <c r="B583" t="inlineStr">
        <is>
          <t>avverkningsanmälan</t>
        </is>
      </c>
      <c r="C583" t="inlineStr">
        <is>
          <t>Föryngringsavverkning</t>
        </is>
      </c>
      <c r="D583" s="1" t="n">
        <v>45204</v>
      </c>
      <c r="E583" s="1" t="n">
        <v>46312</v>
      </c>
      <c r="F583" t="inlineStr">
        <is>
          <t>SKÅNE LÄN</t>
        </is>
      </c>
      <c r="G583" t="inlineStr">
        <is>
          <t>SJÖBO</t>
        </is>
      </c>
      <c r="I583" t="n">
        <v>6.1</v>
      </c>
      <c r="J583" t="n">
        <v>1</v>
      </c>
      <c r="K583" t="n">
        <v>0</v>
      </c>
      <c r="L583" t="n">
        <v>0</v>
      </c>
      <c r="M583" t="n">
        <v>1</v>
      </c>
      <c r="N583" t="n">
        <v>0</v>
      </c>
      <c r="O583" t="n">
        <v>0</v>
      </c>
      <c r="P583" t="n">
        <v>0</v>
      </c>
      <c r="Q583" t="n">
        <v>1</v>
      </c>
      <c r="R583" t="n">
        <v>1</v>
      </c>
      <c r="S583" t="n">
        <v>1</v>
      </c>
      <c r="T583" t="n">
        <v>1</v>
      </c>
      <c r="U583" t="n">
        <v>1</v>
      </c>
      <c r="V583" s="2" t="inlineStr">
        <is>
          <t>Hedblomster</t>
        </is>
      </c>
      <c r="W583">
        <f>HYPERLINK("https://klasma.github.io/Logging_1265/artfynd/A 47943-2023 artfynd.xlsx", "A 47943-2023")</f>
        <v/>
      </c>
      <c r="X583">
        <f>HYPERLINK("https://klasma.github.io/Logging_1265/kartor/A 47943-2023 karta.png", "A 47943-2023")</f>
        <v/>
      </c>
      <c r="Y583">
        <f>HYPERLINK("https://klasma.github.io/Logging_1265/kartor_geotiff/A 47943-2023 georefererad karta.tif", "A 47943-2023")</f>
        <v/>
      </c>
      <c r="AA583">
        <f>HYPERLINK("https://klasma.github.io/Logging_1265/klagomål/A 47943-2023 FSC-klagomål.docx", "A 47943-2023")</f>
        <v/>
      </c>
      <c r="AB583">
        <f>HYPERLINK("https://klasma.github.io/Logging_1265/klagomålsmail/A 47943-2023 FSC-klagomål mail.docx", "A 47943-2023")</f>
        <v/>
      </c>
      <c r="AC583">
        <f>HYPERLINK("https://klasma.github.io/Logging_1265/tillsyn/A 47943-2023 tillsynsbegäran.docx", "A 47943-2023")</f>
        <v/>
      </c>
      <c r="AD583">
        <f>HYPERLINK("https://klasma.github.io/Logging_1265/tillsynsmail/A 47943-2023 tillsynsbegäran mail.docx", "A 47943-2023")</f>
        <v/>
      </c>
    </row>
    <row r="584" ht="15" customHeight="1">
      <c r="A584" t="inlineStr">
        <is>
          <t>A 25944-2026</t>
        </is>
      </c>
      <c r="B584" t="inlineStr">
        <is>
          <t>avverkningsanmälan</t>
        </is>
      </c>
      <c r="C584" t="inlineStr">
        <is>
          <t>Föryngringsavverkning</t>
        </is>
      </c>
      <c r="D584" s="1" t="n">
        <v>46181</v>
      </c>
      <c r="E584" s="1" t="n">
        <v>46312</v>
      </c>
      <c r="F584" t="inlineStr">
        <is>
          <t>SKÅNE LÄN</t>
        </is>
      </c>
      <c r="G584" t="inlineStr">
        <is>
          <t>HÄSSLEHOLM</t>
        </is>
      </c>
      <c r="I584" t="n">
        <v>3.4</v>
      </c>
      <c r="J584" t="n">
        <v>0</v>
      </c>
      <c r="K584" t="n">
        <v>0</v>
      </c>
      <c r="L584" t="n">
        <v>1</v>
      </c>
      <c r="M584" t="n">
        <v>0</v>
      </c>
      <c r="N584" t="n">
        <v>0</v>
      </c>
      <c r="O584" t="n">
        <v>0</v>
      </c>
      <c r="P584" t="n">
        <v>0</v>
      </c>
      <c r="Q584" t="n">
        <v>1</v>
      </c>
      <c r="R584" t="n">
        <v>0</v>
      </c>
      <c r="S584" t="n">
        <v>1</v>
      </c>
      <c r="T584" t="n">
        <v>1</v>
      </c>
      <c r="U584" t="n">
        <v>0</v>
      </c>
      <c r="V584" s="2" t="inlineStr">
        <is>
          <t>Sydlig sotticka</t>
        </is>
      </c>
      <c r="W584">
        <f>HYPERLINK("https://klasma.github.io/Logging_1293/artfynd/A 25944-2026 artfynd.xlsx", "A 25944-2026")</f>
        <v/>
      </c>
      <c r="X584">
        <f>HYPERLINK("https://klasma.github.io/Logging_1293/kartor/A 25944-2026 karta.png", "A 25944-2026")</f>
        <v/>
      </c>
      <c r="Y584">
        <f>HYPERLINK("https://klasma.github.io/Logging_1293/kartor_geotiff/A 25944-2026 georefererad karta.tif", "A 25944-2026")</f>
        <v/>
      </c>
      <c r="AA584">
        <f>HYPERLINK("https://klasma.github.io/Logging_1293/klagomål/A 25944-2026 FSC-klagomål.docx", "A 25944-2026")</f>
        <v/>
      </c>
      <c r="AB584">
        <f>HYPERLINK("https://klasma.github.io/Logging_1293/klagomålsmail/A 25944-2026 FSC-klagomål mail.docx", "A 25944-2026")</f>
        <v/>
      </c>
      <c r="AC584">
        <f>HYPERLINK("https://klasma.github.io/Logging_1293/tillsyn/A 25944-2026 tillsynsbegäran.docx", "A 25944-2026")</f>
        <v/>
      </c>
      <c r="AD584">
        <f>HYPERLINK("https://klasma.github.io/Logging_1293/tillsynsmail/A 25944-2026 tillsynsbegäran mail.docx", "A 25944-2026")</f>
        <v/>
      </c>
    </row>
    <row r="585" ht="15" customHeight="1">
      <c r="A585" t="inlineStr">
        <is>
          <t>A 16519-2026</t>
        </is>
      </c>
      <c r="B585" t="inlineStr">
        <is>
          <t>avverkningsanmälan</t>
        </is>
      </c>
      <c r="C585" t="inlineStr">
        <is>
          <t>Föryngringsavverkning</t>
        </is>
      </c>
      <c r="D585" s="1" t="n">
        <v>46112</v>
      </c>
      <c r="E585" s="1" t="n">
        <v>46312</v>
      </c>
      <c r="F585" t="inlineStr">
        <is>
          <t>SKÅNE LÄN</t>
        </is>
      </c>
      <c r="G585" t="inlineStr">
        <is>
          <t>HÖRBY</t>
        </is>
      </c>
      <c r="I585" t="n">
        <v>0.8</v>
      </c>
      <c r="J585" t="n">
        <v>0</v>
      </c>
      <c r="K585" t="n">
        <v>0</v>
      </c>
      <c r="L585" t="n">
        <v>0</v>
      </c>
      <c r="M585" t="n">
        <v>0</v>
      </c>
      <c r="N585" t="n">
        <v>1</v>
      </c>
      <c r="O585" t="n">
        <v>0</v>
      </c>
      <c r="P585" t="n">
        <v>0</v>
      </c>
      <c r="Q585" t="n">
        <v>1</v>
      </c>
      <c r="R585" t="n">
        <v>1</v>
      </c>
      <c r="S585" t="n">
        <v>1</v>
      </c>
      <c r="T585" t="n">
        <v>1</v>
      </c>
      <c r="U585" t="n">
        <v>0</v>
      </c>
      <c r="V585" s="2" t="inlineStr">
        <is>
          <t>Ask</t>
        </is>
      </c>
      <c r="W585">
        <f>HYPERLINK("https://klasma.github.io/Logging_1266/artfynd/A 16519-2026 artfynd.xlsx", "A 16519-2026")</f>
        <v/>
      </c>
      <c r="X585">
        <f>HYPERLINK("https://klasma.github.io/Logging_1266/kartor/A 16519-2026 karta.png", "A 16519-2026")</f>
        <v/>
      </c>
      <c r="Y585">
        <f>HYPERLINK("https://klasma.github.io/Logging_1266/kartor_geotiff/A 16519-2026 georefererad karta.tif", "A 16519-2026")</f>
        <v/>
      </c>
      <c r="AA585">
        <f>HYPERLINK("https://klasma.github.io/Logging_1266/klagomål/A 16519-2026 FSC-klagomål.docx", "A 16519-2026")</f>
        <v/>
      </c>
      <c r="AB585">
        <f>HYPERLINK("https://klasma.github.io/Logging_1266/klagomålsmail/A 16519-2026 FSC-klagomål mail.docx", "A 16519-2026")</f>
        <v/>
      </c>
      <c r="AC585">
        <f>HYPERLINK("https://klasma.github.io/Logging_1266/tillsyn/A 16519-2026 tillsynsbegäran.docx", "A 16519-2026")</f>
        <v/>
      </c>
      <c r="AD585">
        <f>HYPERLINK("https://klasma.github.io/Logging_1266/tillsynsmail/A 16519-2026 tillsynsbegäran mail.docx", "A 16519-2026")</f>
        <v/>
      </c>
    </row>
    <row r="586" ht="15" customHeight="1">
      <c r="A586" t="inlineStr">
        <is>
          <t>A 50702-2025</t>
        </is>
      </c>
      <c r="B586" t="inlineStr">
        <is>
          <t>avverkningsanmälan</t>
        </is>
      </c>
      <c r="C586" t="inlineStr">
        <is>
          <t>Föryngringsavverkning</t>
        </is>
      </c>
      <c r="D586" s="1" t="n">
        <v>45946</v>
      </c>
      <c r="E586" s="1" t="n">
        <v>46312</v>
      </c>
      <c r="F586" t="inlineStr">
        <is>
          <t>SKÅNE LÄN</t>
        </is>
      </c>
      <c r="G586" t="inlineStr">
        <is>
          <t>KRISTIANSTAD</t>
        </is>
      </c>
      <c r="I586" t="n">
        <v>1</v>
      </c>
      <c r="J586" t="n">
        <v>0</v>
      </c>
      <c r="K586" t="n">
        <v>1</v>
      </c>
      <c r="L586" t="n">
        <v>0</v>
      </c>
      <c r="M586" t="n">
        <v>0</v>
      </c>
      <c r="N586" t="n">
        <v>0</v>
      </c>
      <c r="O586" t="n">
        <v>0</v>
      </c>
      <c r="P586" t="n">
        <v>0</v>
      </c>
      <c r="Q586" t="n">
        <v>0</v>
      </c>
      <c r="R586" t="n">
        <v>0</v>
      </c>
      <c r="S586" t="n">
        <v>1</v>
      </c>
      <c r="T586" t="n">
        <v>1</v>
      </c>
      <c r="U586" t="n">
        <v>1</v>
      </c>
      <c r="V586" s="2" t="inlineStr">
        <is>
          <t>Guldlockmossa</t>
        </is>
      </c>
      <c r="W586">
        <f>HYPERLINK("https://klasma.github.io/Logging_1290/artfynd/A 50702-2025 artfynd.xlsx", "A 50702-2025")</f>
        <v/>
      </c>
      <c r="X586">
        <f>HYPERLINK("https://klasma.github.io/Logging_1290/kartor/A 50702-2025 karta.png", "A 50702-2025")</f>
        <v/>
      </c>
      <c r="Y586">
        <f>HYPERLINK("https://klasma.github.io/Logging_1290/kartor_geotiff/A 50702-2025 georefererad karta.tif", "A 50702-2025")</f>
        <v/>
      </c>
      <c r="AA586">
        <f>HYPERLINK("https://klasma.github.io/Logging_1290/klagomål/A 50702-2025 FSC-klagomål.docx", "A 50702-2025")</f>
        <v/>
      </c>
      <c r="AB586">
        <f>HYPERLINK("https://klasma.github.io/Logging_1290/klagomålsmail/A 50702-2025 FSC-klagomål mail.docx", "A 50702-2025")</f>
        <v/>
      </c>
      <c r="AC586">
        <f>HYPERLINK("https://klasma.github.io/Logging_1290/tillsyn/A 50702-2025 tillsynsbegäran.docx", "A 50702-2025")</f>
        <v/>
      </c>
      <c r="AD586">
        <f>HYPERLINK("https://klasma.github.io/Logging_1290/tillsynsmail/A 50702-2025 tillsynsbegäran mail.docx", "A 50702-2025")</f>
        <v/>
      </c>
    </row>
    <row r="587" ht="15" customHeight="1">
      <c r="A587" t="inlineStr">
        <is>
          <t>A 6446-2026</t>
        </is>
      </c>
      <c r="B587" t="inlineStr">
        <is>
          <t>avverkningsanmälan</t>
        </is>
      </c>
      <c r="C587" t="inlineStr">
        <is>
          <t>Föryngringsavverkning</t>
        </is>
      </c>
      <c r="D587" s="1" t="n">
        <v>46055</v>
      </c>
      <c r="E587" s="1" t="n">
        <v>46312</v>
      </c>
      <c r="F587" t="inlineStr">
        <is>
          <t>SKÅNE LÄN</t>
        </is>
      </c>
      <c r="G587" t="inlineStr">
        <is>
          <t>KLIPPAN</t>
        </is>
      </c>
      <c r="I587" t="n">
        <v>0.5</v>
      </c>
      <c r="J587" t="n">
        <v>1</v>
      </c>
      <c r="K587" t="n">
        <v>0</v>
      </c>
      <c r="L587" t="n">
        <v>0</v>
      </c>
      <c r="M587" t="n">
        <v>1</v>
      </c>
      <c r="N587" t="n">
        <v>0</v>
      </c>
      <c r="O587" t="n">
        <v>0</v>
      </c>
      <c r="P587" t="n">
        <v>0</v>
      </c>
      <c r="Q587" t="n">
        <v>1</v>
      </c>
      <c r="R587" t="n">
        <v>1</v>
      </c>
      <c r="S587" t="n">
        <v>1</v>
      </c>
      <c r="T587" t="n">
        <v>1</v>
      </c>
      <c r="U587" t="n">
        <v>0</v>
      </c>
      <c r="V587" s="2" t="inlineStr">
        <is>
          <t>Backsippa</t>
        </is>
      </c>
      <c r="W587">
        <f>HYPERLINK("https://klasma.github.io/Logging_1276/artfynd/A 6446-2026 artfynd.xlsx", "A 6446-2026")</f>
        <v/>
      </c>
      <c r="X587">
        <f>HYPERLINK("https://klasma.github.io/Logging_1276/kartor/A 6446-2026 karta.png", "A 6446-2026")</f>
        <v/>
      </c>
      <c r="Y587">
        <f>HYPERLINK("https://klasma.github.io/Logging_1276/kartor_geotiff/A 6446-2026 georefererad karta.tif", "A 6446-2026")</f>
        <v/>
      </c>
      <c r="AA587">
        <f>HYPERLINK("https://klasma.github.io/Logging_1276/klagomål/A 6446-2026 FSC-klagomål.docx", "A 6446-2026")</f>
        <v/>
      </c>
      <c r="AB587">
        <f>HYPERLINK("https://klasma.github.io/Logging_1276/klagomålsmail/A 6446-2026 FSC-klagomål mail.docx", "A 6446-2026")</f>
        <v/>
      </c>
      <c r="AC587">
        <f>HYPERLINK("https://klasma.github.io/Logging_1276/tillsyn/A 6446-2026 tillsynsbegäran.docx", "A 6446-2026")</f>
        <v/>
      </c>
      <c r="AD587">
        <f>HYPERLINK("https://klasma.github.io/Logging_1276/tillsynsmail/A 6446-2026 tillsynsbegäran mail.docx", "A 6446-2026")</f>
        <v/>
      </c>
    </row>
    <row r="588" ht="15" customHeight="1">
      <c r="A588" t="inlineStr">
        <is>
          <t>A 145-2026</t>
        </is>
      </c>
      <c r="B588" t="inlineStr">
        <is>
          <t>avverkningsanmälan</t>
        </is>
      </c>
      <c r="C588" t="inlineStr">
        <is>
          <t>Föryngringsavverkning</t>
        </is>
      </c>
      <c r="D588" s="1" t="n">
        <v>46020</v>
      </c>
      <c r="E588" s="1" t="n">
        <v>46312</v>
      </c>
      <c r="F588" t="inlineStr">
        <is>
          <t>SKÅNE LÄN</t>
        </is>
      </c>
      <c r="G588" t="inlineStr">
        <is>
          <t>PERSTORP</t>
        </is>
      </c>
      <c r="I588" t="n">
        <v>1.4</v>
      </c>
      <c r="J588" t="n">
        <v>1</v>
      </c>
      <c r="K588" t="n">
        <v>0</v>
      </c>
      <c r="L588" t="n">
        <v>0</v>
      </c>
      <c r="M588" t="n">
        <v>0</v>
      </c>
      <c r="N588" t="n">
        <v>0</v>
      </c>
      <c r="O588" t="n">
        <v>0</v>
      </c>
      <c r="P588" t="n">
        <v>0</v>
      </c>
      <c r="Q588" t="n">
        <v>0</v>
      </c>
      <c r="R588" t="n">
        <v>0</v>
      </c>
      <c r="S588" t="n">
        <v>1</v>
      </c>
      <c r="T588" t="n">
        <v>2</v>
      </c>
      <c r="U588" t="n">
        <v>1</v>
      </c>
      <c r="V588" s="2" t="inlineStr">
        <is>
          <t>Mattlummer</t>
        </is>
      </c>
      <c r="W588">
        <f>HYPERLINK("https://klasma.github.io/Logging_1275/artfynd/A 145-2026 artfynd.xlsx", "A 145-2026")</f>
        <v/>
      </c>
      <c r="X588">
        <f>HYPERLINK("https://klasma.github.io/Logging_1275/kartor/A 145-2026 karta.png", "A 145-2026")</f>
        <v/>
      </c>
      <c r="Y588">
        <f>HYPERLINK("https://klasma.github.io/Logging_1275/kartor_geotiff/A 145-2026 georefererad karta.tif", "A 145-2026")</f>
        <v/>
      </c>
      <c r="AA588">
        <f>HYPERLINK("https://klasma.github.io/Logging_1275/klagomål/A 145-2026 FSC-klagomål.docx", "A 145-2026")</f>
        <v/>
      </c>
      <c r="AB588">
        <f>HYPERLINK("https://klasma.github.io/Logging_1275/klagomålsmail/A 145-2026 FSC-klagomål mail.docx", "A 145-2026")</f>
        <v/>
      </c>
      <c r="AC588">
        <f>HYPERLINK("https://klasma.github.io/Logging_1275/tillsyn/A 145-2026 tillsynsbegäran.docx", "A 145-2026")</f>
        <v/>
      </c>
      <c r="AD588">
        <f>HYPERLINK("https://klasma.github.io/Logging_1275/tillsynsmail/A 145-2026 tillsynsbegäran mail.docx", "A 145-2026")</f>
        <v/>
      </c>
    </row>
    <row r="589" ht="15" customHeight="1">
      <c r="A589" t="inlineStr">
        <is>
          <t>A 61314-2025</t>
        </is>
      </c>
      <c r="B589" t="inlineStr">
        <is>
          <t>avverkningsanmälan</t>
        </is>
      </c>
      <c r="C589" t="inlineStr">
        <is>
          <t>Föryngringsavverkning</t>
        </is>
      </c>
      <c r="D589" s="1" t="n">
        <v>46000</v>
      </c>
      <c r="E589" s="1" t="n">
        <v>46312</v>
      </c>
      <c r="F589" t="inlineStr">
        <is>
          <t>SKÅNE LÄN</t>
        </is>
      </c>
      <c r="G589" t="inlineStr">
        <is>
          <t>TOMELILLA</t>
        </is>
      </c>
      <c r="I589" t="n">
        <v>0.8</v>
      </c>
      <c r="J589" t="n">
        <v>1</v>
      </c>
      <c r="K589" t="n">
        <v>0</v>
      </c>
      <c r="L589" t="n">
        <v>0</v>
      </c>
      <c r="M589" t="n">
        <v>0</v>
      </c>
      <c r="N589" t="n">
        <v>0</v>
      </c>
      <c r="O589" t="n">
        <v>0</v>
      </c>
      <c r="P589" t="n">
        <v>0</v>
      </c>
      <c r="Q589" t="n">
        <v>0</v>
      </c>
      <c r="R589" t="n">
        <v>0</v>
      </c>
      <c r="S589" t="n">
        <v>1</v>
      </c>
      <c r="T589" t="n">
        <v>1</v>
      </c>
      <c r="U589" t="n">
        <v>0</v>
      </c>
      <c r="V589" s="2" t="inlineStr">
        <is>
          <t>Hasselmus</t>
        </is>
      </c>
      <c r="W589">
        <f>HYPERLINK("https://klasma.github.io/Logging_1270/artfynd/A 61314-2025 artfynd.xlsx", "A 61314-2025")</f>
        <v/>
      </c>
      <c r="X589">
        <f>HYPERLINK("https://klasma.github.io/Logging_1270/kartor/A 61314-2025 karta.png", "A 61314-2025")</f>
        <v/>
      </c>
      <c r="Y589">
        <f>HYPERLINK("https://klasma.github.io/Logging_1270/kartor_geotiff/A 61314-2025 georefererad karta.tif", "A 61314-2025")</f>
        <v/>
      </c>
      <c r="AA589">
        <f>HYPERLINK("https://klasma.github.io/Logging_1270/klagomål/A 61314-2025 FSC-klagomål.docx", "A 61314-2025")</f>
        <v/>
      </c>
      <c r="AB589">
        <f>HYPERLINK("https://klasma.github.io/Logging_1270/klagomålsmail/A 61314-2025 FSC-klagomål mail.docx", "A 61314-2025")</f>
        <v/>
      </c>
      <c r="AC589">
        <f>HYPERLINK("https://klasma.github.io/Logging_1270/tillsyn/A 61314-2025 tillsynsbegäran.docx", "A 61314-2025")</f>
        <v/>
      </c>
      <c r="AD589">
        <f>HYPERLINK("https://klasma.github.io/Logging_1270/tillsynsmail/A 61314-2025 tillsynsbegäran mail.docx", "A 61314-2025")</f>
        <v/>
      </c>
    </row>
    <row r="590" ht="15" customHeight="1">
      <c r="A590" t="inlineStr">
        <is>
          <t>A 26457-2026</t>
        </is>
      </c>
      <c r="B590" t="inlineStr">
        <is>
          <t>avverkningsanmälan</t>
        </is>
      </c>
      <c r="C590" t="inlineStr">
        <is>
          <t>Föryngringsavverkning</t>
        </is>
      </c>
      <c r="D590" s="1" t="n">
        <v>46183</v>
      </c>
      <c r="E590" s="1" t="n">
        <v>46312</v>
      </c>
      <c r="F590" t="inlineStr">
        <is>
          <t>SKÅNE LÄN</t>
        </is>
      </c>
      <c r="G590" t="inlineStr">
        <is>
          <t>OSBY</t>
        </is>
      </c>
      <c r="I590" t="n">
        <v>2</v>
      </c>
      <c r="J590" t="n">
        <v>1</v>
      </c>
      <c r="K590" t="n">
        <v>0</v>
      </c>
      <c r="L590" t="n">
        <v>0</v>
      </c>
      <c r="M590" t="n">
        <v>0</v>
      </c>
      <c r="N590" t="n">
        <v>0</v>
      </c>
      <c r="O590" t="n">
        <v>0</v>
      </c>
      <c r="P590" t="n">
        <v>0</v>
      </c>
      <c r="Q590" t="n">
        <v>0</v>
      </c>
      <c r="R590" t="n">
        <v>0</v>
      </c>
      <c r="S590" t="n">
        <v>1</v>
      </c>
      <c r="T590" t="n">
        <v>1</v>
      </c>
      <c r="U590" t="n">
        <v>0</v>
      </c>
      <c r="V590" s="2" t="inlineStr">
        <is>
          <t>Skogsduva</t>
        </is>
      </c>
      <c r="W590">
        <f>HYPERLINK("https://klasma.github.io/Logging_1273/artfynd/A 26457-2026 artfynd.xlsx", "A 26457-2026")</f>
        <v/>
      </c>
      <c r="X590">
        <f>HYPERLINK("https://klasma.github.io/Logging_1273/kartor/A 26457-2026 karta.png", "A 26457-2026")</f>
        <v/>
      </c>
      <c r="Y590">
        <f>HYPERLINK("https://klasma.github.io/Logging_1273/kartor_geotiff/A 26457-2026 georefererad karta.tif", "A 26457-2026")</f>
        <v/>
      </c>
      <c r="AA590">
        <f>HYPERLINK("https://klasma.github.io/Logging_1273/klagomål/A 26457-2026 FSC-klagomål.docx", "A 26457-2026")</f>
        <v/>
      </c>
      <c r="AB590">
        <f>HYPERLINK("https://klasma.github.io/Logging_1273/klagomålsmail/A 26457-2026 FSC-klagomål mail.docx", "A 26457-2026")</f>
        <v/>
      </c>
      <c r="AC590">
        <f>HYPERLINK("https://klasma.github.io/Logging_1273/tillsyn/A 26457-2026 tillsynsbegäran.docx", "A 26457-2026")</f>
        <v/>
      </c>
      <c r="AD590">
        <f>HYPERLINK("https://klasma.github.io/Logging_1273/tillsynsmail/A 26457-2026 tillsynsbegäran mail.docx", "A 26457-2026")</f>
        <v/>
      </c>
    </row>
    <row r="591" ht="15" customHeight="1">
      <c r="A591" t="inlineStr">
        <is>
          <t>A 26510-2026</t>
        </is>
      </c>
      <c r="B591" t="inlineStr">
        <is>
          <t>avverkningsanmälan</t>
        </is>
      </c>
      <c r="C591" t="inlineStr">
        <is>
          <t>Föryngringsavverkning</t>
        </is>
      </c>
      <c r="D591" s="1" t="n">
        <v>46183</v>
      </c>
      <c r="E591" s="1" t="n">
        <v>46312</v>
      </c>
      <c r="F591" t="inlineStr">
        <is>
          <t>SKÅNE LÄN</t>
        </is>
      </c>
      <c r="G591" t="inlineStr">
        <is>
          <t>SIMRISHAMN</t>
        </is>
      </c>
      <c r="I591" t="n">
        <v>6.2</v>
      </c>
      <c r="J591" t="n">
        <v>0</v>
      </c>
      <c r="K591" t="n">
        <v>0</v>
      </c>
      <c r="L591" t="n">
        <v>0</v>
      </c>
      <c r="M591" t="n">
        <v>1</v>
      </c>
      <c r="N591" t="n">
        <v>0</v>
      </c>
      <c r="O591" t="n">
        <v>0</v>
      </c>
      <c r="P591" t="n">
        <v>0</v>
      </c>
      <c r="Q591" t="n">
        <v>1</v>
      </c>
      <c r="R591" t="n">
        <v>1</v>
      </c>
      <c r="S591" t="n">
        <v>1</v>
      </c>
      <c r="T591" t="n">
        <v>1</v>
      </c>
      <c r="U591" t="n">
        <v>0</v>
      </c>
      <c r="V591" s="2" t="inlineStr">
        <is>
          <t>Igelkott</t>
        </is>
      </c>
      <c r="W591">
        <f>HYPERLINK("https://klasma.github.io/Logging_1291/artfynd/A 26510-2026 artfynd.xlsx", "A 26510-2026")</f>
        <v/>
      </c>
      <c r="X591">
        <f>HYPERLINK("https://klasma.github.io/Logging_1291/kartor/A 26510-2026 karta.png", "A 26510-2026")</f>
        <v/>
      </c>
      <c r="Y591">
        <f>HYPERLINK("https://klasma.github.io/Logging_1291/kartor_geotiff/A 26510-2026 georefererad karta.tif", "A 26510-2026")</f>
        <v/>
      </c>
      <c r="AA591">
        <f>HYPERLINK("https://klasma.github.io/Logging_1291/klagomål/A 26510-2026 FSC-klagomål.docx", "A 26510-2026")</f>
        <v/>
      </c>
      <c r="AB591">
        <f>HYPERLINK("https://klasma.github.io/Logging_1291/klagomålsmail/A 26510-2026 FSC-klagomål mail.docx", "A 26510-2026")</f>
        <v/>
      </c>
      <c r="AC591">
        <f>HYPERLINK("https://klasma.github.io/Logging_1291/tillsyn/A 26510-2026 tillsynsbegäran.docx", "A 26510-2026")</f>
        <v/>
      </c>
      <c r="AD591">
        <f>HYPERLINK("https://klasma.github.io/Logging_1291/tillsynsmail/A 26510-2026 tillsynsbegäran mail.docx", "A 26510-2026")</f>
        <v/>
      </c>
    </row>
    <row r="592" ht="15" customHeight="1">
      <c r="A592" t="inlineStr">
        <is>
          <t>A 34096-2025</t>
        </is>
      </c>
      <c r="B592" t="inlineStr">
        <is>
          <t>avverkningsanmälan</t>
        </is>
      </c>
      <c r="C592" t="inlineStr">
        <is>
          <t>Föryngringsavverkning</t>
        </is>
      </c>
      <c r="D592" s="1" t="n">
        <v>45845</v>
      </c>
      <c r="E592" s="1" t="n">
        <v>46312</v>
      </c>
      <c r="F592" t="inlineStr">
        <is>
          <t>SKÅNE LÄN</t>
        </is>
      </c>
      <c r="G592" t="inlineStr">
        <is>
          <t>KRISTIANSTAD</t>
        </is>
      </c>
      <c r="I592" t="n">
        <v>6.5</v>
      </c>
      <c r="J592" t="n">
        <v>0</v>
      </c>
      <c r="K592" t="n">
        <v>0</v>
      </c>
      <c r="L592" t="n">
        <v>1</v>
      </c>
      <c r="M592" t="n">
        <v>0</v>
      </c>
      <c r="N592" t="n">
        <v>0</v>
      </c>
      <c r="O592" t="n">
        <v>0</v>
      </c>
      <c r="P592" t="n">
        <v>0</v>
      </c>
      <c r="Q592" t="n">
        <v>1</v>
      </c>
      <c r="R592" t="n">
        <v>0</v>
      </c>
      <c r="S592" t="n">
        <v>1</v>
      </c>
      <c r="T592" t="n">
        <v>1</v>
      </c>
      <c r="U592" t="n">
        <v>0</v>
      </c>
      <c r="V592" s="2" t="inlineStr">
        <is>
          <t>Dunmossa</t>
        </is>
      </c>
      <c r="W592">
        <f>HYPERLINK("https://klasma.github.io/Logging_1290/artfynd/A 34096-2025 artfynd.xlsx", "A 34096-2025")</f>
        <v/>
      </c>
      <c r="X592">
        <f>HYPERLINK("https://klasma.github.io/Logging_1290/kartor/A 34096-2025 karta.png", "A 34096-2025")</f>
        <v/>
      </c>
      <c r="Y592">
        <f>HYPERLINK("https://klasma.github.io/Logging_1290/kartor_geotiff/A 34096-2025 georefererad karta.tif", "A 34096-2025")</f>
        <v/>
      </c>
      <c r="AA592">
        <f>HYPERLINK("https://klasma.github.io/Logging_1290/klagomål/A 34096-2025 FSC-klagomål.docx", "A 34096-2025")</f>
        <v/>
      </c>
      <c r="AB592">
        <f>HYPERLINK("https://klasma.github.io/Logging_1290/klagomålsmail/A 34096-2025 FSC-klagomål mail.docx", "A 34096-2025")</f>
        <v/>
      </c>
      <c r="AC592">
        <f>HYPERLINK("https://klasma.github.io/Logging_1290/tillsyn/A 34096-2025 tillsynsbegäran.docx", "A 34096-2025")</f>
        <v/>
      </c>
      <c r="AD592">
        <f>HYPERLINK("https://klasma.github.io/Logging_1290/tillsynsmail/A 34096-2025 tillsynsbegäran mail.docx", "A 34096-2025")</f>
        <v/>
      </c>
    </row>
    <row r="593" ht="15" customHeight="1">
      <c r="A593" t="inlineStr">
        <is>
          <t>A 52012-2024</t>
        </is>
      </c>
      <c r="B593" t="inlineStr">
        <is>
          <t>avverkningsanmälan</t>
        </is>
      </c>
      <c r="C593" t="inlineStr">
        <is>
          <t>Föryngringsavverkning</t>
        </is>
      </c>
      <c r="D593" s="1" t="n">
        <v>45607</v>
      </c>
      <c r="E593" s="1" t="n">
        <v>46312</v>
      </c>
      <c r="F593" t="inlineStr">
        <is>
          <t>SKÅNE LÄN</t>
        </is>
      </c>
      <c r="G593" t="inlineStr">
        <is>
          <t>KRISTIANSTAD</t>
        </is>
      </c>
      <c r="H593" t="inlineStr">
        <is>
          <t>Övriga Aktiebolag</t>
        </is>
      </c>
      <c r="I593" t="n">
        <v>2.6</v>
      </c>
      <c r="J593" t="n">
        <v>0</v>
      </c>
      <c r="K593" t="n">
        <v>0</v>
      </c>
      <c r="L593" t="n">
        <v>1</v>
      </c>
      <c r="M593" t="n">
        <v>0</v>
      </c>
      <c r="N593" t="n">
        <v>0</v>
      </c>
      <c r="O593" t="n">
        <v>0</v>
      </c>
      <c r="P593" t="n">
        <v>0</v>
      </c>
      <c r="Q593" t="n">
        <v>1</v>
      </c>
      <c r="R593" t="n">
        <v>0</v>
      </c>
      <c r="S593" t="n">
        <v>1</v>
      </c>
      <c r="T593" t="n">
        <v>1</v>
      </c>
      <c r="U593" t="n">
        <v>1</v>
      </c>
      <c r="V593" s="2" t="inlineStr">
        <is>
          <t>Luddfingerört</t>
        </is>
      </c>
      <c r="W593">
        <f>HYPERLINK("https://klasma.github.io/Logging_1290/artfynd/A 52012-2024 artfynd.xlsx", "A 52012-2024")</f>
        <v/>
      </c>
      <c r="X593">
        <f>HYPERLINK("https://klasma.github.io/Logging_1290/kartor/A 52012-2024 karta.png", "A 52012-2024")</f>
        <v/>
      </c>
      <c r="Y593">
        <f>HYPERLINK("https://klasma.github.io/Logging_1290/kartor_geotiff/A 52012-2024 georefererad karta.tif", "A 52012-2024")</f>
        <v/>
      </c>
      <c r="AA593">
        <f>HYPERLINK("https://klasma.github.io/Logging_1290/klagomål/A 52012-2024 FSC-klagomål.docx", "A 52012-2024")</f>
        <v/>
      </c>
      <c r="AB593">
        <f>HYPERLINK("https://klasma.github.io/Logging_1290/klagomålsmail/A 52012-2024 FSC-klagomål mail.docx", "A 52012-2024")</f>
        <v/>
      </c>
      <c r="AC593">
        <f>HYPERLINK("https://klasma.github.io/Logging_1290/tillsyn/A 52012-2024 tillsynsbegäran.docx", "A 52012-2024")</f>
        <v/>
      </c>
      <c r="AD593">
        <f>HYPERLINK("https://klasma.github.io/Logging_1290/tillsynsmail/A 52012-2024 tillsynsbegäran mail.docx", "A 52012-2024")</f>
        <v/>
      </c>
    </row>
    <row r="594" ht="15" customHeight="1">
      <c r="A594" t="inlineStr">
        <is>
          <t>A 8362-2026</t>
        </is>
      </c>
      <c r="B594" t="inlineStr">
        <is>
          <t>avverkningsanmälan</t>
        </is>
      </c>
      <c r="C594" t="inlineStr">
        <is>
          <t>Föryngringsavverkning</t>
        </is>
      </c>
      <c r="D594" s="1" t="n">
        <v>46064</v>
      </c>
      <c r="E594" s="1" t="n">
        <v>46312</v>
      </c>
      <c r="F594" t="inlineStr">
        <is>
          <t>SKÅNE LÄN</t>
        </is>
      </c>
      <c r="G594" t="inlineStr">
        <is>
          <t>BROMÖLLA</t>
        </is>
      </c>
      <c r="I594" t="n">
        <v>2.7</v>
      </c>
      <c r="J594" t="n">
        <v>0</v>
      </c>
      <c r="K594" t="n">
        <v>0</v>
      </c>
      <c r="L594" t="n">
        <v>1</v>
      </c>
      <c r="M594" t="n">
        <v>0</v>
      </c>
      <c r="N594" t="n">
        <v>0</v>
      </c>
      <c r="O594" t="n">
        <v>0</v>
      </c>
      <c r="P594" t="n">
        <v>0</v>
      </c>
      <c r="Q594" t="n">
        <v>1</v>
      </c>
      <c r="R594" t="n">
        <v>0</v>
      </c>
      <c r="S594" t="n">
        <v>1</v>
      </c>
      <c r="T594" t="n">
        <v>1</v>
      </c>
      <c r="U594" t="n">
        <v>0</v>
      </c>
      <c r="V594" s="2" t="inlineStr">
        <is>
          <t>Rödlånke</t>
        </is>
      </c>
      <c r="W594">
        <f>HYPERLINK("https://klasma.github.io/Logging_1272/artfynd/A 8362-2026 artfynd.xlsx", "A 8362-2026")</f>
        <v/>
      </c>
      <c r="X594">
        <f>HYPERLINK("https://klasma.github.io/Logging_1272/kartor/A 8362-2026 karta.png", "A 8362-2026")</f>
        <v/>
      </c>
      <c r="Y594">
        <f>HYPERLINK("https://klasma.github.io/Logging_1272/kartor_geotiff/A 8362-2026 georefererad karta.tif", "A 8362-2026")</f>
        <v/>
      </c>
      <c r="AA594">
        <f>HYPERLINK("https://klasma.github.io/Logging_1272/klagomål/A 8362-2026 FSC-klagomål.docx", "A 8362-2026")</f>
        <v/>
      </c>
      <c r="AB594">
        <f>HYPERLINK("https://klasma.github.io/Logging_1272/klagomålsmail/A 8362-2026 FSC-klagomål mail.docx", "A 8362-2026")</f>
        <v/>
      </c>
      <c r="AC594">
        <f>HYPERLINK("https://klasma.github.io/Logging_1272/tillsyn/A 8362-2026 tillsynsbegäran.docx", "A 8362-2026")</f>
        <v/>
      </c>
      <c r="AD594">
        <f>HYPERLINK("https://klasma.github.io/Logging_1272/tillsynsmail/A 8362-2026 tillsynsbegäran mail.docx", "A 8362-2026")</f>
        <v/>
      </c>
    </row>
    <row r="595" ht="15" customHeight="1">
      <c r="A595" t="inlineStr">
        <is>
          <t>A 389-2023</t>
        </is>
      </c>
      <c r="B595" t="inlineStr">
        <is>
          <t>avverkningsanmälan</t>
        </is>
      </c>
      <c r="C595" t="inlineStr">
        <is>
          <t>Föryngringsavverkning</t>
        </is>
      </c>
      <c r="D595" s="1" t="n">
        <v>44929</v>
      </c>
      <c r="E595" s="1" t="n">
        <v>46312</v>
      </c>
      <c r="F595" t="inlineStr">
        <is>
          <t>SKÅNE LÄN</t>
        </is>
      </c>
      <c r="G595" t="inlineStr">
        <is>
          <t>BÅSTAD</t>
        </is>
      </c>
      <c r="I595" t="n">
        <v>2.5</v>
      </c>
      <c r="J595" t="n">
        <v>1</v>
      </c>
      <c r="K595" t="n">
        <v>0</v>
      </c>
      <c r="L595" t="n">
        <v>0</v>
      </c>
      <c r="M595" t="n">
        <v>0</v>
      </c>
      <c r="N595" t="n">
        <v>0</v>
      </c>
      <c r="O595" t="n">
        <v>0</v>
      </c>
      <c r="P595" t="n">
        <v>0</v>
      </c>
      <c r="Q595" t="n">
        <v>0</v>
      </c>
      <c r="R595" t="n">
        <v>0</v>
      </c>
      <c r="S595" t="n">
        <v>1</v>
      </c>
      <c r="T595" t="n">
        <v>1</v>
      </c>
      <c r="U595" t="n">
        <v>0</v>
      </c>
      <c r="V595" s="2" t="inlineStr">
        <is>
          <t>Grönvit nattviol</t>
        </is>
      </c>
      <c r="W595">
        <f>HYPERLINK("https://klasma.github.io/Logging_1278/artfynd/A 389-2023 artfynd.xlsx", "A 389-2023")</f>
        <v/>
      </c>
      <c r="X595">
        <f>HYPERLINK("https://klasma.github.io/Logging_1278/kartor/A 389-2023 karta.png", "A 389-2023")</f>
        <v/>
      </c>
      <c r="Y595">
        <f>HYPERLINK("https://klasma.github.io/Logging_1278/kartor_geotiff/A 389-2023 georefererad karta.tif", "A 389-2023")</f>
        <v/>
      </c>
      <c r="AA595">
        <f>HYPERLINK("https://klasma.github.io/Logging_1278/klagomål/A 389-2023 FSC-klagomål.docx", "A 389-2023")</f>
        <v/>
      </c>
      <c r="AB595">
        <f>HYPERLINK("https://klasma.github.io/Logging_1278/klagomålsmail/A 389-2023 FSC-klagomål mail.docx", "A 389-2023")</f>
        <v/>
      </c>
      <c r="AC595">
        <f>HYPERLINK("https://klasma.github.io/Logging_1278/tillsyn/A 389-2023 tillsynsbegäran.docx", "A 389-2023")</f>
        <v/>
      </c>
      <c r="AD595">
        <f>HYPERLINK("https://klasma.github.io/Logging_1278/tillsynsmail/A 389-2023 tillsynsbegäran mail.docx", "A 389-2023")</f>
        <v/>
      </c>
    </row>
    <row r="596" ht="15" customHeight="1">
      <c r="A596" t="inlineStr">
        <is>
          <t>A 27094-2026</t>
        </is>
      </c>
      <c r="B596" t="inlineStr">
        <is>
          <t>avverkningsanmälan</t>
        </is>
      </c>
      <c r="C596" t="inlineStr">
        <is>
          <t>Föryngringsavverkning</t>
        </is>
      </c>
      <c r="D596" s="1" t="n">
        <v>46188</v>
      </c>
      <c r="E596" s="1" t="n">
        <v>46312</v>
      </c>
      <c r="F596" t="inlineStr">
        <is>
          <t>SKÅNE LÄN</t>
        </is>
      </c>
      <c r="G596" t="inlineStr">
        <is>
          <t>ÄNGELHOLM</t>
        </is>
      </c>
      <c r="I596" t="n">
        <v>6.2</v>
      </c>
      <c r="J596" t="n">
        <v>0</v>
      </c>
      <c r="K596" t="n">
        <v>1</v>
      </c>
      <c r="L596" t="n">
        <v>0</v>
      </c>
      <c r="M596" t="n">
        <v>0</v>
      </c>
      <c r="N596" t="n">
        <v>0</v>
      </c>
      <c r="O596" t="n">
        <v>0</v>
      </c>
      <c r="P596" t="n">
        <v>0</v>
      </c>
      <c r="Q596" t="n">
        <v>0</v>
      </c>
      <c r="R596" t="n">
        <v>0</v>
      </c>
      <c r="S596" t="n">
        <v>1</v>
      </c>
      <c r="T596" t="n">
        <v>1</v>
      </c>
      <c r="U596" t="n">
        <v>0</v>
      </c>
      <c r="V596" s="2" t="inlineStr">
        <is>
          <t>Västlig hakmossa</t>
        </is>
      </c>
      <c r="W596">
        <f>HYPERLINK("https://klasma.github.io/Logging_1292/artfynd/A 27094-2026 artfynd.xlsx", "A 27094-2026")</f>
        <v/>
      </c>
      <c r="X596">
        <f>HYPERLINK("https://klasma.github.io/Logging_1292/kartor/A 27094-2026 karta.png", "A 27094-2026")</f>
        <v/>
      </c>
      <c r="Y596">
        <f>HYPERLINK("https://klasma.github.io/Logging_1292/kartor_geotiff/A 27094-2026 georefererad karta.tif", "A 27094-2026")</f>
        <v/>
      </c>
      <c r="AA596">
        <f>HYPERLINK("https://klasma.github.io/Logging_1292/klagomål/A 27094-2026 FSC-klagomål.docx", "A 27094-2026")</f>
        <v/>
      </c>
      <c r="AB596">
        <f>HYPERLINK("https://klasma.github.io/Logging_1292/klagomålsmail/A 27094-2026 FSC-klagomål mail.docx", "A 27094-2026")</f>
        <v/>
      </c>
      <c r="AC596">
        <f>HYPERLINK("https://klasma.github.io/Logging_1292/tillsyn/A 27094-2026 tillsynsbegäran.docx", "A 27094-2026")</f>
        <v/>
      </c>
      <c r="AD596">
        <f>HYPERLINK("https://klasma.github.io/Logging_1292/tillsynsmail/A 27094-2026 tillsynsbegäran mail.docx", "A 27094-2026")</f>
        <v/>
      </c>
    </row>
    <row r="597" ht="15" customHeight="1">
      <c r="A597" t="inlineStr">
        <is>
          <t>A 27462-2026</t>
        </is>
      </c>
      <c r="B597" t="inlineStr">
        <is>
          <t>avverkningsanmälan</t>
        </is>
      </c>
      <c r="C597" t="inlineStr">
        <is>
          <t>Föryngringsavverkning</t>
        </is>
      </c>
      <c r="D597" s="1" t="n">
        <v>46189</v>
      </c>
      <c r="E597" s="1" t="n">
        <v>46312</v>
      </c>
      <c r="F597" t="inlineStr">
        <is>
          <t>SKÅNE LÄN</t>
        </is>
      </c>
      <c r="G597" t="inlineStr">
        <is>
          <t>KRISTIANSTAD</t>
        </is>
      </c>
      <c r="I597" t="n">
        <v>9.1</v>
      </c>
      <c r="J597" t="n">
        <v>0</v>
      </c>
      <c r="K597" t="n">
        <v>1</v>
      </c>
      <c r="L597" t="n">
        <v>0</v>
      </c>
      <c r="M597" t="n">
        <v>0</v>
      </c>
      <c r="N597" t="n">
        <v>0</v>
      </c>
      <c r="O597" t="n">
        <v>0</v>
      </c>
      <c r="P597" t="n">
        <v>0</v>
      </c>
      <c r="Q597" t="n">
        <v>0</v>
      </c>
      <c r="R597" t="n">
        <v>0</v>
      </c>
      <c r="S597" t="n">
        <v>1</v>
      </c>
      <c r="T597" t="n">
        <v>1</v>
      </c>
      <c r="U597" t="n">
        <v>0</v>
      </c>
      <c r="V597" s="2" t="inlineStr">
        <is>
          <t>Skuggsprötmossa</t>
        </is>
      </c>
      <c r="W597">
        <f>HYPERLINK("https://klasma.github.io/Logging_1290/artfynd/A 27462-2026 artfynd.xlsx", "A 27462-2026")</f>
        <v/>
      </c>
      <c r="X597">
        <f>HYPERLINK("https://klasma.github.io/Logging_1290/kartor/A 27462-2026 karta.png", "A 27462-2026")</f>
        <v/>
      </c>
      <c r="Y597">
        <f>HYPERLINK("https://klasma.github.io/Logging_1290/kartor_geotiff/A 27462-2026 georefererad karta.tif", "A 27462-2026")</f>
        <v/>
      </c>
      <c r="AA597">
        <f>HYPERLINK("https://klasma.github.io/Logging_1290/klagomål/A 27462-2026 FSC-klagomål.docx", "A 27462-2026")</f>
        <v/>
      </c>
      <c r="AB597">
        <f>HYPERLINK("https://klasma.github.io/Logging_1290/klagomålsmail/A 27462-2026 FSC-klagomål mail.docx", "A 27462-2026")</f>
        <v/>
      </c>
      <c r="AC597">
        <f>HYPERLINK("https://klasma.github.io/Logging_1290/tillsyn/A 27462-2026 tillsynsbegäran.docx", "A 27462-2026")</f>
        <v/>
      </c>
      <c r="AD597">
        <f>HYPERLINK("https://klasma.github.io/Logging_1290/tillsynsmail/A 27462-2026 tillsynsbegäran mail.docx", "A 27462-2026")</f>
        <v/>
      </c>
    </row>
    <row r="598" ht="15" customHeight="1">
      <c r="A598" t="inlineStr">
        <is>
          <t>A 1188-2024</t>
        </is>
      </c>
      <c r="B598" t="inlineStr">
        <is>
          <t>avverkningsanmälan</t>
        </is>
      </c>
      <c r="C598" t="inlineStr">
        <is>
          <t>Föryngringsavverkning</t>
        </is>
      </c>
      <c r="D598" s="1" t="n">
        <v>45302</v>
      </c>
      <c r="E598" s="1" t="n">
        <v>46312</v>
      </c>
      <c r="F598" t="inlineStr">
        <is>
          <t>SKÅNE LÄN</t>
        </is>
      </c>
      <c r="G598" t="inlineStr">
        <is>
          <t>KRISTIANSTAD</t>
        </is>
      </c>
      <c r="I598" t="n">
        <v>6.1</v>
      </c>
      <c r="J598" t="n">
        <v>1</v>
      </c>
      <c r="K598" t="n">
        <v>0</v>
      </c>
      <c r="L598" t="n">
        <v>0</v>
      </c>
      <c r="M598" t="n">
        <v>1</v>
      </c>
      <c r="N598" t="n">
        <v>0</v>
      </c>
      <c r="O598" t="n">
        <v>0</v>
      </c>
      <c r="P598" t="n">
        <v>0</v>
      </c>
      <c r="Q598" t="n">
        <v>1</v>
      </c>
      <c r="R598" t="n">
        <v>1</v>
      </c>
      <c r="S598" t="n">
        <v>1</v>
      </c>
      <c r="T598" t="n">
        <v>2</v>
      </c>
      <c r="U598" t="n">
        <v>2</v>
      </c>
      <c r="V598" s="2" t="inlineStr">
        <is>
          <t>Backsippa</t>
        </is>
      </c>
      <c r="W598">
        <f>HYPERLINK("https://klasma.github.io/Logging_1290/artfynd/A 1188-2024 artfynd.xlsx", "A 1188-2024")</f>
        <v/>
      </c>
      <c r="X598">
        <f>HYPERLINK("https://klasma.github.io/Logging_1290/kartor/A 1188-2024 karta.png", "A 1188-2024")</f>
        <v/>
      </c>
      <c r="Y598">
        <f>HYPERLINK("https://klasma.github.io/Logging_1290/kartor_geotiff/A 1188-2024 georefererad karta.tif", "A 1188-2024")</f>
        <v/>
      </c>
      <c r="AA598">
        <f>HYPERLINK("https://klasma.github.io/Logging_1290/klagomål/A 1188-2024 FSC-klagomål.docx", "A 1188-2024")</f>
        <v/>
      </c>
      <c r="AB598">
        <f>HYPERLINK("https://klasma.github.io/Logging_1290/klagomålsmail/A 1188-2024 FSC-klagomål mail.docx", "A 1188-2024")</f>
        <v/>
      </c>
      <c r="AC598">
        <f>HYPERLINK("https://klasma.github.io/Logging_1290/tillsyn/A 1188-2024 tillsynsbegäran.docx", "A 1188-2024")</f>
        <v/>
      </c>
      <c r="AD598">
        <f>HYPERLINK("https://klasma.github.io/Logging_1290/tillsynsmail/A 1188-2024 tillsynsbegäran mail.docx", "A 1188-2024")</f>
        <v/>
      </c>
    </row>
    <row r="599" ht="15" customHeight="1">
      <c r="A599" t="inlineStr">
        <is>
          <t>A 26857-2025</t>
        </is>
      </c>
      <c r="B599" t="inlineStr">
        <is>
          <t>avverkningsanmälan</t>
        </is>
      </c>
      <c r="C599" t="inlineStr">
        <is>
          <t>Föryngringsavverkning</t>
        </is>
      </c>
      <c r="D599" s="1" t="n">
        <v>45810</v>
      </c>
      <c r="E599" s="1" t="n">
        <v>46312</v>
      </c>
      <c r="F599" t="inlineStr">
        <is>
          <t>SKÅNE LÄN</t>
        </is>
      </c>
      <c r="G599" t="inlineStr">
        <is>
          <t>HÄSSLEHOLM</t>
        </is>
      </c>
      <c r="I599" t="n">
        <v>0.8</v>
      </c>
      <c r="J599" t="n">
        <v>1</v>
      </c>
      <c r="K599" t="n">
        <v>0</v>
      </c>
      <c r="L599" t="n">
        <v>0</v>
      </c>
      <c r="M599" t="n">
        <v>1</v>
      </c>
      <c r="N599" t="n">
        <v>0</v>
      </c>
      <c r="O599" t="n">
        <v>0</v>
      </c>
      <c r="P599" t="n">
        <v>0</v>
      </c>
      <c r="Q599" t="n">
        <v>1</v>
      </c>
      <c r="R599" t="n">
        <v>1</v>
      </c>
      <c r="S599" t="n">
        <v>1</v>
      </c>
      <c r="T599" t="n">
        <v>1</v>
      </c>
      <c r="U599" t="n">
        <v>0</v>
      </c>
      <c r="V599" s="2" t="inlineStr">
        <is>
          <t>Blå kärrhök</t>
        </is>
      </c>
      <c r="W599">
        <f>HYPERLINK("https://klasma.github.io/Logging_1293/artfynd/A 26857-2025 artfynd.xlsx", "A 26857-2025")</f>
        <v/>
      </c>
      <c r="X599">
        <f>HYPERLINK("https://klasma.github.io/Logging_1293/kartor/A 26857-2025 karta.png", "A 26857-2025")</f>
        <v/>
      </c>
      <c r="Y599">
        <f>HYPERLINK("https://klasma.github.io/Logging_1293/kartor_geotiff/A 26857-2025 georefererad karta.tif", "A 26857-2025")</f>
        <v/>
      </c>
      <c r="AA599">
        <f>HYPERLINK("https://klasma.github.io/Logging_1293/klagomål/A 26857-2025 FSC-klagomål.docx", "A 26857-2025")</f>
        <v/>
      </c>
      <c r="AB599">
        <f>HYPERLINK("https://klasma.github.io/Logging_1293/klagomålsmail/A 26857-2025 FSC-klagomål mail.docx", "A 26857-2025")</f>
        <v/>
      </c>
      <c r="AC599">
        <f>HYPERLINK("https://klasma.github.io/Logging_1293/tillsyn/A 26857-2025 tillsynsbegäran.docx", "A 26857-2025")</f>
        <v/>
      </c>
      <c r="AD599">
        <f>HYPERLINK("https://klasma.github.io/Logging_1293/tillsynsmail/A 26857-2025 tillsynsbegäran mail.docx", "A 26857-2025")</f>
        <v/>
      </c>
      <c r="AE599">
        <f>HYPERLINK("https://klasma.github.io/Logging_1293/fåglar/A 26857-2025 prioriterade fågelarter.docx", "A 26857-2025")</f>
        <v/>
      </c>
    </row>
    <row r="600" ht="15" customHeight="1">
      <c r="A600" t="inlineStr">
        <is>
          <t>A 4383-2024</t>
        </is>
      </c>
      <c r="B600" t="inlineStr">
        <is>
          <t>avverkningsanmälan</t>
        </is>
      </c>
      <c r="C600" t="inlineStr">
        <is>
          <t>Avverkning för annat ändamål</t>
        </is>
      </c>
      <c r="D600" s="1" t="n">
        <v>45327</v>
      </c>
      <c r="E600" s="1" t="n">
        <v>46312</v>
      </c>
      <c r="F600" t="inlineStr">
        <is>
          <t>SKÅNE LÄN</t>
        </is>
      </c>
      <c r="G600" t="inlineStr">
        <is>
          <t>ÖSTRA GÖINGE</t>
        </is>
      </c>
      <c r="I600" t="n">
        <v>2.2</v>
      </c>
      <c r="J600" t="n">
        <v>0</v>
      </c>
      <c r="K600" t="n">
        <v>0</v>
      </c>
      <c r="L600" t="n">
        <v>0</v>
      </c>
      <c r="M600" t="n">
        <v>1</v>
      </c>
      <c r="N600" t="n">
        <v>0</v>
      </c>
      <c r="O600" t="n">
        <v>0</v>
      </c>
      <c r="P600" t="n">
        <v>0</v>
      </c>
      <c r="Q600" t="n">
        <v>1</v>
      </c>
      <c r="R600" t="n">
        <v>1</v>
      </c>
      <c r="S600" t="n">
        <v>1</v>
      </c>
      <c r="T600" t="n">
        <v>1</v>
      </c>
      <c r="U600" t="n">
        <v>1</v>
      </c>
      <c r="V600" s="2" t="inlineStr">
        <is>
          <t>Igelkott</t>
        </is>
      </c>
      <c r="W600">
        <f>HYPERLINK("https://klasma.github.io/Logging_1256/artfynd/A 4383-2024 artfynd.xlsx", "A 4383-2024")</f>
        <v/>
      </c>
      <c r="X600">
        <f>HYPERLINK("https://klasma.github.io/Logging_1256/kartor/A 4383-2024 karta.png", "A 4383-2024")</f>
        <v/>
      </c>
      <c r="Y600">
        <f>HYPERLINK("https://klasma.github.io/Logging_1256/kartor_geotiff/A 4383-2024 georefererad karta.tif", "A 4383-2024")</f>
        <v/>
      </c>
      <c r="AA600">
        <f>HYPERLINK("https://klasma.github.io/Logging_1256/klagomål/A 4383-2024 FSC-klagomål.docx", "A 4383-2024")</f>
        <v/>
      </c>
      <c r="AB600">
        <f>HYPERLINK("https://klasma.github.io/Logging_1256/klagomålsmail/A 4383-2024 FSC-klagomål mail.docx", "A 4383-2024")</f>
        <v/>
      </c>
      <c r="AC600">
        <f>HYPERLINK("https://klasma.github.io/Logging_1256/tillsyn/A 4383-2024 tillsynsbegäran.docx", "A 4383-2024")</f>
        <v/>
      </c>
      <c r="AD600">
        <f>HYPERLINK("https://klasma.github.io/Logging_1256/tillsynsmail/A 4383-2024 tillsynsbegäran mail.docx", "A 4383-2024")</f>
        <v/>
      </c>
    </row>
    <row r="601" ht="15" customHeight="1">
      <c r="A601" t="inlineStr">
        <is>
          <t>A 18348-2022</t>
        </is>
      </c>
      <c r="B601" t="inlineStr">
        <is>
          <t>avverkningsanmälan</t>
        </is>
      </c>
      <c r="C601" t="inlineStr">
        <is>
          <t>Föryngringsavverkning</t>
        </is>
      </c>
      <c r="D601" s="1" t="n">
        <v>44685</v>
      </c>
      <c r="E601" s="1" t="n">
        <v>46312</v>
      </c>
      <c r="F601" t="inlineStr">
        <is>
          <t>SKÅNE LÄN</t>
        </is>
      </c>
      <c r="G601" t="inlineStr">
        <is>
          <t>HÖÖR</t>
        </is>
      </c>
      <c r="H601" t="inlineStr">
        <is>
          <t>Sveaskog</t>
        </is>
      </c>
      <c r="I601" t="n">
        <v>0.7</v>
      </c>
      <c r="J601" t="n">
        <v>1</v>
      </c>
      <c r="K601" t="n">
        <v>0</v>
      </c>
      <c r="L601" t="n">
        <v>0</v>
      </c>
      <c r="M601" t="n">
        <v>0</v>
      </c>
      <c r="N601" t="n">
        <v>0</v>
      </c>
      <c r="O601" t="n">
        <v>0</v>
      </c>
      <c r="P601" t="n">
        <v>0</v>
      </c>
      <c r="Q601" t="n">
        <v>0</v>
      </c>
      <c r="R601" t="n">
        <v>0</v>
      </c>
      <c r="S601" t="n">
        <v>1</v>
      </c>
      <c r="T601" t="n">
        <v>1</v>
      </c>
      <c r="U601" t="n">
        <v>1</v>
      </c>
      <c r="V601" s="2" t="inlineStr">
        <is>
          <t>Klotullört</t>
        </is>
      </c>
      <c r="W601">
        <f>HYPERLINK("https://klasma.github.io/Logging_1267/artfynd/A 18348-2022 artfynd.xlsx", "A 18348-2022")</f>
        <v/>
      </c>
      <c r="X601">
        <f>HYPERLINK("https://klasma.github.io/Logging_1267/kartor/A 18348-2022 karta.png", "A 18348-2022")</f>
        <v/>
      </c>
      <c r="Y601">
        <f>HYPERLINK("https://klasma.github.io/Logging_1267/kartor_geotiff/A 18348-2022 georefererad karta.tif", "A 18348-2022")</f>
        <v/>
      </c>
      <c r="AA601">
        <f>HYPERLINK("https://klasma.github.io/Logging_1267/klagomål/A 18348-2022 FSC-klagomål.docx", "A 18348-2022")</f>
        <v/>
      </c>
      <c r="AB601">
        <f>HYPERLINK("https://klasma.github.io/Logging_1267/klagomålsmail/A 18348-2022 FSC-klagomål mail.docx", "A 18348-2022")</f>
        <v/>
      </c>
      <c r="AC601">
        <f>HYPERLINK("https://klasma.github.io/Logging_1267/tillsyn/A 18348-2022 tillsynsbegäran.docx", "A 18348-2022")</f>
        <v/>
      </c>
      <c r="AD601">
        <f>HYPERLINK("https://klasma.github.io/Logging_1267/tillsynsmail/A 18348-2022 tillsynsbegäran mail.docx", "A 18348-2022")</f>
        <v/>
      </c>
    </row>
    <row r="602" ht="15" customHeight="1">
      <c r="A602" t="inlineStr">
        <is>
          <t>A 10496-2026</t>
        </is>
      </c>
      <c r="B602" t="inlineStr">
        <is>
          <t>avverkningsanmälan</t>
        </is>
      </c>
      <c r="C602" t="inlineStr">
        <is>
          <t>Föryngringsavverkning</t>
        </is>
      </c>
      <c r="D602" s="1" t="n">
        <v>46076</v>
      </c>
      <c r="E602" s="1" t="n">
        <v>46312</v>
      </c>
      <c r="F602" t="inlineStr">
        <is>
          <t>SKÅNE LÄN</t>
        </is>
      </c>
      <c r="G602" t="inlineStr">
        <is>
          <t>ÖRKELLJUNGA</t>
        </is>
      </c>
      <c r="I602" t="n">
        <v>0.7</v>
      </c>
      <c r="J602" t="n">
        <v>1</v>
      </c>
      <c r="K602" t="n">
        <v>0</v>
      </c>
      <c r="L602" t="n">
        <v>0</v>
      </c>
      <c r="M602" t="n">
        <v>0</v>
      </c>
      <c r="N602" t="n">
        <v>0</v>
      </c>
      <c r="O602" t="n">
        <v>0</v>
      </c>
      <c r="P602" t="n">
        <v>0</v>
      </c>
      <c r="Q602" t="n">
        <v>0</v>
      </c>
      <c r="R602" t="n">
        <v>0</v>
      </c>
      <c r="S602" t="n">
        <v>1</v>
      </c>
      <c r="T602" t="n">
        <v>1</v>
      </c>
      <c r="U602" t="n">
        <v>0</v>
      </c>
      <c r="V602" s="2" t="inlineStr">
        <is>
          <t>Skogsödla</t>
        </is>
      </c>
      <c r="W602">
        <f>HYPERLINK("https://klasma.github.io/Logging_1257/artfynd/A 10496-2026 artfynd.xlsx", "A 10496-2026")</f>
        <v/>
      </c>
      <c r="X602">
        <f>HYPERLINK("https://klasma.github.io/Logging_1257/kartor/A 10496-2026 karta.png", "A 10496-2026")</f>
        <v/>
      </c>
      <c r="Y602">
        <f>HYPERLINK("https://klasma.github.io/Logging_1257/kartor_geotiff/A 10496-2026 georefererad karta.tif", "A 10496-2026")</f>
        <v/>
      </c>
      <c r="AA602">
        <f>HYPERLINK("https://klasma.github.io/Logging_1257/klagomål/A 10496-2026 FSC-klagomål.docx", "A 10496-2026")</f>
        <v/>
      </c>
      <c r="AB602">
        <f>HYPERLINK("https://klasma.github.io/Logging_1257/klagomålsmail/A 10496-2026 FSC-klagomål mail.docx", "A 10496-2026")</f>
        <v/>
      </c>
      <c r="AC602">
        <f>HYPERLINK("https://klasma.github.io/Logging_1257/tillsyn/A 10496-2026 tillsynsbegäran.docx", "A 10496-2026")</f>
        <v/>
      </c>
      <c r="AD602">
        <f>HYPERLINK("https://klasma.github.io/Logging_1257/tillsynsmail/A 10496-2026 tillsynsbegäran mail.docx", "A 10496-2026")</f>
        <v/>
      </c>
    </row>
    <row r="603" ht="15" customHeight="1">
      <c r="A603" t="inlineStr">
        <is>
          <t>A 27606-2026</t>
        </is>
      </c>
      <c r="B603" t="inlineStr">
        <is>
          <t>avverkningsanmälan</t>
        </is>
      </c>
      <c r="C603" t="inlineStr">
        <is>
          <t>Föryngringsavverkning</t>
        </is>
      </c>
      <c r="D603" s="1" t="n">
        <v>46188</v>
      </c>
      <c r="E603" s="1" t="n">
        <v>46312</v>
      </c>
      <c r="F603" t="inlineStr">
        <is>
          <t>SKÅNE LÄN</t>
        </is>
      </c>
      <c r="G603" t="inlineStr">
        <is>
          <t>KRISTIANSTAD</t>
        </is>
      </c>
      <c r="I603" t="n">
        <v>5.8</v>
      </c>
      <c r="J603" t="n">
        <v>0</v>
      </c>
      <c r="K603" t="n">
        <v>0</v>
      </c>
      <c r="L603" t="n">
        <v>0</v>
      </c>
      <c r="M603" t="n">
        <v>0</v>
      </c>
      <c r="N603" t="n">
        <v>1</v>
      </c>
      <c r="O603" t="n">
        <v>0</v>
      </c>
      <c r="P603" t="n">
        <v>0</v>
      </c>
      <c r="Q603" t="n">
        <v>1</v>
      </c>
      <c r="R603" t="n">
        <v>1</v>
      </c>
      <c r="S603" t="n">
        <v>1</v>
      </c>
      <c r="T603" t="n">
        <v>2</v>
      </c>
      <c r="U603" t="n">
        <v>0</v>
      </c>
      <c r="V603" s="2" t="inlineStr">
        <is>
          <t>Flodpärlmussla</t>
        </is>
      </c>
      <c r="W603">
        <f>HYPERLINK("https://klasma.github.io/Logging_1290/artfynd/A 27606-2026 artfynd.xlsx", "A 27606-2026")</f>
        <v/>
      </c>
      <c r="X603">
        <f>HYPERLINK("https://klasma.github.io/Logging_1290/kartor/A 27606-2026 karta.png", "A 27606-2026")</f>
        <v/>
      </c>
      <c r="Y603">
        <f>HYPERLINK("https://klasma.github.io/Logging_1290/kartor_geotiff/A 27606-2026 georefererad karta.tif", "A 27606-2026")</f>
        <v/>
      </c>
      <c r="AA603">
        <f>HYPERLINK("https://klasma.github.io/Logging_1290/klagomål/A 27606-2026 FSC-klagomål.docx", "A 27606-2026")</f>
        <v/>
      </c>
      <c r="AB603">
        <f>HYPERLINK("https://klasma.github.io/Logging_1290/klagomålsmail/A 27606-2026 FSC-klagomål mail.docx", "A 27606-2026")</f>
        <v/>
      </c>
      <c r="AC603">
        <f>HYPERLINK("https://klasma.github.io/Logging_1290/tillsyn/A 27606-2026 tillsynsbegäran.docx", "A 27606-2026")</f>
        <v/>
      </c>
      <c r="AD603">
        <f>HYPERLINK("https://klasma.github.io/Logging_1290/tillsynsmail/A 27606-2026 tillsynsbegäran mail.docx", "A 27606-2026")</f>
        <v/>
      </c>
    </row>
    <row r="604" ht="15" customHeight="1">
      <c r="A604" t="inlineStr">
        <is>
          <t>A 40135-2022</t>
        </is>
      </c>
      <c r="B604" t="inlineStr">
        <is>
          <t>avverkningsanmälan</t>
        </is>
      </c>
      <c r="C604" t="inlineStr">
        <is>
          <t>Föryngringsavverkning</t>
        </is>
      </c>
      <c r="D604" s="1" t="n">
        <v>44820</v>
      </c>
      <c r="E604" s="1" t="n">
        <v>46312</v>
      </c>
      <c r="F604" t="inlineStr">
        <is>
          <t>SKÅNE LÄN</t>
        </is>
      </c>
      <c r="G604" t="inlineStr">
        <is>
          <t>ÖSTRA GÖINGE</t>
        </is>
      </c>
      <c r="I604" t="n">
        <v>3.7</v>
      </c>
      <c r="J604" t="n">
        <v>0</v>
      </c>
      <c r="K604" t="n">
        <v>1</v>
      </c>
      <c r="L604" t="n">
        <v>0</v>
      </c>
      <c r="M604" t="n">
        <v>0</v>
      </c>
      <c r="N604" t="n">
        <v>0</v>
      </c>
      <c r="O604" t="n">
        <v>0</v>
      </c>
      <c r="P604" t="n">
        <v>0</v>
      </c>
      <c r="Q604" t="n">
        <v>0</v>
      </c>
      <c r="R604" t="n">
        <v>0</v>
      </c>
      <c r="S604" t="n">
        <v>1</v>
      </c>
      <c r="T604" t="n">
        <v>1</v>
      </c>
      <c r="U604" t="n">
        <v>0</v>
      </c>
      <c r="V604" s="2" t="inlineStr">
        <is>
          <t>Fällmossa</t>
        </is>
      </c>
      <c r="W604">
        <f>HYPERLINK("https://klasma.github.io/Logging_1256/artfynd/A 40135-2022 artfynd.xlsx", "A 40135-2022")</f>
        <v/>
      </c>
      <c r="X604">
        <f>HYPERLINK("https://klasma.github.io/Logging_1256/kartor/A 40135-2022 karta.png", "A 40135-2022")</f>
        <v/>
      </c>
      <c r="Y604">
        <f>HYPERLINK("https://klasma.github.io/Logging_1256/kartor_geotiff/A 40135-2022 georefererad karta.tif", "A 40135-2022")</f>
        <v/>
      </c>
      <c r="AA604">
        <f>HYPERLINK("https://klasma.github.io/Logging_1256/klagomål/A 40135-2022 FSC-klagomål.docx", "A 40135-2022")</f>
        <v/>
      </c>
      <c r="AB604">
        <f>HYPERLINK("https://klasma.github.io/Logging_1256/klagomålsmail/A 40135-2022 FSC-klagomål mail.docx", "A 40135-2022")</f>
        <v/>
      </c>
      <c r="AC604">
        <f>HYPERLINK("https://klasma.github.io/Logging_1256/tillsyn/A 40135-2022 tillsynsbegäran.docx", "A 40135-2022")</f>
        <v/>
      </c>
      <c r="AD604">
        <f>HYPERLINK("https://klasma.github.io/Logging_1256/tillsynsmail/A 40135-2022 tillsynsbegäran mail.docx", "A 40135-2022")</f>
        <v/>
      </c>
    </row>
    <row r="605" ht="15" customHeight="1">
      <c r="A605" t="inlineStr">
        <is>
          <t>A 8208-2023</t>
        </is>
      </c>
      <c r="B605" t="inlineStr">
        <is>
          <t>avverkningsanmälan</t>
        </is>
      </c>
      <c r="C605" t="inlineStr">
        <is>
          <t>Föryngringsavverkning</t>
        </is>
      </c>
      <c r="D605" s="1" t="n">
        <v>44971</v>
      </c>
      <c r="E605" s="1" t="n">
        <v>46312</v>
      </c>
      <c r="F605" t="inlineStr">
        <is>
          <t>SKÅNE LÄN</t>
        </is>
      </c>
      <c r="G605" t="inlineStr">
        <is>
          <t>KRISTIANSTAD</t>
        </is>
      </c>
      <c r="I605" t="n">
        <v>2.9</v>
      </c>
      <c r="J605" t="n">
        <v>0</v>
      </c>
      <c r="K605" t="n">
        <v>0</v>
      </c>
      <c r="L605" t="n">
        <v>0</v>
      </c>
      <c r="M605" t="n">
        <v>0</v>
      </c>
      <c r="N605" t="n">
        <v>1</v>
      </c>
      <c r="O605" t="n">
        <v>0</v>
      </c>
      <c r="P605" t="n">
        <v>0</v>
      </c>
      <c r="Q605" t="n">
        <v>1</v>
      </c>
      <c r="R605" t="n">
        <v>1</v>
      </c>
      <c r="S605" t="n">
        <v>1</v>
      </c>
      <c r="T605" t="n">
        <v>1</v>
      </c>
      <c r="U605" t="n">
        <v>0</v>
      </c>
      <c r="V605" s="2" t="inlineStr">
        <is>
          <t>Flodpärlmussla</t>
        </is>
      </c>
      <c r="W605">
        <f>HYPERLINK("https://klasma.github.io/Logging_1290/artfynd/A 8208-2023 artfynd.xlsx", "A 8208-2023")</f>
        <v/>
      </c>
      <c r="X605">
        <f>HYPERLINK("https://klasma.github.io/Logging_1290/kartor/A 8208-2023 karta.png", "A 8208-2023")</f>
        <v/>
      </c>
      <c r="Y605">
        <f>HYPERLINK("https://klasma.github.io/Logging_1290/kartor_geotiff/A 8208-2023 georefererad karta.tif", "A 8208-2023")</f>
        <v/>
      </c>
      <c r="AA605">
        <f>HYPERLINK("https://klasma.github.io/Logging_1290/klagomål/A 8208-2023 FSC-klagomål.docx", "A 8208-2023")</f>
        <v/>
      </c>
      <c r="AB605">
        <f>HYPERLINK("https://klasma.github.io/Logging_1290/klagomålsmail/A 8208-2023 FSC-klagomål mail.docx", "A 8208-2023")</f>
        <v/>
      </c>
      <c r="AC605">
        <f>HYPERLINK("https://klasma.github.io/Logging_1290/tillsyn/A 8208-2023 tillsynsbegäran.docx", "A 8208-2023")</f>
        <v/>
      </c>
      <c r="AD605">
        <f>HYPERLINK("https://klasma.github.io/Logging_1290/tillsynsmail/A 8208-2023 tillsynsbegäran mail.docx", "A 8208-2023")</f>
        <v/>
      </c>
    </row>
    <row r="606" ht="15" customHeight="1">
      <c r="A606" t="inlineStr">
        <is>
          <t>A 33883-2025</t>
        </is>
      </c>
      <c r="B606" t="inlineStr">
        <is>
          <t>avverkningsanmälan</t>
        </is>
      </c>
      <c r="C606" t="inlineStr">
        <is>
          <t>Föryngringsavverkning</t>
        </is>
      </c>
      <c r="D606" s="1" t="n">
        <v>45842</v>
      </c>
      <c r="E606" s="1" t="n">
        <v>46312</v>
      </c>
      <c r="F606" t="inlineStr">
        <is>
          <t>SKÅNE LÄN</t>
        </is>
      </c>
      <c r="G606" t="inlineStr">
        <is>
          <t>KRISTIANSTAD</t>
        </is>
      </c>
      <c r="I606" t="n">
        <v>2.3</v>
      </c>
      <c r="J606" t="n">
        <v>0</v>
      </c>
      <c r="K606" t="n">
        <v>1</v>
      </c>
      <c r="L606" t="n">
        <v>0</v>
      </c>
      <c r="M606" t="n">
        <v>0</v>
      </c>
      <c r="N606" t="n">
        <v>0</v>
      </c>
      <c r="O606" t="n">
        <v>0</v>
      </c>
      <c r="P606" t="n">
        <v>0</v>
      </c>
      <c r="Q606" t="n">
        <v>0</v>
      </c>
      <c r="R606" t="n">
        <v>0</v>
      </c>
      <c r="S606" t="n">
        <v>1</v>
      </c>
      <c r="T606" t="n">
        <v>1</v>
      </c>
      <c r="U606" t="n">
        <v>0</v>
      </c>
      <c r="V606" s="2" t="inlineStr">
        <is>
          <t>Stor häxört</t>
        </is>
      </c>
      <c r="W606">
        <f>HYPERLINK("https://klasma.github.io/Logging_1290/artfynd/A 33883-2025 artfynd.xlsx", "A 33883-2025")</f>
        <v/>
      </c>
      <c r="X606">
        <f>HYPERLINK("https://klasma.github.io/Logging_1290/kartor/A 33883-2025 karta.png", "A 33883-2025")</f>
        <v/>
      </c>
      <c r="Y606">
        <f>HYPERLINK("https://klasma.github.io/Logging_1290/kartor_geotiff/A 33883-2025 georefererad karta.tif", "A 33883-2025")</f>
        <v/>
      </c>
      <c r="AA606">
        <f>HYPERLINK("https://klasma.github.io/Logging_1290/klagomål/A 33883-2025 FSC-klagomål.docx", "A 33883-2025")</f>
        <v/>
      </c>
      <c r="AB606">
        <f>HYPERLINK("https://klasma.github.io/Logging_1290/klagomålsmail/A 33883-2025 FSC-klagomål mail.docx", "A 33883-2025")</f>
        <v/>
      </c>
      <c r="AC606">
        <f>HYPERLINK("https://klasma.github.io/Logging_1290/tillsyn/A 33883-2025 tillsynsbegäran.docx", "A 33883-2025")</f>
        <v/>
      </c>
      <c r="AD606">
        <f>HYPERLINK("https://klasma.github.io/Logging_1290/tillsynsmail/A 33883-2025 tillsynsbegäran mail.docx", "A 33883-2025")</f>
        <v/>
      </c>
    </row>
    <row r="607" ht="15" customHeight="1">
      <c r="A607" t="inlineStr">
        <is>
          <t>A 27486-2026</t>
        </is>
      </c>
      <c r="B607" t="inlineStr">
        <is>
          <t>avverkningsanmälan</t>
        </is>
      </c>
      <c r="C607" t="inlineStr">
        <is>
          <t>Föryngringsavverkning</t>
        </is>
      </c>
      <c r="D607" s="1" t="n">
        <v>46189</v>
      </c>
      <c r="E607" s="1" t="n">
        <v>46312</v>
      </c>
      <c r="F607" t="inlineStr">
        <is>
          <t>SKÅNE LÄN</t>
        </is>
      </c>
      <c r="G607" t="inlineStr">
        <is>
          <t>OSBY</t>
        </is>
      </c>
      <c r="H607" t="inlineStr">
        <is>
          <t>Sveaskog</t>
        </is>
      </c>
      <c r="I607" t="n">
        <v>3.1</v>
      </c>
      <c r="J607" t="n">
        <v>1</v>
      </c>
      <c r="K607" t="n">
        <v>0</v>
      </c>
      <c r="L607" t="n">
        <v>0</v>
      </c>
      <c r="M607" t="n">
        <v>0</v>
      </c>
      <c r="N607" t="n">
        <v>0</v>
      </c>
      <c r="O607" t="n">
        <v>0</v>
      </c>
      <c r="P607" t="n">
        <v>0</v>
      </c>
      <c r="Q607" t="n">
        <v>0</v>
      </c>
      <c r="R607" t="n">
        <v>0</v>
      </c>
      <c r="S607" t="n">
        <v>1</v>
      </c>
      <c r="T607" t="n">
        <v>1</v>
      </c>
      <c r="U607" t="n">
        <v>1</v>
      </c>
      <c r="V607" s="2" t="inlineStr">
        <is>
          <t>Tofsmes</t>
        </is>
      </c>
      <c r="W607">
        <f>HYPERLINK("https://klasma.github.io/Logging_1273/artfynd/A 27486-2026 artfynd.xlsx", "A 27486-2026")</f>
        <v/>
      </c>
      <c r="X607">
        <f>HYPERLINK("https://klasma.github.io/Logging_1273/kartor/A 27486-2026 karta.png", "A 27486-2026")</f>
        <v/>
      </c>
      <c r="Y607">
        <f>HYPERLINK("https://klasma.github.io/Logging_1273/kartor_geotiff/A 27486-2026 georefererad karta.tif", "A 27486-2026")</f>
        <v/>
      </c>
      <c r="AA607">
        <f>HYPERLINK("https://klasma.github.io/Logging_1273/klagomål/A 27486-2026 FSC-klagomål.docx", "A 27486-2026")</f>
        <v/>
      </c>
      <c r="AB607">
        <f>HYPERLINK("https://klasma.github.io/Logging_1273/klagomålsmail/A 27486-2026 FSC-klagomål mail.docx", "A 27486-2026")</f>
        <v/>
      </c>
      <c r="AC607">
        <f>HYPERLINK("https://klasma.github.io/Logging_1273/tillsyn/A 27486-2026 tillsynsbegäran.docx", "A 27486-2026")</f>
        <v/>
      </c>
      <c r="AD607">
        <f>HYPERLINK("https://klasma.github.io/Logging_1273/tillsynsmail/A 27486-2026 tillsynsbegäran mail.docx", "A 27486-2026")</f>
        <v/>
      </c>
    </row>
    <row r="608" ht="15" customHeight="1">
      <c r="A608" t="inlineStr">
        <is>
          <t>A 20090-2024</t>
        </is>
      </c>
      <c r="B608" t="inlineStr">
        <is>
          <t>avverkningsanmälan</t>
        </is>
      </c>
      <c r="C608" t="inlineStr">
        <is>
          <t>Föryngringsavverkning</t>
        </is>
      </c>
      <c r="D608" s="1" t="n">
        <v>45434</v>
      </c>
      <c r="E608" s="1" t="n">
        <v>46312</v>
      </c>
      <c r="F608" t="inlineStr">
        <is>
          <t>SKÅNE LÄN</t>
        </is>
      </c>
      <c r="G608" t="inlineStr">
        <is>
          <t>SIMRISHAMN</t>
        </is>
      </c>
      <c r="I608" t="n">
        <v>2.4</v>
      </c>
      <c r="J608" t="n">
        <v>1</v>
      </c>
      <c r="K608" t="n">
        <v>0</v>
      </c>
      <c r="L608" t="n">
        <v>0</v>
      </c>
      <c r="M608" t="n">
        <v>0</v>
      </c>
      <c r="N608" t="n">
        <v>0</v>
      </c>
      <c r="O608" t="n">
        <v>0</v>
      </c>
      <c r="P608" t="n">
        <v>0</v>
      </c>
      <c r="Q608" t="n">
        <v>0</v>
      </c>
      <c r="R608" t="n">
        <v>0</v>
      </c>
      <c r="S608" t="n">
        <v>1</v>
      </c>
      <c r="T608" t="n">
        <v>1</v>
      </c>
      <c r="U608" t="n">
        <v>0</v>
      </c>
      <c r="V608" s="2" t="inlineStr">
        <is>
          <t>Hasselmus</t>
        </is>
      </c>
      <c r="W608">
        <f>HYPERLINK("https://klasma.github.io/Logging_1291/artfynd/A 20090-2024 artfynd.xlsx", "A 20090-2024")</f>
        <v/>
      </c>
      <c r="X608">
        <f>HYPERLINK("https://klasma.github.io/Logging_1291/kartor/A 20090-2024 karta.png", "A 20090-2024")</f>
        <v/>
      </c>
      <c r="Y608">
        <f>HYPERLINK("https://klasma.github.io/Logging_1291/kartor_geotiff/A 20090-2024 georefererad karta.tif", "A 20090-2024")</f>
        <v/>
      </c>
      <c r="AA608">
        <f>HYPERLINK("https://klasma.github.io/Logging_1291/klagomål/A 20090-2024 FSC-klagomål.docx", "A 20090-2024")</f>
        <v/>
      </c>
      <c r="AB608">
        <f>HYPERLINK("https://klasma.github.io/Logging_1291/klagomålsmail/A 20090-2024 FSC-klagomål mail.docx", "A 20090-2024")</f>
        <v/>
      </c>
      <c r="AC608">
        <f>HYPERLINK("https://klasma.github.io/Logging_1291/tillsyn/A 20090-2024 tillsynsbegäran.docx", "A 20090-2024")</f>
        <v/>
      </c>
      <c r="AD608">
        <f>HYPERLINK("https://klasma.github.io/Logging_1291/tillsynsmail/A 20090-2024 tillsynsbegäran mail.docx", "A 20090-2024")</f>
        <v/>
      </c>
    </row>
    <row r="609" ht="15" customHeight="1">
      <c r="A609" t="inlineStr">
        <is>
          <t>A 27377-2026</t>
        </is>
      </c>
      <c r="B609" t="inlineStr">
        <is>
          <t>avverkningsanmälan</t>
        </is>
      </c>
      <c r="C609" t="inlineStr">
        <is>
          <t>Föryngringsavverkning</t>
        </is>
      </c>
      <c r="D609" s="1" t="n">
        <v>46189</v>
      </c>
      <c r="E609" s="1" t="n">
        <v>46312</v>
      </c>
      <c r="F609" t="inlineStr">
        <is>
          <t>SKÅNE LÄN</t>
        </is>
      </c>
      <c r="G609" t="inlineStr">
        <is>
          <t>LUND</t>
        </is>
      </c>
      <c r="I609" t="n">
        <v>0.7</v>
      </c>
      <c r="J609" t="n">
        <v>1</v>
      </c>
      <c r="K609" t="n">
        <v>0</v>
      </c>
      <c r="L609" t="n">
        <v>0</v>
      </c>
      <c r="M609" t="n">
        <v>0</v>
      </c>
      <c r="N609" t="n">
        <v>0</v>
      </c>
      <c r="O609" t="n">
        <v>0</v>
      </c>
      <c r="P609" t="n">
        <v>0</v>
      </c>
      <c r="Q609" t="n">
        <v>0</v>
      </c>
      <c r="R609" t="n">
        <v>0</v>
      </c>
      <c r="S609" t="n">
        <v>1</v>
      </c>
      <c r="T609" t="n">
        <v>1</v>
      </c>
      <c r="U609" t="n">
        <v>0</v>
      </c>
      <c r="V609" s="2" t="inlineStr">
        <is>
          <t>Ätlig groda</t>
        </is>
      </c>
      <c r="W609">
        <f>HYPERLINK("https://klasma.github.io/Logging_1281/artfynd/A 27377-2026 artfynd.xlsx", "A 27377-2026")</f>
        <v/>
      </c>
      <c r="X609">
        <f>HYPERLINK("https://klasma.github.io/Logging_1281/kartor/A 27377-2026 karta.png", "A 27377-2026")</f>
        <v/>
      </c>
      <c r="Y609">
        <f>HYPERLINK("https://klasma.github.io/Logging_1281/kartor_geotiff/A 27377-2026 georefererad karta.tif", "A 27377-2026")</f>
        <v/>
      </c>
      <c r="AA609">
        <f>HYPERLINK("https://klasma.github.io/Logging_1281/klagomål/A 27377-2026 FSC-klagomål.docx", "A 27377-2026")</f>
        <v/>
      </c>
      <c r="AB609">
        <f>HYPERLINK("https://klasma.github.io/Logging_1281/klagomålsmail/A 27377-2026 FSC-klagomål mail.docx", "A 27377-2026")</f>
        <v/>
      </c>
      <c r="AC609">
        <f>HYPERLINK("https://klasma.github.io/Logging_1281/tillsyn/A 27377-2026 tillsynsbegäran.docx", "A 27377-2026")</f>
        <v/>
      </c>
      <c r="AD609">
        <f>HYPERLINK("https://klasma.github.io/Logging_1281/tillsynsmail/A 27377-2026 tillsynsbegäran mail.docx", "A 27377-2026")</f>
        <v/>
      </c>
    </row>
    <row r="610" ht="15" customHeight="1">
      <c r="A610" t="inlineStr">
        <is>
          <t>A 14013-2026</t>
        </is>
      </c>
      <c r="B610" t="inlineStr">
        <is>
          <t>avverkningsanmälan</t>
        </is>
      </c>
      <c r="C610" t="inlineStr">
        <is>
          <t>Föryngringsavverkning</t>
        </is>
      </c>
      <c r="D610" s="1" t="n">
        <v>46098</v>
      </c>
      <c r="E610" s="1" t="n">
        <v>46312</v>
      </c>
      <c r="F610" t="inlineStr">
        <is>
          <t>SKÅNE LÄN</t>
        </is>
      </c>
      <c r="G610" t="inlineStr">
        <is>
          <t>ESLÖV</t>
        </is>
      </c>
      <c r="H610" t="inlineStr">
        <is>
          <t>Sveaskog</t>
        </is>
      </c>
      <c r="I610" t="n">
        <v>8.800000000000001</v>
      </c>
      <c r="J610" t="n">
        <v>1</v>
      </c>
      <c r="K610" t="n">
        <v>0</v>
      </c>
      <c r="L610" t="n">
        <v>0</v>
      </c>
      <c r="M610" t="n">
        <v>0</v>
      </c>
      <c r="N610" t="n">
        <v>0</v>
      </c>
      <c r="O610" t="n">
        <v>0</v>
      </c>
      <c r="P610" t="n">
        <v>0</v>
      </c>
      <c r="Q610" t="n">
        <v>0</v>
      </c>
      <c r="R610" t="n">
        <v>0</v>
      </c>
      <c r="S610" t="n">
        <v>1</v>
      </c>
      <c r="T610" t="n">
        <v>1</v>
      </c>
      <c r="U610" t="n">
        <v>1</v>
      </c>
      <c r="V610" s="2" t="inlineStr">
        <is>
          <t>Törnskata</t>
        </is>
      </c>
      <c r="W610">
        <f>HYPERLINK("https://klasma.github.io/Logging_1285/artfynd/A 14013-2026 artfynd.xlsx", "A 14013-2026")</f>
        <v/>
      </c>
      <c r="X610">
        <f>HYPERLINK("https://klasma.github.io/Logging_1285/kartor/A 14013-2026 karta.png", "A 14013-2026")</f>
        <v/>
      </c>
      <c r="Y610">
        <f>HYPERLINK("https://klasma.github.io/Logging_1285/kartor_geotiff/A 14013-2026 georefererad karta.tif", "A 14013-2026")</f>
        <v/>
      </c>
      <c r="AA610">
        <f>HYPERLINK("https://klasma.github.io/Logging_1285/klagomål/A 14013-2026 FSC-klagomål.docx", "A 14013-2026")</f>
        <v/>
      </c>
      <c r="AB610">
        <f>HYPERLINK("https://klasma.github.io/Logging_1285/klagomålsmail/A 14013-2026 FSC-klagomål mail.docx", "A 14013-2026")</f>
        <v/>
      </c>
      <c r="AC610">
        <f>HYPERLINK("https://klasma.github.io/Logging_1285/tillsyn/A 14013-2026 tillsynsbegäran.docx", "A 14013-2026")</f>
        <v/>
      </c>
      <c r="AD610">
        <f>HYPERLINK("https://klasma.github.io/Logging_1285/tillsynsmail/A 14013-2026 tillsynsbegäran mail.docx", "A 14013-2026")</f>
        <v/>
      </c>
      <c r="AE610">
        <f>HYPERLINK("https://klasma.github.io/Logging_1285/fåglar/A 14013-2026 prioriterade fågelarter.docx", "A 14013-2026")</f>
        <v/>
      </c>
    </row>
    <row r="611" ht="15" customHeight="1">
      <c r="A611" t="inlineStr">
        <is>
          <t>A 61094-2021</t>
        </is>
      </c>
      <c r="B611" t="inlineStr">
        <is>
          <t>avverkningsanmälan</t>
        </is>
      </c>
      <c r="C611" t="inlineStr">
        <is>
          <t>Föryngringsavverkning</t>
        </is>
      </c>
      <c r="D611" s="1" t="n">
        <v>44498</v>
      </c>
      <c r="E611" s="1" t="n">
        <v>46312</v>
      </c>
      <c r="F611" t="inlineStr">
        <is>
          <t>SKÅNE LÄN</t>
        </is>
      </c>
      <c r="G611" t="inlineStr">
        <is>
          <t>ÄNGELHOLM</t>
        </is>
      </c>
      <c r="I611" t="n">
        <v>6.4</v>
      </c>
      <c r="J611" t="n">
        <v>0</v>
      </c>
      <c r="K611" t="n">
        <v>1</v>
      </c>
      <c r="L611" t="n">
        <v>0</v>
      </c>
      <c r="M611" t="n">
        <v>0</v>
      </c>
      <c r="N611" t="n">
        <v>0</v>
      </c>
      <c r="O611" t="n">
        <v>0</v>
      </c>
      <c r="P611" t="n">
        <v>0</v>
      </c>
      <c r="Q611" t="n">
        <v>0</v>
      </c>
      <c r="R611" t="n">
        <v>0</v>
      </c>
      <c r="S611" t="n">
        <v>1</v>
      </c>
      <c r="T611" t="n">
        <v>1</v>
      </c>
      <c r="U611" t="n">
        <v>1</v>
      </c>
      <c r="V611" s="2" t="inlineStr">
        <is>
          <t>Stor revmossa</t>
        </is>
      </c>
      <c r="W611">
        <f>HYPERLINK("https://klasma.github.io/Logging_1292/artfynd/A 61094-2021 artfynd.xlsx", "A 61094-2021")</f>
        <v/>
      </c>
      <c r="X611">
        <f>HYPERLINK("https://klasma.github.io/Logging_1292/kartor/A 61094-2021 karta.png", "A 61094-2021")</f>
        <v/>
      </c>
      <c r="Y611">
        <f>HYPERLINK("https://klasma.github.io/Logging_1292/kartor_geotiff/A 61094-2021 georefererad karta.tif", "A 61094-2021")</f>
        <v/>
      </c>
      <c r="AA611">
        <f>HYPERLINK("https://klasma.github.io/Logging_1292/klagomål/A 61094-2021 FSC-klagomål.docx", "A 61094-2021")</f>
        <v/>
      </c>
      <c r="AB611">
        <f>HYPERLINK("https://klasma.github.io/Logging_1292/klagomålsmail/A 61094-2021 FSC-klagomål mail.docx", "A 61094-2021")</f>
        <v/>
      </c>
      <c r="AC611">
        <f>HYPERLINK("https://klasma.github.io/Logging_1292/tillsyn/A 61094-2021 tillsynsbegäran.docx", "A 61094-2021")</f>
        <v/>
      </c>
      <c r="AD611">
        <f>HYPERLINK("https://klasma.github.io/Logging_1292/tillsynsmail/A 61094-2021 tillsynsbegäran mail.docx", "A 61094-2021")</f>
        <v/>
      </c>
    </row>
    <row r="612" ht="15" customHeight="1">
      <c r="A612" t="inlineStr">
        <is>
          <t>A 13143-2023</t>
        </is>
      </c>
      <c r="B612" t="inlineStr">
        <is>
          <t>avverkningsanmälan</t>
        </is>
      </c>
      <c r="C612" t="inlineStr">
        <is>
          <t>Föryngringsavverkning</t>
        </is>
      </c>
      <c r="D612" s="1" t="n">
        <v>45002</v>
      </c>
      <c r="E612" s="1" t="n">
        <v>46312</v>
      </c>
      <c r="F612" t="inlineStr">
        <is>
          <t>SKÅNE LÄN</t>
        </is>
      </c>
      <c r="G612" t="inlineStr">
        <is>
          <t>OSBY</t>
        </is>
      </c>
      <c r="I612" t="n">
        <v>13.5</v>
      </c>
      <c r="J612" t="n">
        <v>0</v>
      </c>
      <c r="K612" t="n">
        <v>1</v>
      </c>
      <c r="L612" t="n">
        <v>0</v>
      </c>
      <c r="M612" t="n">
        <v>0</v>
      </c>
      <c r="N612" t="n">
        <v>0</v>
      </c>
      <c r="O612" t="n">
        <v>0</v>
      </c>
      <c r="P612" t="n">
        <v>0</v>
      </c>
      <c r="Q612" t="n">
        <v>0</v>
      </c>
      <c r="R612" t="n">
        <v>0</v>
      </c>
      <c r="S612" t="n">
        <v>1</v>
      </c>
      <c r="T612" t="n">
        <v>1</v>
      </c>
      <c r="U612" t="n">
        <v>0</v>
      </c>
      <c r="V612" s="2" t="inlineStr">
        <is>
          <t>Klippfrullania</t>
        </is>
      </c>
      <c r="W612">
        <f>HYPERLINK("https://klasma.github.io/Logging_1273/artfynd/A 13143-2023 artfynd.xlsx", "A 13143-2023")</f>
        <v/>
      </c>
      <c r="X612">
        <f>HYPERLINK("https://klasma.github.io/Logging_1273/kartor/A 13143-2023 karta.png", "A 13143-2023")</f>
        <v/>
      </c>
      <c r="Y612">
        <f>HYPERLINK("https://klasma.github.io/Logging_1273/kartor_geotiff/A 13143-2023 georefererad karta.tif", "A 13143-2023")</f>
        <v/>
      </c>
      <c r="AA612">
        <f>HYPERLINK("https://klasma.github.io/Logging_1273/klagomål/A 13143-2023 FSC-klagomål.docx", "A 13143-2023")</f>
        <v/>
      </c>
      <c r="AB612">
        <f>HYPERLINK("https://klasma.github.io/Logging_1273/klagomålsmail/A 13143-2023 FSC-klagomål mail.docx", "A 13143-2023")</f>
        <v/>
      </c>
      <c r="AC612">
        <f>HYPERLINK("https://klasma.github.io/Logging_1273/tillsyn/A 13143-2023 tillsynsbegäran.docx", "A 13143-2023")</f>
        <v/>
      </c>
      <c r="AD612">
        <f>HYPERLINK("https://klasma.github.io/Logging_1273/tillsynsmail/A 13143-2023 tillsynsbegäran mail.docx", "A 13143-2023")</f>
        <v/>
      </c>
    </row>
    <row r="613" ht="15" customHeight="1">
      <c r="A613" t="inlineStr">
        <is>
          <t>A 28931-2026</t>
        </is>
      </c>
      <c r="B613" t="inlineStr">
        <is>
          <t>avverkningsanmälan</t>
        </is>
      </c>
      <c r="C613" t="inlineStr">
        <is>
          <t>Föryngringsavverkning</t>
        </is>
      </c>
      <c r="D613" s="1" t="n">
        <v>46196</v>
      </c>
      <c r="E613" s="1" t="n">
        <v>46312</v>
      </c>
      <c r="F613" t="inlineStr">
        <is>
          <t>SKÅNE LÄN</t>
        </is>
      </c>
      <c r="G613" t="inlineStr">
        <is>
          <t>HÄSSLEHOLM</t>
        </is>
      </c>
      <c r="I613" t="n">
        <v>0.7</v>
      </c>
      <c r="J613" t="n">
        <v>0</v>
      </c>
      <c r="K613" t="n">
        <v>1</v>
      </c>
      <c r="L613" t="n">
        <v>0</v>
      </c>
      <c r="M613" t="n">
        <v>0</v>
      </c>
      <c r="N613" t="n">
        <v>0</v>
      </c>
      <c r="O613" t="n">
        <v>0</v>
      </c>
      <c r="P613" t="n">
        <v>0</v>
      </c>
      <c r="Q613" t="n">
        <v>0</v>
      </c>
      <c r="R613" t="n">
        <v>0</v>
      </c>
      <c r="S613" t="n">
        <v>1</v>
      </c>
      <c r="T613" t="n">
        <v>1</v>
      </c>
      <c r="U613" t="n">
        <v>0</v>
      </c>
      <c r="V613" s="2" t="inlineStr">
        <is>
          <t>Västlig hakmossa</t>
        </is>
      </c>
      <c r="W613">
        <f>HYPERLINK("https://klasma.github.io/Logging_1293/artfynd/A 28931-2026 artfynd.xlsx", "A 28931-2026")</f>
        <v/>
      </c>
      <c r="X613">
        <f>HYPERLINK("https://klasma.github.io/Logging_1293/kartor/A 28931-2026 karta.png", "A 28931-2026")</f>
        <v/>
      </c>
      <c r="Y613">
        <f>HYPERLINK("https://klasma.github.io/Logging_1293/kartor_geotiff/A 28931-2026 georefererad karta.tif", "A 28931-2026")</f>
        <v/>
      </c>
      <c r="AA613">
        <f>HYPERLINK("https://klasma.github.io/Logging_1293/klagomål/A 28931-2026 FSC-klagomål.docx", "A 28931-2026")</f>
        <v/>
      </c>
      <c r="AB613">
        <f>HYPERLINK("https://klasma.github.io/Logging_1293/klagomålsmail/A 28931-2026 FSC-klagomål mail.docx", "A 28931-2026")</f>
        <v/>
      </c>
      <c r="AC613">
        <f>HYPERLINK("https://klasma.github.io/Logging_1293/tillsyn/A 28931-2026 tillsynsbegäran.docx", "A 28931-2026")</f>
        <v/>
      </c>
      <c r="AD613">
        <f>HYPERLINK("https://klasma.github.io/Logging_1293/tillsynsmail/A 28931-2026 tillsynsbegäran mail.docx", "A 28931-2026")</f>
        <v/>
      </c>
    </row>
    <row r="614" ht="15" customHeight="1">
      <c r="A614" t="inlineStr">
        <is>
          <t>A 25833-2024</t>
        </is>
      </c>
      <c r="B614" t="inlineStr">
        <is>
          <t>avverkningsanmälan</t>
        </is>
      </c>
      <c r="C614" t="inlineStr">
        <is>
          <t>Föryngringsavverkning</t>
        </is>
      </c>
      <c r="D614" s="1" t="n">
        <v>45463</v>
      </c>
      <c r="E614" s="1" t="n">
        <v>46312</v>
      </c>
      <c r="F614" t="inlineStr">
        <is>
          <t>SKÅNE LÄN</t>
        </is>
      </c>
      <c r="G614" t="inlineStr">
        <is>
          <t>HÖRBY</t>
        </is>
      </c>
      <c r="I614" t="n">
        <v>1.4</v>
      </c>
      <c r="J614" t="n">
        <v>0</v>
      </c>
      <c r="K614" t="n">
        <v>0</v>
      </c>
      <c r="L614" t="n">
        <v>0</v>
      </c>
      <c r="M614" t="n">
        <v>1</v>
      </c>
      <c r="N614" t="n">
        <v>0</v>
      </c>
      <c r="O614" t="n">
        <v>0</v>
      </c>
      <c r="P614" t="n">
        <v>0</v>
      </c>
      <c r="Q614" t="n">
        <v>1</v>
      </c>
      <c r="R614" t="n">
        <v>1</v>
      </c>
      <c r="S614" t="n">
        <v>1</v>
      </c>
      <c r="T614" t="n">
        <v>2</v>
      </c>
      <c r="U614" t="n">
        <v>0</v>
      </c>
      <c r="V614" s="2" t="inlineStr">
        <is>
          <t>Slåttergubbe</t>
        </is>
      </c>
      <c r="W614">
        <f>HYPERLINK("https://klasma.github.io/Logging_1266/artfynd/A 25833-2024 artfynd.xlsx", "A 25833-2024")</f>
        <v/>
      </c>
      <c r="X614">
        <f>HYPERLINK("https://klasma.github.io/Logging_1266/kartor/A 25833-2024 karta.png", "A 25833-2024")</f>
        <v/>
      </c>
      <c r="Y614">
        <f>HYPERLINK("https://klasma.github.io/Logging_1266/kartor_geotiff/A 25833-2024 georefererad karta.tif", "A 25833-2024")</f>
        <v/>
      </c>
      <c r="AA614">
        <f>HYPERLINK("https://klasma.github.io/Logging_1266/klagomål/A 25833-2024 FSC-klagomål.docx", "A 25833-2024")</f>
        <v/>
      </c>
      <c r="AB614">
        <f>HYPERLINK("https://klasma.github.io/Logging_1266/klagomålsmail/A 25833-2024 FSC-klagomål mail.docx", "A 25833-2024")</f>
        <v/>
      </c>
      <c r="AC614">
        <f>HYPERLINK("https://klasma.github.io/Logging_1266/tillsyn/A 25833-2024 tillsynsbegäran.docx", "A 25833-2024")</f>
        <v/>
      </c>
      <c r="AD614">
        <f>HYPERLINK("https://klasma.github.io/Logging_1266/tillsynsmail/A 25833-2024 tillsynsbegäran mail.docx", "A 25833-2024")</f>
        <v/>
      </c>
    </row>
    <row r="615" ht="15" customHeight="1">
      <c r="A615" t="inlineStr">
        <is>
          <t>A 52972-2023</t>
        </is>
      </c>
      <c r="B615" t="inlineStr">
        <is>
          <t>avverkningsanmälan</t>
        </is>
      </c>
      <c r="C615" t="inlineStr">
        <is>
          <t>Föryngringsavverkning</t>
        </is>
      </c>
      <c r="D615" s="1" t="n">
        <v>45222</v>
      </c>
      <c r="E615" s="1" t="n">
        <v>46312</v>
      </c>
      <c r="F615" t="inlineStr">
        <is>
          <t>SKÅNE LÄN</t>
        </is>
      </c>
      <c r="G615" t="inlineStr">
        <is>
          <t>BROMÖLLA</t>
        </is>
      </c>
      <c r="I615" t="n">
        <v>6.4</v>
      </c>
      <c r="J615" t="n">
        <v>1</v>
      </c>
      <c r="K615" t="n">
        <v>0</v>
      </c>
      <c r="L615" t="n">
        <v>0</v>
      </c>
      <c r="M615" t="n">
        <v>0</v>
      </c>
      <c r="N615" t="n">
        <v>0</v>
      </c>
      <c r="O615" t="n">
        <v>0</v>
      </c>
      <c r="P615" t="n">
        <v>0</v>
      </c>
      <c r="Q615" t="n">
        <v>0</v>
      </c>
      <c r="R615" t="n">
        <v>0</v>
      </c>
      <c r="S615" t="n">
        <v>1</v>
      </c>
      <c r="T615" t="n">
        <v>1</v>
      </c>
      <c r="U615" t="n">
        <v>0</v>
      </c>
      <c r="V615" s="2" t="inlineStr">
        <is>
          <t>Revlummer</t>
        </is>
      </c>
      <c r="W615">
        <f>HYPERLINK("https://klasma.github.io/Logging_1272/artfynd/A 52972-2023 artfynd.xlsx", "A 52972-2023")</f>
        <v/>
      </c>
      <c r="X615">
        <f>HYPERLINK("https://klasma.github.io/Logging_1272/kartor/A 52972-2023 karta.png", "A 52972-2023")</f>
        <v/>
      </c>
      <c r="Y615">
        <f>HYPERLINK("https://klasma.github.io/Logging_1272/kartor_geotiff/A 52972-2023 georefererad karta.tif", "A 52972-2023")</f>
        <v/>
      </c>
      <c r="AA615">
        <f>HYPERLINK("https://klasma.github.io/Logging_1272/klagomål/A 52972-2023 FSC-klagomål.docx", "A 52972-2023")</f>
        <v/>
      </c>
      <c r="AB615">
        <f>HYPERLINK("https://klasma.github.io/Logging_1272/klagomålsmail/A 52972-2023 FSC-klagomål mail.docx", "A 52972-2023")</f>
        <v/>
      </c>
      <c r="AC615">
        <f>HYPERLINK("https://klasma.github.io/Logging_1272/tillsyn/A 52972-2023 tillsynsbegäran.docx", "A 52972-2023")</f>
        <v/>
      </c>
      <c r="AD615">
        <f>HYPERLINK("https://klasma.github.io/Logging_1272/tillsynsmail/A 52972-2023 tillsynsbegäran mail.docx", "A 52972-2023")</f>
        <v/>
      </c>
    </row>
    <row r="616" ht="15" customHeight="1">
      <c r="A616" t="inlineStr">
        <is>
          <t>A 417-2022</t>
        </is>
      </c>
      <c r="B616" t="inlineStr">
        <is>
          <t>avverkningsanmälan</t>
        </is>
      </c>
      <c r="C616" t="inlineStr">
        <is>
          <t>Föryngringsavverkning</t>
        </is>
      </c>
      <c r="D616" s="1" t="n">
        <v>44565</v>
      </c>
      <c r="E616" s="1" t="n">
        <v>46312</v>
      </c>
      <c r="F616" t="inlineStr">
        <is>
          <t>SKÅNE LÄN</t>
        </is>
      </c>
      <c r="G616" t="inlineStr">
        <is>
          <t>HÄSSLEHOLM</t>
        </is>
      </c>
      <c r="I616" t="n">
        <v>0</v>
      </c>
      <c r="J616" t="n">
        <v>0</v>
      </c>
      <c r="K616" t="n">
        <v>0</v>
      </c>
      <c r="L616" t="n">
        <v>0</v>
      </c>
      <c r="M616" t="n">
        <v>1</v>
      </c>
      <c r="N616" t="n">
        <v>0</v>
      </c>
      <c r="O616" t="n">
        <v>0</v>
      </c>
      <c r="P616" t="n">
        <v>0</v>
      </c>
      <c r="Q616" t="n">
        <v>1</v>
      </c>
      <c r="R616" t="n">
        <v>1</v>
      </c>
      <c r="S616" t="n">
        <v>1</v>
      </c>
      <c r="T616" t="n">
        <v>1</v>
      </c>
      <c r="U616" t="n">
        <v>1</v>
      </c>
      <c r="V616" s="2" t="inlineStr">
        <is>
          <t>Igelkott</t>
        </is>
      </c>
      <c r="W616">
        <f>HYPERLINK("https://klasma.github.io/Logging_1293/artfynd/A 417-2022 artfynd.xlsx", "A 417-2022")</f>
        <v/>
      </c>
      <c r="X616">
        <f>HYPERLINK("https://klasma.github.io/Logging_1293/kartor/A 417-2022 karta.png", "A 417-2022")</f>
        <v/>
      </c>
      <c r="Y616">
        <f>HYPERLINK("https://klasma.github.io/Logging_1293/kartor_geotiff/A 417-2022 georefererad karta.tif", "A 417-2022")</f>
        <v/>
      </c>
      <c r="AA616">
        <f>HYPERLINK("https://klasma.github.io/Logging_1293/klagomål/A 417-2022 FSC-klagomål.docx", "A 417-2022")</f>
        <v/>
      </c>
      <c r="AB616">
        <f>HYPERLINK("https://klasma.github.io/Logging_1293/klagomålsmail/A 417-2022 FSC-klagomål mail.docx", "A 417-2022")</f>
        <v/>
      </c>
      <c r="AC616">
        <f>HYPERLINK("https://klasma.github.io/Logging_1293/tillsyn/A 417-2022 tillsynsbegäran.docx", "A 417-2022")</f>
        <v/>
      </c>
      <c r="AD616">
        <f>HYPERLINK("https://klasma.github.io/Logging_1293/tillsynsmail/A 417-2022 tillsynsbegäran mail.docx", "A 417-2022")</f>
        <v/>
      </c>
    </row>
    <row r="617" ht="15" customHeight="1">
      <c r="A617" t="inlineStr">
        <is>
          <t>A 16079-2026</t>
        </is>
      </c>
      <c r="B617" t="inlineStr">
        <is>
          <t>avverkningsanmälan</t>
        </is>
      </c>
      <c r="C617" t="inlineStr">
        <is>
          <t>Föryngringsavverkning</t>
        </is>
      </c>
      <c r="D617" s="1" t="n">
        <v>46108</v>
      </c>
      <c r="E617" s="1" t="n">
        <v>46312</v>
      </c>
      <c r="F617" t="inlineStr">
        <is>
          <t>SKÅNE LÄN</t>
        </is>
      </c>
      <c r="G617" t="inlineStr">
        <is>
          <t>KRISTIANSTAD</t>
        </is>
      </c>
      <c r="I617" t="n">
        <v>13</v>
      </c>
      <c r="J617" t="n">
        <v>0</v>
      </c>
      <c r="K617" t="n">
        <v>0</v>
      </c>
      <c r="L617" t="n">
        <v>0</v>
      </c>
      <c r="M617" t="n">
        <v>1</v>
      </c>
      <c r="N617" t="n">
        <v>0</v>
      </c>
      <c r="O617" t="n">
        <v>0</v>
      </c>
      <c r="P617" t="n">
        <v>0</v>
      </c>
      <c r="Q617" t="n">
        <v>1</v>
      </c>
      <c r="R617" t="n">
        <v>1</v>
      </c>
      <c r="S617" t="n">
        <v>1</v>
      </c>
      <c r="T617" t="n">
        <v>3</v>
      </c>
      <c r="U617" t="n">
        <v>2</v>
      </c>
      <c r="V617" s="2" t="inlineStr">
        <is>
          <t>Småvänderot</t>
        </is>
      </c>
      <c r="W617">
        <f>HYPERLINK("https://klasma.github.io/Logging_1290/artfynd/A 16079-2026 artfynd.xlsx", "A 16079-2026")</f>
        <v/>
      </c>
      <c r="X617">
        <f>HYPERLINK("https://klasma.github.io/Logging_1290/kartor/A 16079-2026 karta.png", "A 16079-2026")</f>
        <v/>
      </c>
      <c r="Y617">
        <f>HYPERLINK("https://klasma.github.io/Logging_1290/kartor_geotiff/A 16079-2026 georefererad karta.tif", "A 16079-2026")</f>
        <v/>
      </c>
      <c r="AA617">
        <f>HYPERLINK("https://klasma.github.io/Logging_1290/klagomål/A 16079-2026 FSC-klagomål.docx", "A 16079-2026")</f>
        <v/>
      </c>
      <c r="AB617">
        <f>HYPERLINK("https://klasma.github.io/Logging_1290/klagomålsmail/A 16079-2026 FSC-klagomål mail.docx", "A 16079-2026")</f>
        <v/>
      </c>
      <c r="AC617">
        <f>HYPERLINK("https://klasma.github.io/Logging_1290/tillsyn/A 16079-2026 tillsynsbegäran.docx", "A 16079-2026")</f>
        <v/>
      </c>
      <c r="AD617">
        <f>HYPERLINK("https://klasma.github.io/Logging_1290/tillsynsmail/A 16079-2026 tillsynsbegäran mail.docx", "A 16079-2026")</f>
        <v/>
      </c>
    </row>
    <row r="618" ht="15" customHeight="1">
      <c r="A618" t="inlineStr">
        <is>
          <t>A 60820-2023</t>
        </is>
      </c>
      <c r="B618" t="inlineStr">
        <is>
          <t>avverkningsanmälan</t>
        </is>
      </c>
      <c r="C618" t="inlineStr">
        <is>
          <t>Föryngringsavverkning</t>
        </is>
      </c>
      <c r="D618" s="1" t="n">
        <v>45260</v>
      </c>
      <c r="E618" s="1" t="n">
        <v>46312</v>
      </c>
      <c r="F618" t="inlineStr">
        <is>
          <t>SKÅNE LÄN</t>
        </is>
      </c>
      <c r="G618" t="inlineStr">
        <is>
          <t>TOMELILLA</t>
        </is>
      </c>
      <c r="I618" t="n">
        <v>4.6</v>
      </c>
      <c r="J618" t="n">
        <v>0</v>
      </c>
      <c r="K618" t="n">
        <v>1</v>
      </c>
      <c r="L618" t="n">
        <v>0</v>
      </c>
      <c r="M618" t="n">
        <v>0</v>
      </c>
      <c r="N618" t="n">
        <v>0</v>
      </c>
      <c r="O618" t="n">
        <v>0</v>
      </c>
      <c r="P618" t="n">
        <v>0</v>
      </c>
      <c r="Q618" t="n">
        <v>0</v>
      </c>
      <c r="R618" t="n">
        <v>0</v>
      </c>
      <c r="S618" t="n">
        <v>1</v>
      </c>
      <c r="T618" t="n">
        <v>1</v>
      </c>
      <c r="U618" t="n">
        <v>0</v>
      </c>
      <c r="V618" s="2" t="inlineStr">
        <is>
          <t>Guldlockmossa</t>
        </is>
      </c>
      <c r="W618">
        <f>HYPERLINK("https://klasma.github.io/Logging_1270/artfynd/A 60820-2023 artfynd.xlsx", "A 60820-2023")</f>
        <v/>
      </c>
      <c r="X618">
        <f>HYPERLINK("https://klasma.github.io/Logging_1270/kartor/A 60820-2023 karta.png", "A 60820-2023")</f>
        <v/>
      </c>
      <c r="Y618">
        <f>HYPERLINK("https://klasma.github.io/Logging_1270/kartor_geotiff/A 60820-2023 georefererad karta.tif", "A 60820-2023")</f>
        <v/>
      </c>
      <c r="AA618">
        <f>HYPERLINK("https://klasma.github.io/Logging_1270/klagomål/A 60820-2023 FSC-klagomål.docx", "A 60820-2023")</f>
        <v/>
      </c>
      <c r="AB618">
        <f>HYPERLINK("https://klasma.github.io/Logging_1270/klagomålsmail/A 60820-2023 FSC-klagomål mail.docx", "A 60820-2023")</f>
        <v/>
      </c>
      <c r="AC618">
        <f>HYPERLINK("https://klasma.github.io/Logging_1270/tillsyn/A 60820-2023 tillsynsbegäran.docx", "A 60820-2023")</f>
        <v/>
      </c>
      <c r="AD618">
        <f>HYPERLINK("https://klasma.github.io/Logging_1270/tillsynsmail/A 60820-2023 tillsynsbegäran mail.docx", "A 60820-2023")</f>
        <v/>
      </c>
    </row>
    <row r="619" ht="15" customHeight="1">
      <c r="A619" t="inlineStr">
        <is>
          <t>A 10056-2024</t>
        </is>
      </c>
      <c r="B619" t="inlineStr">
        <is>
          <t>avverkningsanmälan</t>
        </is>
      </c>
      <c r="C619" t="inlineStr">
        <is>
          <t>Föryngringsavverkning</t>
        </is>
      </c>
      <c r="D619" s="1" t="n">
        <v>45364</v>
      </c>
      <c r="E619" s="1" t="n">
        <v>46312</v>
      </c>
      <c r="F619" t="inlineStr">
        <is>
          <t>SKÅNE LÄN</t>
        </is>
      </c>
      <c r="G619" t="inlineStr">
        <is>
          <t>OSBY</t>
        </is>
      </c>
      <c r="I619" t="n">
        <v>6</v>
      </c>
      <c r="J619" t="n">
        <v>1</v>
      </c>
      <c r="K619" t="n">
        <v>0</v>
      </c>
      <c r="L619" t="n">
        <v>0</v>
      </c>
      <c r="M619" t="n">
        <v>0</v>
      </c>
      <c r="N619" t="n">
        <v>0</v>
      </c>
      <c r="O619" t="n">
        <v>0</v>
      </c>
      <c r="P619" t="n">
        <v>0</v>
      </c>
      <c r="Q619" t="n">
        <v>0</v>
      </c>
      <c r="R619" t="n">
        <v>0</v>
      </c>
      <c r="S619" t="n">
        <v>1</v>
      </c>
      <c r="T619" t="n">
        <v>1</v>
      </c>
      <c r="U619" t="n">
        <v>1</v>
      </c>
      <c r="V619" s="2" t="inlineStr">
        <is>
          <t>Grönvit nattviol</t>
        </is>
      </c>
      <c r="W619">
        <f>HYPERLINK("https://klasma.github.io/Logging_1273/artfynd/A 10056-2024 artfynd.xlsx", "A 10056-2024")</f>
        <v/>
      </c>
      <c r="X619">
        <f>HYPERLINK("https://klasma.github.io/Logging_1273/kartor/A 10056-2024 karta.png", "A 10056-2024")</f>
        <v/>
      </c>
      <c r="Y619">
        <f>HYPERLINK("https://klasma.github.io/Logging_1273/kartor_geotiff/A 10056-2024 georefererad karta.tif", "A 10056-2024")</f>
        <v/>
      </c>
      <c r="AA619">
        <f>HYPERLINK("https://klasma.github.io/Logging_1273/klagomål/A 10056-2024 FSC-klagomål.docx", "A 10056-2024")</f>
        <v/>
      </c>
      <c r="AB619">
        <f>HYPERLINK("https://klasma.github.io/Logging_1273/klagomålsmail/A 10056-2024 FSC-klagomål mail.docx", "A 10056-2024")</f>
        <v/>
      </c>
      <c r="AC619">
        <f>HYPERLINK("https://klasma.github.io/Logging_1273/tillsyn/A 10056-2024 tillsynsbegäran.docx", "A 10056-2024")</f>
        <v/>
      </c>
      <c r="AD619">
        <f>HYPERLINK("https://klasma.github.io/Logging_1273/tillsynsmail/A 10056-2024 tillsynsbegäran mail.docx", "A 10056-2024")</f>
        <v/>
      </c>
    </row>
    <row r="620" ht="15" customHeight="1">
      <c r="A620" t="inlineStr">
        <is>
          <t>A 57811-2022</t>
        </is>
      </c>
      <c r="B620" t="inlineStr">
        <is>
          <t>avverkningsanmälan</t>
        </is>
      </c>
      <c r="C620" t="inlineStr">
        <is>
          <t>Föryngringsavverkning</t>
        </is>
      </c>
      <c r="D620" s="1" t="n">
        <v>44897</v>
      </c>
      <c r="E620" s="1" t="n">
        <v>46312</v>
      </c>
      <c r="F620" t="inlineStr">
        <is>
          <t>SKÅNE LÄN</t>
        </is>
      </c>
      <c r="G620" t="inlineStr">
        <is>
          <t>TRELLEBORG</t>
        </is>
      </c>
      <c r="I620" t="n">
        <v>2.2</v>
      </c>
      <c r="J620" t="n">
        <v>0</v>
      </c>
      <c r="K620" t="n">
        <v>0</v>
      </c>
      <c r="L620" t="n">
        <v>1</v>
      </c>
      <c r="M620" t="n">
        <v>0</v>
      </c>
      <c r="N620" t="n">
        <v>0</v>
      </c>
      <c r="O620" t="n">
        <v>0</v>
      </c>
      <c r="P620" t="n">
        <v>0</v>
      </c>
      <c r="Q620" t="n">
        <v>1</v>
      </c>
      <c r="R620" t="n">
        <v>0</v>
      </c>
      <c r="S620" t="n">
        <v>1</v>
      </c>
      <c r="T620" t="n">
        <v>1</v>
      </c>
      <c r="U620" t="n">
        <v>1</v>
      </c>
      <c r="V620" s="2" t="inlineStr">
        <is>
          <t>Skogsveronika</t>
        </is>
      </c>
      <c r="W620">
        <f>HYPERLINK("https://klasma.github.io/Logging_1287/artfynd/A 57811-2022 artfynd.xlsx", "A 57811-2022")</f>
        <v/>
      </c>
      <c r="X620">
        <f>HYPERLINK("https://klasma.github.io/Logging_1287/kartor/A 57811-2022 karta.png", "A 57811-2022")</f>
        <v/>
      </c>
      <c r="Y620">
        <f>HYPERLINK("https://klasma.github.io/Logging_1287/kartor_geotiff/A 57811-2022 georefererad karta.tif", "A 57811-2022")</f>
        <v/>
      </c>
      <c r="AA620">
        <f>HYPERLINK("https://klasma.github.io/Logging_1287/klagomål/A 57811-2022 FSC-klagomål.docx", "A 57811-2022")</f>
        <v/>
      </c>
      <c r="AB620">
        <f>HYPERLINK("https://klasma.github.io/Logging_1287/klagomålsmail/A 57811-2022 FSC-klagomål mail.docx", "A 57811-2022")</f>
        <v/>
      </c>
      <c r="AC620">
        <f>HYPERLINK("https://klasma.github.io/Logging_1287/tillsyn/A 57811-2022 tillsynsbegäran.docx", "A 57811-2022")</f>
        <v/>
      </c>
      <c r="AD620">
        <f>HYPERLINK("https://klasma.github.io/Logging_1287/tillsynsmail/A 57811-2022 tillsynsbegäran mail.docx", "A 57811-2022")</f>
        <v/>
      </c>
    </row>
    <row r="621" ht="15" customHeight="1">
      <c r="A621" t="inlineStr">
        <is>
          <t>A 17038-2026</t>
        </is>
      </c>
      <c r="B621" t="inlineStr">
        <is>
          <t>avverkningsanmälan</t>
        </is>
      </c>
      <c r="C621" t="inlineStr">
        <is>
          <t>Föryngringsavverkning</t>
        </is>
      </c>
      <c r="D621" s="1" t="n">
        <v>46114</v>
      </c>
      <c r="E621" s="1" t="n">
        <v>46312</v>
      </c>
      <c r="F621" t="inlineStr">
        <is>
          <t>SKÅNE LÄN</t>
        </is>
      </c>
      <c r="G621" t="inlineStr">
        <is>
          <t>SIMRISHAMN</t>
        </is>
      </c>
      <c r="I621" t="n">
        <v>1.5</v>
      </c>
      <c r="J621" t="n">
        <v>1</v>
      </c>
      <c r="K621" t="n">
        <v>0</v>
      </c>
      <c r="L621" t="n">
        <v>0</v>
      </c>
      <c r="M621" t="n">
        <v>0</v>
      </c>
      <c r="N621" t="n">
        <v>0</v>
      </c>
      <c r="O621" t="n">
        <v>0</v>
      </c>
      <c r="P621" t="n">
        <v>0</v>
      </c>
      <c r="Q621" t="n">
        <v>0</v>
      </c>
      <c r="R621" t="n">
        <v>0</v>
      </c>
      <c r="S621" t="n">
        <v>1</v>
      </c>
      <c r="T621" t="n">
        <v>2</v>
      </c>
      <c r="U621" t="n">
        <v>0</v>
      </c>
      <c r="V621" s="2" t="inlineStr">
        <is>
          <t>Hasselmus</t>
        </is>
      </c>
      <c r="W621">
        <f>HYPERLINK("https://klasma.github.io/Logging_1291/artfynd/A 17038-2026 artfynd.xlsx", "A 17038-2026")</f>
        <v/>
      </c>
      <c r="X621">
        <f>HYPERLINK("https://klasma.github.io/Logging_1291/kartor/A 17038-2026 karta.png", "A 17038-2026")</f>
        <v/>
      </c>
      <c r="Y621">
        <f>HYPERLINK("https://klasma.github.io/Logging_1291/kartor_geotiff/A 17038-2026 georefererad karta.tif", "A 17038-2026")</f>
        <v/>
      </c>
      <c r="AA621">
        <f>HYPERLINK("https://klasma.github.io/Logging_1291/klagomål/A 17038-2026 FSC-klagomål.docx", "A 17038-2026")</f>
        <v/>
      </c>
      <c r="AB621">
        <f>HYPERLINK("https://klasma.github.io/Logging_1291/klagomålsmail/A 17038-2026 FSC-klagomål mail.docx", "A 17038-2026")</f>
        <v/>
      </c>
      <c r="AC621">
        <f>HYPERLINK("https://klasma.github.io/Logging_1291/tillsyn/A 17038-2026 tillsynsbegäran.docx", "A 17038-2026")</f>
        <v/>
      </c>
      <c r="AD621">
        <f>HYPERLINK("https://klasma.github.io/Logging_1291/tillsynsmail/A 17038-2026 tillsynsbegäran mail.docx", "A 17038-2026")</f>
        <v/>
      </c>
    </row>
    <row r="622" ht="15" customHeight="1">
      <c r="A622" t="inlineStr">
        <is>
          <t>A 49549-2025</t>
        </is>
      </c>
      <c r="B622" t="inlineStr">
        <is>
          <t>avverkningsanmälan</t>
        </is>
      </c>
      <c r="C622" t="inlineStr">
        <is>
          <t>Föryngringsavverkning</t>
        </is>
      </c>
      <c r="D622" s="1" t="n">
        <v>45939</v>
      </c>
      <c r="E622" s="1" t="n">
        <v>46312</v>
      </c>
      <c r="F622" t="inlineStr">
        <is>
          <t>SKÅNE LÄN</t>
        </is>
      </c>
      <c r="G622" t="inlineStr">
        <is>
          <t>YSTAD</t>
        </is>
      </c>
      <c r="I622" t="n">
        <v>0.5</v>
      </c>
      <c r="J622" t="n">
        <v>0</v>
      </c>
      <c r="K622" t="n">
        <v>1</v>
      </c>
      <c r="L622" t="n">
        <v>0</v>
      </c>
      <c r="M622" t="n">
        <v>0</v>
      </c>
      <c r="N622" t="n">
        <v>0</v>
      </c>
      <c r="O622" t="n">
        <v>0</v>
      </c>
      <c r="P622" t="n">
        <v>0</v>
      </c>
      <c r="Q622" t="n">
        <v>0</v>
      </c>
      <c r="R622" t="n">
        <v>0</v>
      </c>
      <c r="S622" t="n">
        <v>1</v>
      </c>
      <c r="T622" t="n">
        <v>1</v>
      </c>
      <c r="U622" t="n">
        <v>1</v>
      </c>
      <c r="V622" s="2" t="inlineStr">
        <is>
          <t>Noshornsoxe</t>
        </is>
      </c>
      <c r="W622">
        <f>HYPERLINK("https://klasma.github.io/Logging_1286/artfynd/A 49549-2025 artfynd.xlsx", "A 49549-2025")</f>
        <v/>
      </c>
      <c r="X622">
        <f>HYPERLINK("https://klasma.github.io/Logging_1286/kartor/A 49549-2025 karta.png", "A 49549-2025")</f>
        <v/>
      </c>
      <c r="Y622">
        <f>HYPERLINK("https://klasma.github.io/Logging_1286/kartor_geotiff/A 49549-2025 georefererad karta.tif", "A 49549-2025")</f>
        <v/>
      </c>
      <c r="AA622">
        <f>HYPERLINK("https://klasma.github.io/Logging_1286/klagomål/A 49549-2025 FSC-klagomål.docx", "A 49549-2025")</f>
        <v/>
      </c>
      <c r="AB622">
        <f>HYPERLINK("https://klasma.github.io/Logging_1286/klagomålsmail/A 49549-2025 FSC-klagomål mail.docx", "A 49549-2025")</f>
        <v/>
      </c>
      <c r="AC622">
        <f>HYPERLINK("https://klasma.github.io/Logging_1286/tillsyn/A 49549-2025 tillsynsbegäran.docx", "A 49549-2025")</f>
        <v/>
      </c>
      <c r="AD622">
        <f>HYPERLINK("https://klasma.github.io/Logging_1286/tillsynsmail/A 49549-2025 tillsynsbegäran mail.docx", "A 49549-2025")</f>
        <v/>
      </c>
    </row>
    <row r="623" ht="15" customHeight="1">
      <c r="A623" t="inlineStr">
        <is>
          <t>A 17022-2026</t>
        </is>
      </c>
      <c r="B623" t="inlineStr">
        <is>
          <t>avverkningsanmälan</t>
        </is>
      </c>
      <c r="C623" t="inlineStr">
        <is>
          <t>Föryngringsavverkning</t>
        </is>
      </c>
      <c r="D623" s="1" t="n">
        <v>46114</v>
      </c>
      <c r="E623" s="1" t="n">
        <v>46312</v>
      </c>
      <c r="F623" t="inlineStr">
        <is>
          <t>SKÅNE LÄN</t>
        </is>
      </c>
      <c r="G623" t="inlineStr">
        <is>
          <t>SIMRISHAMN</t>
        </is>
      </c>
      <c r="I623" t="n">
        <v>2.1</v>
      </c>
      <c r="J623" t="n">
        <v>1</v>
      </c>
      <c r="K623" t="n">
        <v>0</v>
      </c>
      <c r="L623" t="n">
        <v>0</v>
      </c>
      <c r="M623" t="n">
        <v>0</v>
      </c>
      <c r="N623" t="n">
        <v>0</v>
      </c>
      <c r="O623" t="n">
        <v>0</v>
      </c>
      <c r="P623" t="n">
        <v>0</v>
      </c>
      <c r="Q623" t="n">
        <v>0</v>
      </c>
      <c r="R623" t="n">
        <v>0</v>
      </c>
      <c r="S623" t="n">
        <v>1</v>
      </c>
      <c r="T623" t="n">
        <v>4</v>
      </c>
      <c r="U623" t="n">
        <v>0</v>
      </c>
      <c r="V623" s="2" t="inlineStr">
        <is>
          <t>Hasselmus</t>
        </is>
      </c>
      <c r="W623">
        <f>HYPERLINK("https://klasma.github.io/Logging_1291/artfynd/A 17022-2026 artfynd.xlsx", "A 17022-2026")</f>
        <v/>
      </c>
      <c r="X623">
        <f>HYPERLINK("https://klasma.github.io/Logging_1291/kartor/A 17022-2026 karta.png", "A 17022-2026")</f>
        <v/>
      </c>
      <c r="Y623">
        <f>HYPERLINK("https://klasma.github.io/Logging_1291/kartor_geotiff/A 17022-2026 georefererad karta.tif", "A 17022-2026")</f>
        <v/>
      </c>
      <c r="AA623">
        <f>HYPERLINK("https://klasma.github.io/Logging_1291/klagomål/A 17022-2026 FSC-klagomål.docx", "A 17022-2026")</f>
        <v/>
      </c>
      <c r="AB623">
        <f>HYPERLINK("https://klasma.github.io/Logging_1291/klagomålsmail/A 17022-2026 FSC-klagomål mail.docx", "A 17022-2026")</f>
        <v/>
      </c>
      <c r="AC623">
        <f>HYPERLINK("https://klasma.github.io/Logging_1291/tillsyn/A 17022-2026 tillsynsbegäran.docx", "A 17022-2026")</f>
        <v/>
      </c>
      <c r="AD623">
        <f>HYPERLINK("https://klasma.github.io/Logging_1291/tillsynsmail/A 17022-2026 tillsynsbegäran mail.docx", "A 17022-2026")</f>
        <v/>
      </c>
    </row>
    <row r="624" ht="15" customHeight="1">
      <c r="A624" t="inlineStr">
        <is>
          <t>A 17522-2026</t>
        </is>
      </c>
      <c r="B624" t="inlineStr">
        <is>
          <t>avverkningsanmälan</t>
        </is>
      </c>
      <c r="C624" t="inlineStr">
        <is>
          <t>Föryngringsavverkning</t>
        </is>
      </c>
      <c r="D624" s="1" t="n">
        <v>46120</v>
      </c>
      <c r="E624" s="1" t="n">
        <v>46312</v>
      </c>
      <c r="F624" t="inlineStr">
        <is>
          <t>SKÅNE LÄN</t>
        </is>
      </c>
      <c r="G624" t="inlineStr">
        <is>
          <t>BROMÖLLA</t>
        </is>
      </c>
      <c r="I624" t="n">
        <v>6.4</v>
      </c>
      <c r="J624" t="n">
        <v>0</v>
      </c>
      <c r="K624" t="n">
        <v>0</v>
      </c>
      <c r="L624" t="n">
        <v>1</v>
      </c>
      <c r="M624" t="n">
        <v>0</v>
      </c>
      <c r="N624" t="n">
        <v>0</v>
      </c>
      <c r="O624" t="n">
        <v>0</v>
      </c>
      <c r="P624" t="n">
        <v>0</v>
      </c>
      <c r="Q624" t="n">
        <v>1</v>
      </c>
      <c r="R624" t="n">
        <v>0</v>
      </c>
      <c r="S624" t="n">
        <v>1</v>
      </c>
      <c r="T624" t="n">
        <v>1</v>
      </c>
      <c r="U624" t="n">
        <v>0</v>
      </c>
      <c r="V624" s="2" t="inlineStr">
        <is>
          <t>Sminkrot</t>
        </is>
      </c>
      <c r="W624">
        <f>HYPERLINK("https://klasma.github.io/Logging_1272/artfynd/A 17522-2026 artfynd.xlsx", "A 17522-2026")</f>
        <v/>
      </c>
      <c r="X624">
        <f>HYPERLINK("https://klasma.github.io/Logging_1272/kartor/A 17522-2026 karta.png", "A 17522-2026")</f>
        <v/>
      </c>
      <c r="Y624">
        <f>HYPERLINK("https://klasma.github.io/Logging_1272/kartor_geotiff/A 17522-2026 georefererad karta.tif", "A 17522-2026")</f>
        <v/>
      </c>
      <c r="AA624">
        <f>HYPERLINK("https://klasma.github.io/Logging_1272/klagomål/A 17522-2026 FSC-klagomål.docx", "A 17522-2026")</f>
        <v/>
      </c>
      <c r="AB624">
        <f>HYPERLINK("https://klasma.github.io/Logging_1272/klagomålsmail/A 17522-2026 FSC-klagomål mail.docx", "A 17522-2026")</f>
        <v/>
      </c>
      <c r="AC624">
        <f>HYPERLINK("https://klasma.github.io/Logging_1272/tillsyn/A 17522-2026 tillsynsbegäran.docx", "A 17522-2026")</f>
        <v/>
      </c>
      <c r="AD624">
        <f>HYPERLINK("https://klasma.github.io/Logging_1272/tillsynsmail/A 17522-2026 tillsynsbegäran mail.docx", "A 17522-2026")</f>
        <v/>
      </c>
    </row>
    <row r="625" ht="15" customHeight="1">
      <c r="A625" t="inlineStr">
        <is>
          <t>A 13429-2023</t>
        </is>
      </c>
      <c r="B625" t="inlineStr">
        <is>
          <t>avverkningsanmälan</t>
        </is>
      </c>
      <c r="C625" t="inlineStr">
        <is>
          <t>Föryngringsavverkning</t>
        </is>
      </c>
      <c r="D625" s="1" t="n">
        <v>45005</v>
      </c>
      <c r="E625" s="1" t="n">
        <v>46312</v>
      </c>
      <c r="F625" t="inlineStr">
        <is>
          <t>SKÅNE LÄN</t>
        </is>
      </c>
      <c r="G625" t="inlineStr">
        <is>
          <t>HÖÖR</t>
        </is>
      </c>
      <c r="I625" t="n">
        <v>0.3</v>
      </c>
      <c r="J625" t="n">
        <v>0</v>
      </c>
      <c r="K625" t="n">
        <v>1</v>
      </c>
      <c r="L625" t="n">
        <v>0</v>
      </c>
      <c r="M625" t="n">
        <v>0</v>
      </c>
      <c r="N625" t="n">
        <v>0</v>
      </c>
      <c r="O625" t="n">
        <v>0</v>
      </c>
      <c r="P625" t="n">
        <v>0</v>
      </c>
      <c r="Q625" t="n">
        <v>0</v>
      </c>
      <c r="R625" t="n">
        <v>0</v>
      </c>
      <c r="S625" t="n">
        <v>1</v>
      </c>
      <c r="T625" t="n">
        <v>1</v>
      </c>
      <c r="U625" t="n">
        <v>0</v>
      </c>
      <c r="V625" s="2" t="inlineStr">
        <is>
          <t>Skogsbräsma</t>
        </is>
      </c>
      <c r="W625">
        <f>HYPERLINK("https://klasma.github.io/Logging_1267/artfynd/A 13429-2023 artfynd.xlsx", "A 13429-2023")</f>
        <v/>
      </c>
      <c r="X625">
        <f>HYPERLINK("https://klasma.github.io/Logging_1267/kartor/A 13429-2023 karta.png", "A 13429-2023")</f>
        <v/>
      </c>
      <c r="Y625">
        <f>HYPERLINK("https://klasma.github.io/Logging_1267/kartor_geotiff/A 13429-2023 georefererad karta.tif", "A 13429-2023")</f>
        <v/>
      </c>
      <c r="AA625">
        <f>HYPERLINK("https://klasma.github.io/Logging_1267/klagomål/A 13429-2023 FSC-klagomål.docx", "A 13429-2023")</f>
        <v/>
      </c>
      <c r="AB625">
        <f>HYPERLINK("https://klasma.github.io/Logging_1267/klagomålsmail/A 13429-2023 FSC-klagomål mail.docx", "A 13429-2023")</f>
        <v/>
      </c>
      <c r="AC625">
        <f>HYPERLINK("https://klasma.github.io/Logging_1267/tillsyn/A 13429-2023 tillsynsbegäran.docx", "A 13429-2023")</f>
        <v/>
      </c>
      <c r="AD625">
        <f>HYPERLINK("https://klasma.github.io/Logging_1267/tillsynsmail/A 13429-2023 tillsynsbegäran mail.docx", "A 13429-2023")</f>
        <v/>
      </c>
    </row>
    <row r="626" ht="15" customHeight="1">
      <c r="A626" t="inlineStr">
        <is>
          <t>A 26243-2024</t>
        </is>
      </c>
      <c r="B626" t="inlineStr">
        <is>
          <t>avverkningsanmälan</t>
        </is>
      </c>
      <c r="C626" t="inlineStr">
        <is>
          <t>Föryngringsavverkning</t>
        </is>
      </c>
      <c r="D626" s="1" t="n">
        <v>45468</v>
      </c>
      <c r="E626" s="1" t="n">
        <v>46312</v>
      </c>
      <c r="F626" t="inlineStr">
        <is>
          <t>SKÅNE LÄN</t>
        </is>
      </c>
      <c r="G626" t="inlineStr">
        <is>
          <t>KRISTIANSTAD</t>
        </is>
      </c>
      <c r="I626" t="n">
        <v>7.8</v>
      </c>
      <c r="J626" t="n">
        <v>1</v>
      </c>
      <c r="K626" t="n">
        <v>0</v>
      </c>
      <c r="L626" t="n">
        <v>0</v>
      </c>
      <c r="M626" t="n">
        <v>0</v>
      </c>
      <c r="N626" t="n">
        <v>0</v>
      </c>
      <c r="O626" t="n">
        <v>0</v>
      </c>
      <c r="P626" t="n">
        <v>0</v>
      </c>
      <c r="Q626" t="n">
        <v>0</v>
      </c>
      <c r="R626" t="n">
        <v>0</v>
      </c>
      <c r="S626" t="n">
        <v>1</v>
      </c>
      <c r="T626" t="n">
        <v>1</v>
      </c>
      <c r="U626" t="n">
        <v>0</v>
      </c>
      <c r="V626" s="2" t="inlineStr">
        <is>
          <t>Blåsippa</t>
        </is>
      </c>
      <c r="W626">
        <f>HYPERLINK("https://klasma.github.io/Logging_1290/artfynd/A 26243-2024 artfynd.xlsx", "A 26243-2024")</f>
        <v/>
      </c>
      <c r="X626">
        <f>HYPERLINK("https://klasma.github.io/Logging_1290/kartor/A 26243-2024 karta.png", "A 26243-2024")</f>
        <v/>
      </c>
      <c r="Y626">
        <f>HYPERLINK("https://klasma.github.io/Logging_1290/kartor_geotiff/A 26243-2024 georefererad karta.tif", "A 26243-2024")</f>
        <v/>
      </c>
      <c r="AA626">
        <f>HYPERLINK("https://klasma.github.io/Logging_1290/klagomål/A 26243-2024 FSC-klagomål.docx", "A 26243-2024")</f>
        <v/>
      </c>
      <c r="AB626">
        <f>HYPERLINK("https://klasma.github.io/Logging_1290/klagomålsmail/A 26243-2024 FSC-klagomål mail.docx", "A 26243-2024")</f>
        <v/>
      </c>
      <c r="AC626">
        <f>HYPERLINK("https://klasma.github.io/Logging_1290/tillsyn/A 26243-2024 tillsynsbegäran.docx", "A 26243-2024")</f>
        <v/>
      </c>
      <c r="AD626">
        <f>HYPERLINK("https://klasma.github.io/Logging_1290/tillsynsmail/A 26243-2024 tillsynsbegäran mail.docx", "A 26243-2024")</f>
        <v/>
      </c>
    </row>
    <row r="627" ht="15" customHeight="1">
      <c r="A627" t="inlineStr">
        <is>
          <t>A 50642-2023</t>
        </is>
      </c>
      <c r="B627" t="inlineStr">
        <is>
          <t>avverkningsanmälan</t>
        </is>
      </c>
      <c r="C627" t="inlineStr">
        <is>
          <t>Föryngringsavverkning</t>
        </is>
      </c>
      <c r="D627" s="1" t="n">
        <v>45210</v>
      </c>
      <c r="E627" s="1" t="n">
        <v>46312</v>
      </c>
      <c r="F627" t="inlineStr">
        <is>
          <t>SKÅNE LÄN</t>
        </is>
      </c>
      <c r="G627" t="inlineStr">
        <is>
          <t>ÄNGELHOLM</t>
        </is>
      </c>
      <c r="I627" t="n">
        <v>0.8</v>
      </c>
      <c r="J627" t="n">
        <v>1</v>
      </c>
      <c r="K627" t="n">
        <v>0</v>
      </c>
      <c r="L627" t="n">
        <v>0</v>
      </c>
      <c r="M627" t="n">
        <v>0</v>
      </c>
      <c r="N627" t="n">
        <v>0</v>
      </c>
      <c r="O627" t="n">
        <v>0</v>
      </c>
      <c r="P627" t="n">
        <v>0</v>
      </c>
      <c r="Q627" t="n">
        <v>0</v>
      </c>
      <c r="R627" t="n">
        <v>0</v>
      </c>
      <c r="S627" t="n">
        <v>1</v>
      </c>
      <c r="T627" t="n">
        <v>1</v>
      </c>
      <c r="U627" t="n">
        <v>0</v>
      </c>
      <c r="V627" s="2" t="inlineStr">
        <is>
          <t>Vanlig padda</t>
        </is>
      </c>
      <c r="W627">
        <f>HYPERLINK("https://klasma.github.io/Logging_1292/artfynd/A 50642-2023 artfynd.xlsx", "A 50642-2023")</f>
        <v/>
      </c>
      <c r="X627">
        <f>HYPERLINK("https://klasma.github.io/Logging_1292/kartor/A 50642-2023 karta.png", "A 50642-2023")</f>
        <v/>
      </c>
      <c r="Y627">
        <f>HYPERLINK("https://klasma.github.io/Logging_1292/kartor_geotiff/A 50642-2023 georefererad karta.tif", "A 50642-2023")</f>
        <v/>
      </c>
      <c r="AA627">
        <f>HYPERLINK("https://klasma.github.io/Logging_1292/klagomål/A 50642-2023 FSC-klagomål.docx", "A 50642-2023")</f>
        <v/>
      </c>
      <c r="AB627">
        <f>HYPERLINK("https://klasma.github.io/Logging_1292/klagomålsmail/A 50642-2023 FSC-klagomål mail.docx", "A 50642-2023")</f>
        <v/>
      </c>
      <c r="AC627">
        <f>HYPERLINK("https://klasma.github.io/Logging_1292/tillsyn/A 50642-2023 tillsynsbegäran.docx", "A 50642-2023")</f>
        <v/>
      </c>
      <c r="AD627">
        <f>HYPERLINK("https://klasma.github.io/Logging_1292/tillsynsmail/A 50642-2023 tillsynsbegäran mail.docx", "A 50642-2023")</f>
        <v/>
      </c>
    </row>
    <row r="628" ht="15" customHeight="1">
      <c r="A628" t="inlineStr">
        <is>
          <t>A 23400-2023</t>
        </is>
      </c>
      <c r="B628" t="inlineStr">
        <is>
          <t>avverkningsanmälan</t>
        </is>
      </c>
      <c r="C628" t="inlineStr">
        <is>
          <t>Föryngringsavverkning</t>
        </is>
      </c>
      <c r="D628" s="1" t="n">
        <v>45076</v>
      </c>
      <c r="E628" s="1" t="n">
        <v>46312</v>
      </c>
      <c r="F628" t="inlineStr">
        <is>
          <t>SKÅNE LÄN</t>
        </is>
      </c>
      <c r="G628" t="inlineStr">
        <is>
          <t>ÖSTRA GÖINGE</t>
        </is>
      </c>
      <c r="I628" t="n">
        <v>5.1</v>
      </c>
      <c r="J628" t="n">
        <v>0</v>
      </c>
      <c r="K628" t="n">
        <v>1</v>
      </c>
      <c r="L628" t="n">
        <v>0</v>
      </c>
      <c r="M628" t="n">
        <v>0</v>
      </c>
      <c r="N628" t="n">
        <v>0</v>
      </c>
      <c r="O628" t="n">
        <v>0</v>
      </c>
      <c r="P628" t="n">
        <v>0</v>
      </c>
      <c r="Q628" t="n">
        <v>0</v>
      </c>
      <c r="R628" t="n">
        <v>0</v>
      </c>
      <c r="S628" t="n">
        <v>1</v>
      </c>
      <c r="T628" t="n">
        <v>1</v>
      </c>
      <c r="U628" t="n">
        <v>0</v>
      </c>
      <c r="V628" s="2" t="inlineStr">
        <is>
          <t>Brandticka</t>
        </is>
      </c>
      <c r="W628">
        <f>HYPERLINK("https://klasma.github.io/Logging_1256/artfynd/A 23400-2023 artfynd.xlsx", "A 23400-2023")</f>
        <v/>
      </c>
      <c r="X628">
        <f>HYPERLINK("https://klasma.github.io/Logging_1256/kartor/A 23400-2023 karta.png", "A 23400-2023")</f>
        <v/>
      </c>
      <c r="Y628">
        <f>HYPERLINK("https://klasma.github.io/Logging_1256/kartor_geotiff/A 23400-2023 georefererad karta.tif", "A 23400-2023")</f>
        <v/>
      </c>
      <c r="AA628">
        <f>HYPERLINK("https://klasma.github.io/Logging_1256/klagomål/A 23400-2023 FSC-klagomål.docx", "A 23400-2023")</f>
        <v/>
      </c>
      <c r="AB628">
        <f>HYPERLINK("https://klasma.github.io/Logging_1256/klagomålsmail/A 23400-2023 FSC-klagomål mail.docx", "A 23400-2023")</f>
        <v/>
      </c>
      <c r="AC628">
        <f>HYPERLINK("https://klasma.github.io/Logging_1256/tillsyn/A 23400-2023 tillsynsbegäran.docx", "A 23400-2023")</f>
        <v/>
      </c>
      <c r="AD628">
        <f>HYPERLINK("https://klasma.github.io/Logging_1256/tillsynsmail/A 23400-2023 tillsynsbegäran mail.docx", "A 23400-2023")</f>
        <v/>
      </c>
    </row>
    <row r="629" ht="15" customHeight="1">
      <c r="A629" t="inlineStr">
        <is>
          <t>A 18002-2026</t>
        </is>
      </c>
      <c r="B629" t="inlineStr">
        <is>
          <t>avverkningsanmälan</t>
        </is>
      </c>
      <c r="C629" t="inlineStr">
        <is>
          <t>Föryngringsavverkning</t>
        </is>
      </c>
      <c r="D629" s="1" t="n">
        <v>46125</v>
      </c>
      <c r="E629" s="1" t="n">
        <v>46312</v>
      </c>
      <c r="F629" t="inlineStr">
        <is>
          <t>SKÅNE LÄN</t>
        </is>
      </c>
      <c r="G629" t="inlineStr">
        <is>
          <t>SIMRISHAMN</t>
        </is>
      </c>
      <c r="I629" t="n">
        <v>1.9</v>
      </c>
      <c r="J629" t="n">
        <v>1</v>
      </c>
      <c r="K629" t="n">
        <v>0</v>
      </c>
      <c r="L629" t="n">
        <v>0</v>
      </c>
      <c r="M629" t="n">
        <v>0</v>
      </c>
      <c r="N629" t="n">
        <v>0</v>
      </c>
      <c r="O629" t="n">
        <v>0</v>
      </c>
      <c r="P629" t="n">
        <v>0</v>
      </c>
      <c r="Q629" t="n">
        <v>0</v>
      </c>
      <c r="R629" t="n">
        <v>0</v>
      </c>
      <c r="S629" t="n">
        <v>1</v>
      </c>
      <c r="T629" t="n">
        <v>1</v>
      </c>
      <c r="U629" t="n">
        <v>0</v>
      </c>
      <c r="V629" s="2" t="inlineStr">
        <is>
          <t>Hasselmus</t>
        </is>
      </c>
      <c r="W629">
        <f>HYPERLINK("https://klasma.github.io/Logging_1291/artfynd/A 18002-2026 artfynd.xlsx", "A 18002-2026")</f>
        <v/>
      </c>
      <c r="X629">
        <f>HYPERLINK("https://klasma.github.io/Logging_1291/kartor/A 18002-2026 karta.png", "A 18002-2026")</f>
        <v/>
      </c>
      <c r="Y629">
        <f>HYPERLINK("https://klasma.github.io/Logging_1291/kartor_geotiff/A 18002-2026 georefererad karta.tif", "A 18002-2026")</f>
        <v/>
      </c>
      <c r="AA629">
        <f>HYPERLINK("https://klasma.github.io/Logging_1291/klagomål/A 18002-2026 FSC-klagomål.docx", "A 18002-2026")</f>
        <v/>
      </c>
      <c r="AB629">
        <f>HYPERLINK("https://klasma.github.io/Logging_1291/klagomålsmail/A 18002-2026 FSC-klagomål mail.docx", "A 18002-2026")</f>
        <v/>
      </c>
      <c r="AC629">
        <f>HYPERLINK("https://klasma.github.io/Logging_1291/tillsyn/A 18002-2026 tillsynsbegäran.docx", "A 18002-2026")</f>
        <v/>
      </c>
      <c r="AD629">
        <f>HYPERLINK("https://klasma.github.io/Logging_1291/tillsynsmail/A 18002-2026 tillsynsbegäran mail.docx", "A 18002-2026")</f>
        <v/>
      </c>
    </row>
    <row r="630" ht="15" customHeight="1">
      <c r="A630" t="inlineStr">
        <is>
          <t>A 46147-2022</t>
        </is>
      </c>
      <c r="B630" t="inlineStr">
        <is>
          <t>avverkningsanmälan</t>
        </is>
      </c>
      <c r="C630" t="inlineStr">
        <is>
          <t>Föryngringsavverkning</t>
        </is>
      </c>
      <c r="D630" s="1" t="n">
        <v>44846</v>
      </c>
      <c r="E630" s="1" t="n">
        <v>46312</v>
      </c>
      <c r="F630" t="inlineStr">
        <is>
          <t>SKÅNE LÄN</t>
        </is>
      </c>
      <c r="G630" t="inlineStr">
        <is>
          <t>KLIPPAN</t>
        </is>
      </c>
      <c r="I630" t="n">
        <v>5.7</v>
      </c>
      <c r="J630" t="n">
        <v>0</v>
      </c>
      <c r="K630" t="n">
        <v>1</v>
      </c>
      <c r="L630" t="n">
        <v>0</v>
      </c>
      <c r="M630" t="n">
        <v>0</v>
      </c>
      <c r="N630" t="n">
        <v>0</v>
      </c>
      <c r="O630" t="n">
        <v>0</v>
      </c>
      <c r="P630" t="n">
        <v>0</v>
      </c>
      <c r="Q630" t="n">
        <v>0</v>
      </c>
      <c r="R630" t="n">
        <v>0</v>
      </c>
      <c r="S630" t="n">
        <v>1</v>
      </c>
      <c r="T630" t="n">
        <v>1</v>
      </c>
      <c r="U630" t="n">
        <v>1</v>
      </c>
      <c r="V630" s="2" t="inlineStr">
        <is>
          <t>Västlig hakmossa</t>
        </is>
      </c>
      <c r="W630">
        <f>HYPERLINK("https://klasma.github.io/Logging_1276/artfynd/A 46147-2022 artfynd.xlsx", "A 46147-2022")</f>
        <v/>
      </c>
      <c r="X630">
        <f>HYPERLINK("https://klasma.github.io/Logging_1276/kartor/A 46147-2022 karta.png", "A 46147-2022")</f>
        <v/>
      </c>
      <c r="Y630">
        <f>HYPERLINK("https://klasma.github.io/Logging_1276/kartor_geotiff/A 46147-2022 georefererad karta.tif", "A 46147-2022")</f>
        <v/>
      </c>
      <c r="AA630">
        <f>HYPERLINK("https://klasma.github.io/Logging_1276/klagomål/A 46147-2022 FSC-klagomål.docx", "A 46147-2022")</f>
        <v/>
      </c>
      <c r="AB630">
        <f>HYPERLINK("https://klasma.github.io/Logging_1276/klagomålsmail/A 46147-2022 FSC-klagomål mail.docx", "A 46147-2022")</f>
        <v/>
      </c>
      <c r="AC630">
        <f>HYPERLINK("https://klasma.github.io/Logging_1276/tillsyn/A 46147-2022 tillsynsbegäran.docx", "A 46147-2022")</f>
        <v/>
      </c>
      <c r="AD630">
        <f>HYPERLINK("https://klasma.github.io/Logging_1276/tillsynsmail/A 46147-2022 tillsynsbegäran mail.docx", "A 46147-2022")</f>
        <v/>
      </c>
    </row>
    <row r="631" ht="15" customHeight="1">
      <c r="A631" t="inlineStr">
        <is>
          <t>A 1782-2024</t>
        </is>
      </c>
      <c r="B631" t="inlineStr">
        <is>
          <t>avverkningsanmälan</t>
        </is>
      </c>
      <c r="C631" t="inlineStr">
        <is>
          <t>Avverkning för annat ändamål</t>
        </is>
      </c>
      <c r="D631" s="1" t="n">
        <v>45307</v>
      </c>
      <c r="E631" s="1" t="n">
        <v>46312</v>
      </c>
      <c r="F631" t="inlineStr">
        <is>
          <t>SKÅNE LÄN</t>
        </is>
      </c>
      <c r="G631" t="inlineStr">
        <is>
          <t>BÅSTAD</t>
        </is>
      </c>
      <c r="I631" t="n">
        <v>2.7</v>
      </c>
      <c r="J631" t="n">
        <v>1</v>
      </c>
      <c r="K631" t="n">
        <v>0</v>
      </c>
      <c r="L631" t="n">
        <v>0</v>
      </c>
      <c r="M631" t="n">
        <v>0</v>
      </c>
      <c r="N631" t="n">
        <v>0</v>
      </c>
      <c r="O631" t="n">
        <v>0</v>
      </c>
      <c r="P631" t="n">
        <v>0</v>
      </c>
      <c r="Q631" t="n">
        <v>0</v>
      </c>
      <c r="R631" t="n">
        <v>0</v>
      </c>
      <c r="S631" t="n">
        <v>1</v>
      </c>
      <c r="T631" t="n">
        <v>1</v>
      </c>
      <c r="U631" t="n">
        <v>1</v>
      </c>
      <c r="V631" s="2" t="inlineStr">
        <is>
          <t>Grönvit nattviol</t>
        </is>
      </c>
      <c r="W631">
        <f>HYPERLINK("https://klasma.github.io/Logging_1278/artfynd/A 1782-2024 artfynd.xlsx", "A 1782-2024")</f>
        <v/>
      </c>
      <c r="X631">
        <f>HYPERLINK("https://klasma.github.io/Logging_1278/kartor/A 1782-2024 karta.png", "A 1782-2024")</f>
        <v/>
      </c>
      <c r="Y631">
        <f>HYPERLINK("https://klasma.github.io/Logging_1278/kartor_geotiff/A 1782-2024 georefererad karta.tif", "A 1782-2024")</f>
        <v/>
      </c>
      <c r="AA631">
        <f>HYPERLINK("https://klasma.github.io/Logging_1278/klagomål/A 1782-2024 FSC-klagomål.docx", "A 1782-2024")</f>
        <v/>
      </c>
      <c r="AB631">
        <f>HYPERLINK("https://klasma.github.io/Logging_1278/klagomålsmail/A 1782-2024 FSC-klagomål mail.docx", "A 1782-2024")</f>
        <v/>
      </c>
      <c r="AC631">
        <f>HYPERLINK("https://klasma.github.io/Logging_1278/tillsyn/A 1782-2024 tillsynsbegäran.docx", "A 1782-2024")</f>
        <v/>
      </c>
      <c r="AD631">
        <f>HYPERLINK("https://klasma.github.io/Logging_1278/tillsynsmail/A 1782-2024 tillsynsbegäran mail.docx", "A 1782-2024")</f>
        <v/>
      </c>
    </row>
    <row r="632" ht="15" customHeight="1">
      <c r="A632" t="inlineStr">
        <is>
          <t>A 28862-2023</t>
        </is>
      </c>
      <c r="B632" t="inlineStr">
        <is>
          <t>avverkningsanmälan</t>
        </is>
      </c>
      <c r="C632" t="inlineStr">
        <is>
          <t>Föryngringsavverkning</t>
        </is>
      </c>
      <c r="D632" s="1" t="n">
        <v>45104</v>
      </c>
      <c r="E632" s="1" t="n">
        <v>46312</v>
      </c>
      <c r="F632" t="inlineStr">
        <is>
          <t>SKÅNE LÄN</t>
        </is>
      </c>
      <c r="G632" t="inlineStr">
        <is>
          <t>TOMELILLA</t>
        </is>
      </c>
      <c r="H632" t="inlineStr">
        <is>
          <t>Övriga Aktiebolag</t>
        </is>
      </c>
      <c r="I632" t="n">
        <v>6.6</v>
      </c>
      <c r="J632" t="n">
        <v>1</v>
      </c>
      <c r="K632" t="n">
        <v>0</v>
      </c>
      <c r="L632" t="n">
        <v>0</v>
      </c>
      <c r="M632" t="n">
        <v>0</v>
      </c>
      <c r="N632" t="n">
        <v>0</v>
      </c>
      <c r="O632" t="n">
        <v>0</v>
      </c>
      <c r="P632" t="n">
        <v>0</v>
      </c>
      <c r="Q632" t="n">
        <v>0</v>
      </c>
      <c r="R632" t="n">
        <v>0</v>
      </c>
      <c r="S632" t="n">
        <v>1</v>
      </c>
      <c r="T632" t="n">
        <v>1</v>
      </c>
      <c r="U632" t="n">
        <v>0</v>
      </c>
      <c r="V632" s="2" t="inlineStr">
        <is>
          <t>Långbensgroda</t>
        </is>
      </c>
      <c r="W632">
        <f>HYPERLINK("https://klasma.github.io/Logging_1270/artfynd/A 28862-2023 artfynd.xlsx", "A 28862-2023")</f>
        <v/>
      </c>
      <c r="X632">
        <f>HYPERLINK("https://klasma.github.io/Logging_1270/kartor/A 28862-2023 karta.png", "A 28862-2023")</f>
        <v/>
      </c>
      <c r="Y632">
        <f>HYPERLINK("https://klasma.github.io/Logging_1270/kartor_geotiff/A 28862-2023 georefererad karta.tif", "A 28862-2023")</f>
        <v/>
      </c>
      <c r="AA632">
        <f>HYPERLINK("https://klasma.github.io/Logging_1270/klagomål/A 28862-2023 FSC-klagomål.docx", "A 28862-2023")</f>
        <v/>
      </c>
      <c r="AB632">
        <f>HYPERLINK("https://klasma.github.io/Logging_1270/klagomålsmail/A 28862-2023 FSC-klagomål mail.docx", "A 28862-2023")</f>
        <v/>
      </c>
      <c r="AC632">
        <f>HYPERLINK("https://klasma.github.io/Logging_1270/tillsyn/A 28862-2023 tillsynsbegäran.docx", "A 28862-2023")</f>
        <v/>
      </c>
      <c r="AD632">
        <f>HYPERLINK("https://klasma.github.io/Logging_1270/tillsynsmail/A 28862-2023 tillsynsbegäran mail.docx", "A 28862-2023")</f>
        <v/>
      </c>
    </row>
    <row r="633" ht="15" customHeight="1">
      <c r="A633" t="inlineStr">
        <is>
          <t>A 22194-2023</t>
        </is>
      </c>
      <c r="B633" t="inlineStr">
        <is>
          <t>avverkningsanmälan</t>
        </is>
      </c>
      <c r="C633" t="inlineStr">
        <is>
          <t>Föryngringsavverkning</t>
        </is>
      </c>
      <c r="D633" s="1" t="n">
        <v>45069</v>
      </c>
      <c r="E633" s="1" t="n">
        <v>46312</v>
      </c>
      <c r="F633" t="inlineStr">
        <is>
          <t>SKÅNE LÄN</t>
        </is>
      </c>
      <c r="G633" t="inlineStr">
        <is>
          <t>SIMRISHAMN</t>
        </is>
      </c>
      <c r="H633" t="inlineStr">
        <is>
          <t>Övriga Aktiebolag</t>
        </is>
      </c>
      <c r="I633" t="n">
        <v>11.4</v>
      </c>
      <c r="J633" t="n">
        <v>1</v>
      </c>
      <c r="K633" t="n">
        <v>0</v>
      </c>
      <c r="L633" t="n">
        <v>0</v>
      </c>
      <c r="M633" t="n">
        <v>1</v>
      </c>
      <c r="N633" t="n">
        <v>0</v>
      </c>
      <c r="O633" t="n">
        <v>0</v>
      </c>
      <c r="P633" t="n">
        <v>0</v>
      </c>
      <c r="Q633" t="n">
        <v>1</v>
      </c>
      <c r="R633" t="n">
        <v>1</v>
      </c>
      <c r="S633" t="n">
        <v>1</v>
      </c>
      <c r="T633" t="n">
        <v>1</v>
      </c>
      <c r="U633" t="n">
        <v>0</v>
      </c>
      <c r="V633" s="2" t="inlineStr">
        <is>
          <t>Sandödla</t>
        </is>
      </c>
      <c r="W633">
        <f>HYPERLINK("https://klasma.github.io/Logging_1291/artfynd/A 22194-2023 artfynd.xlsx", "A 22194-2023")</f>
        <v/>
      </c>
      <c r="X633">
        <f>HYPERLINK("https://klasma.github.io/Logging_1291/kartor/A 22194-2023 karta.png", "A 22194-2023")</f>
        <v/>
      </c>
      <c r="Y633">
        <f>HYPERLINK("https://klasma.github.io/Logging_1291/kartor_geotiff/A 22194-2023 georefererad karta.tif", "A 22194-2023")</f>
        <v/>
      </c>
      <c r="AA633">
        <f>HYPERLINK("https://klasma.github.io/Logging_1291/klagomål/A 22194-2023 FSC-klagomål.docx", "A 22194-2023")</f>
        <v/>
      </c>
      <c r="AB633">
        <f>HYPERLINK("https://klasma.github.io/Logging_1291/klagomålsmail/A 22194-2023 FSC-klagomål mail.docx", "A 22194-2023")</f>
        <v/>
      </c>
      <c r="AC633">
        <f>HYPERLINK("https://klasma.github.io/Logging_1291/tillsyn/A 22194-2023 tillsynsbegäran.docx", "A 22194-2023")</f>
        <v/>
      </c>
      <c r="AD633">
        <f>HYPERLINK("https://klasma.github.io/Logging_1291/tillsynsmail/A 22194-2023 tillsynsbegäran mail.docx", "A 22194-2023")</f>
        <v/>
      </c>
    </row>
    <row r="634" ht="15" customHeight="1">
      <c r="A634" t="inlineStr">
        <is>
          <t>A 19704-2026</t>
        </is>
      </c>
      <c r="B634" t="inlineStr">
        <is>
          <t>avverkningsanmälan</t>
        </is>
      </c>
      <c r="C634" t="inlineStr">
        <is>
          <t>Föryngringsavverkning</t>
        </is>
      </c>
      <c r="D634" s="1" t="n">
        <v>46134</v>
      </c>
      <c r="E634" s="1" t="n">
        <v>46312</v>
      </c>
      <c r="F634" t="inlineStr">
        <is>
          <t>SKÅNE LÄN</t>
        </is>
      </c>
      <c r="G634" t="inlineStr">
        <is>
          <t>KRISTIANSTAD</t>
        </is>
      </c>
      <c r="H634" t="inlineStr">
        <is>
          <t>Övriga Aktiebolag</t>
        </is>
      </c>
      <c r="I634" t="n">
        <v>6.3</v>
      </c>
      <c r="J634" t="n">
        <v>0</v>
      </c>
      <c r="K634" t="n">
        <v>0</v>
      </c>
      <c r="L634" t="n">
        <v>1</v>
      </c>
      <c r="M634" t="n">
        <v>0</v>
      </c>
      <c r="N634" t="n">
        <v>0</v>
      </c>
      <c r="O634" t="n">
        <v>0</v>
      </c>
      <c r="P634" t="n">
        <v>0</v>
      </c>
      <c r="Q634" t="n">
        <v>1</v>
      </c>
      <c r="R634" t="n">
        <v>0</v>
      </c>
      <c r="S634" t="n">
        <v>1</v>
      </c>
      <c r="T634" t="n">
        <v>2</v>
      </c>
      <c r="U634" t="n">
        <v>0</v>
      </c>
      <c r="V634" s="2" t="inlineStr">
        <is>
          <t>Desmeknopp</t>
        </is>
      </c>
      <c r="W634">
        <f>HYPERLINK("https://klasma.github.io/Logging_1290/artfynd/A 19704-2026 artfynd.xlsx", "A 19704-2026")</f>
        <v/>
      </c>
      <c r="X634">
        <f>HYPERLINK("https://klasma.github.io/Logging_1290/kartor/A 19704-2026 karta.png", "A 19704-2026")</f>
        <v/>
      </c>
      <c r="Y634">
        <f>HYPERLINK("https://klasma.github.io/Logging_1290/kartor_geotiff/A 19704-2026 georefererad karta.tif", "A 19704-2026")</f>
        <v/>
      </c>
      <c r="AA634">
        <f>HYPERLINK("https://klasma.github.io/Logging_1290/klagomål/A 19704-2026 FSC-klagomål.docx", "A 19704-2026")</f>
        <v/>
      </c>
      <c r="AB634">
        <f>HYPERLINK("https://klasma.github.io/Logging_1290/klagomålsmail/A 19704-2026 FSC-klagomål mail.docx", "A 19704-2026")</f>
        <v/>
      </c>
      <c r="AC634">
        <f>HYPERLINK("https://klasma.github.io/Logging_1290/tillsyn/A 19704-2026 tillsynsbegäran.docx", "A 19704-2026")</f>
        <v/>
      </c>
      <c r="AD634">
        <f>HYPERLINK("https://klasma.github.io/Logging_1290/tillsynsmail/A 19704-2026 tillsynsbegäran mail.docx", "A 19704-2026")</f>
        <v/>
      </c>
    </row>
    <row r="635" ht="15" customHeight="1">
      <c r="A635" t="inlineStr">
        <is>
          <t>A 61058-2025</t>
        </is>
      </c>
      <c r="B635" t="inlineStr">
        <is>
          <t>avverkningsanmälan</t>
        </is>
      </c>
      <c r="C635" t="inlineStr">
        <is>
          <t>Föryngringsavverkning</t>
        </is>
      </c>
      <c r="D635" s="1" t="n">
        <v>46000</v>
      </c>
      <c r="E635" s="1" t="n">
        <v>46312</v>
      </c>
      <c r="F635" t="inlineStr">
        <is>
          <t>SKÅNE LÄN</t>
        </is>
      </c>
      <c r="G635" t="inlineStr">
        <is>
          <t>KLIPPAN</t>
        </is>
      </c>
      <c r="H635" t="inlineStr">
        <is>
          <t>Sveaskog</t>
        </is>
      </c>
      <c r="I635" t="n">
        <v>0.8</v>
      </c>
      <c r="J635" t="n">
        <v>1</v>
      </c>
      <c r="K635" t="n">
        <v>0</v>
      </c>
      <c r="L635" t="n">
        <v>0</v>
      </c>
      <c r="M635" t="n">
        <v>0</v>
      </c>
      <c r="N635" t="n">
        <v>0</v>
      </c>
      <c r="O635" t="n">
        <v>0</v>
      </c>
      <c r="P635" t="n">
        <v>0</v>
      </c>
      <c r="Q635" t="n">
        <v>0</v>
      </c>
      <c r="R635" t="n">
        <v>0</v>
      </c>
      <c r="S635" t="n">
        <v>1</v>
      </c>
      <c r="T635" t="n">
        <v>1</v>
      </c>
      <c r="U635" t="n">
        <v>1</v>
      </c>
      <c r="V635" s="2" t="inlineStr">
        <is>
          <t>Kungsfågel</t>
        </is>
      </c>
      <c r="W635">
        <f>HYPERLINK("https://klasma.github.io/Logging_1276/artfynd/A 61058-2025 artfynd.xlsx", "A 61058-2025")</f>
        <v/>
      </c>
      <c r="X635">
        <f>HYPERLINK("https://klasma.github.io/Logging_1276/kartor/A 61058-2025 karta.png", "A 61058-2025")</f>
        <v/>
      </c>
      <c r="Y635">
        <f>HYPERLINK("https://klasma.github.io/Logging_1276/kartor_geotiff/A 61058-2025 georefererad karta.tif", "A 61058-2025")</f>
        <v/>
      </c>
      <c r="AA635">
        <f>HYPERLINK("https://klasma.github.io/Logging_1276/klagomål/A 61058-2025 FSC-klagomål.docx", "A 61058-2025")</f>
        <v/>
      </c>
      <c r="AB635">
        <f>HYPERLINK("https://klasma.github.io/Logging_1276/klagomålsmail/A 61058-2025 FSC-klagomål mail.docx", "A 61058-2025")</f>
        <v/>
      </c>
      <c r="AC635">
        <f>HYPERLINK("https://klasma.github.io/Logging_1276/tillsyn/A 61058-2025 tillsynsbegäran.docx", "A 61058-2025")</f>
        <v/>
      </c>
      <c r="AD635">
        <f>HYPERLINK("https://klasma.github.io/Logging_1276/tillsynsmail/A 61058-2025 tillsynsbegäran mail.docx", "A 61058-2025")</f>
        <v/>
      </c>
    </row>
    <row r="636" ht="15" customHeight="1">
      <c r="A636" t="inlineStr">
        <is>
          <t>A 28429-2024</t>
        </is>
      </c>
      <c r="B636" t="inlineStr">
        <is>
          <t>avverkningsanmälan</t>
        </is>
      </c>
      <c r="C636" t="inlineStr">
        <is>
          <t>Avverkning för annat ändamål</t>
        </is>
      </c>
      <c r="D636" s="1" t="n">
        <v>45477</v>
      </c>
      <c r="E636" s="1" t="n">
        <v>46312</v>
      </c>
      <c r="F636" t="inlineStr">
        <is>
          <t>SKÅNE LÄN</t>
        </is>
      </c>
      <c r="G636" t="inlineStr">
        <is>
          <t>KRISTIANSTAD</t>
        </is>
      </c>
      <c r="I636" t="n">
        <v>0.4</v>
      </c>
      <c r="J636" t="n">
        <v>0</v>
      </c>
      <c r="K636" t="n">
        <v>0</v>
      </c>
      <c r="L636" t="n">
        <v>1</v>
      </c>
      <c r="M636" t="n">
        <v>0</v>
      </c>
      <c r="N636" t="n">
        <v>0</v>
      </c>
      <c r="O636" t="n">
        <v>0</v>
      </c>
      <c r="P636" t="n">
        <v>0</v>
      </c>
      <c r="Q636" t="n">
        <v>1</v>
      </c>
      <c r="R636" t="n">
        <v>0</v>
      </c>
      <c r="S636" t="n">
        <v>1</v>
      </c>
      <c r="T636" t="n">
        <v>1</v>
      </c>
      <c r="U636" t="n">
        <v>0</v>
      </c>
      <c r="V636" s="2" t="inlineStr">
        <is>
          <t>Knölspindel</t>
        </is>
      </c>
      <c r="W636">
        <f>HYPERLINK("https://klasma.github.io/Logging_1290/artfynd/A 28429-2024 artfynd.xlsx", "A 28429-2024")</f>
        <v/>
      </c>
      <c r="X636">
        <f>HYPERLINK("https://klasma.github.io/Logging_1290/kartor/A 28429-2024 karta.png", "A 28429-2024")</f>
        <v/>
      </c>
      <c r="Y636">
        <f>HYPERLINK("https://klasma.github.io/Logging_1290/kartor_geotiff/A 28429-2024 georefererad karta.tif", "A 28429-2024")</f>
        <v/>
      </c>
      <c r="AA636">
        <f>HYPERLINK("https://klasma.github.io/Logging_1290/klagomål/A 28429-2024 FSC-klagomål.docx", "A 28429-2024")</f>
        <v/>
      </c>
      <c r="AB636">
        <f>HYPERLINK("https://klasma.github.io/Logging_1290/klagomålsmail/A 28429-2024 FSC-klagomål mail.docx", "A 28429-2024")</f>
        <v/>
      </c>
      <c r="AC636">
        <f>HYPERLINK("https://klasma.github.io/Logging_1290/tillsyn/A 28429-2024 tillsynsbegäran.docx", "A 28429-2024")</f>
        <v/>
      </c>
      <c r="AD636">
        <f>HYPERLINK("https://klasma.github.io/Logging_1290/tillsynsmail/A 28429-2024 tillsynsbegäran mail.docx", "A 28429-2024")</f>
        <v/>
      </c>
    </row>
    <row r="637" ht="15" customHeight="1">
      <c r="A637" t="inlineStr">
        <is>
          <t>A 4619-2025</t>
        </is>
      </c>
      <c r="B637" t="inlineStr">
        <is>
          <t>avverkningsanmälan</t>
        </is>
      </c>
      <c r="C637" t="inlineStr">
        <is>
          <t>Föryngringsavverkning</t>
        </is>
      </c>
      <c r="D637" s="1" t="n">
        <v>45687</v>
      </c>
      <c r="E637" s="1" t="n">
        <v>46312</v>
      </c>
      <c r="F637" t="inlineStr">
        <is>
          <t>SKÅNE LÄN</t>
        </is>
      </c>
      <c r="G637" t="inlineStr">
        <is>
          <t>HÄSSLEHOLM</t>
        </is>
      </c>
      <c r="I637" t="n">
        <v>2.2</v>
      </c>
      <c r="J637" t="n">
        <v>0</v>
      </c>
      <c r="K637" t="n">
        <v>0</v>
      </c>
      <c r="L637" t="n">
        <v>0</v>
      </c>
      <c r="M637" t="n">
        <v>1</v>
      </c>
      <c r="N637" t="n">
        <v>0</v>
      </c>
      <c r="O637" t="n">
        <v>0</v>
      </c>
      <c r="P637" t="n">
        <v>0</v>
      </c>
      <c r="Q637" t="n">
        <v>1</v>
      </c>
      <c r="R637" t="n">
        <v>1</v>
      </c>
      <c r="S637" t="n">
        <v>1</v>
      </c>
      <c r="T637" t="n">
        <v>2</v>
      </c>
      <c r="U637" t="n">
        <v>0</v>
      </c>
      <c r="V637" s="2" t="inlineStr">
        <is>
          <t>Vildris</t>
        </is>
      </c>
      <c r="W637">
        <f>HYPERLINK("https://klasma.github.io/Logging_1293/artfynd/A 4619-2025 artfynd.xlsx", "A 4619-2025")</f>
        <v/>
      </c>
      <c r="X637">
        <f>HYPERLINK("https://klasma.github.io/Logging_1293/kartor/A 4619-2025 karta.png", "A 4619-2025")</f>
        <v/>
      </c>
      <c r="Y637">
        <f>HYPERLINK("https://klasma.github.io/Logging_1293/kartor_geotiff/A 4619-2025 georefererad karta.tif", "A 4619-2025")</f>
        <v/>
      </c>
      <c r="AA637">
        <f>HYPERLINK("https://klasma.github.io/Logging_1293/klagomål/A 4619-2025 FSC-klagomål.docx", "A 4619-2025")</f>
        <v/>
      </c>
      <c r="AB637">
        <f>HYPERLINK("https://klasma.github.io/Logging_1293/klagomålsmail/A 4619-2025 FSC-klagomål mail.docx", "A 4619-2025")</f>
        <v/>
      </c>
      <c r="AC637">
        <f>HYPERLINK("https://klasma.github.io/Logging_1293/tillsyn/A 4619-2025 tillsynsbegäran.docx", "A 4619-2025")</f>
        <v/>
      </c>
      <c r="AD637">
        <f>HYPERLINK("https://klasma.github.io/Logging_1293/tillsynsmail/A 4619-2025 tillsynsbegäran mail.docx", "A 4619-2025")</f>
        <v/>
      </c>
    </row>
    <row r="638" ht="15" customHeight="1">
      <c r="A638" t="inlineStr">
        <is>
          <t>A 31279-2026</t>
        </is>
      </c>
      <c r="B638" t="inlineStr">
        <is>
          <t>avverkningsanmälan</t>
        </is>
      </c>
      <c r="C638" t="inlineStr">
        <is>
          <t>Föryngringsavverkning</t>
        </is>
      </c>
      <c r="D638" s="1" t="n">
        <v>46218</v>
      </c>
      <c r="E638" s="1" t="n">
        <v>46312</v>
      </c>
      <c r="F638" t="inlineStr">
        <is>
          <t>SKÅNE LÄN</t>
        </is>
      </c>
      <c r="G638" t="inlineStr">
        <is>
          <t>KLIPPAN</t>
        </is>
      </c>
      <c r="I638" t="n">
        <v>2.3</v>
      </c>
      <c r="J638" t="n">
        <v>0</v>
      </c>
      <c r="K638" t="n">
        <v>1</v>
      </c>
      <c r="L638" t="n">
        <v>0</v>
      </c>
      <c r="M638" t="n">
        <v>0</v>
      </c>
      <c r="N638" t="n">
        <v>0</v>
      </c>
      <c r="O638" t="n">
        <v>0</v>
      </c>
      <c r="P638" t="n">
        <v>0</v>
      </c>
      <c r="Q638" t="n">
        <v>0</v>
      </c>
      <c r="R638" t="n">
        <v>0</v>
      </c>
      <c r="S638" t="n">
        <v>1</v>
      </c>
      <c r="T638" t="n">
        <v>1</v>
      </c>
      <c r="U638" t="n">
        <v>0</v>
      </c>
      <c r="V638" s="2" t="inlineStr">
        <is>
          <t>Dvärghäxört</t>
        </is>
      </c>
      <c r="W638">
        <f>HYPERLINK("https://klasma.github.io/Logging_1276/artfynd/A 31279-2026 artfynd.xlsx", "A 31279-2026")</f>
        <v/>
      </c>
      <c r="X638">
        <f>HYPERLINK("https://klasma.github.io/Logging_1276/kartor/A 31279-2026 karta.png", "A 31279-2026")</f>
        <v/>
      </c>
      <c r="Y638">
        <f>HYPERLINK("https://klasma.github.io/Logging_1276/kartor_geotiff/A 31279-2026 georefererad karta.tif", "A 31279-2026")</f>
        <v/>
      </c>
      <c r="AA638">
        <f>HYPERLINK("https://klasma.github.io/Logging_1276/klagomål/A 31279-2026 FSC-klagomål.docx", "A 31279-2026")</f>
        <v/>
      </c>
      <c r="AB638">
        <f>HYPERLINK("https://klasma.github.io/Logging_1276/klagomålsmail/A 31279-2026 FSC-klagomål mail.docx", "A 31279-2026")</f>
        <v/>
      </c>
      <c r="AC638">
        <f>HYPERLINK("https://klasma.github.io/Logging_1276/tillsyn/A 31279-2026 tillsynsbegäran.docx", "A 31279-2026")</f>
        <v/>
      </c>
      <c r="AD638">
        <f>HYPERLINK("https://klasma.github.io/Logging_1276/tillsynsmail/A 31279-2026 tillsynsbegäran mail.docx", "A 31279-2026")</f>
        <v/>
      </c>
    </row>
    <row r="639" ht="15" customHeight="1">
      <c r="A639" t="inlineStr">
        <is>
          <t>A 31284-2026</t>
        </is>
      </c>
      <c r="B639" t="inlineStr">
        <is>
          <t>avverkningsanmälan</t>
        </is>
      </c>
      <c r="C639" t="inlineStr">
        <is>
          <t>Föryngringsavverkning</t>
        </is>
      </c>
      <c r="D639" s="1" t="n">
        <v>46218</v>
      </c>
      <c r="E639" s="1" t="n">
        <v>46312</v>
      </c>
      <c r="F639" t="inlineStr">
        <is>
          <t>SKÅNE LÄN</t>
        </is>
      </c>
      <c r="G639" t="inlineStr">
        <is>
          <t>HÖRBY</t>
        </is>
      </c>
      <c r="I639" t="n">
        <v>6.8</v>
      </c>
      <c r="J639" t="n">
        <v>1</v>
      </c>
      <c r="K639" t="n">
        <v>0</v>
      </c>
      <c r="L639" t="n">
        <v>0</v>
      </c>
      <c r="M639" t="n">
        <v>0</v>
      </c>
      <c r="N639" t="n">
        <v>0</v>
      </c>
      <c r="O639" t="n">
        <v>0</v>
      </c>
      <c r="P639" t="n">
        <v>0</v>
      </c>
      <c r="Q639" t="n">
        <v>0</v>
      </c>
      <c r="R639" t="n">
        <v>0</v>
      </c>
      <c r="S639" t="n">
        <v>1</v>
      </c>
      <c r="T639" t="n">
        <v>1</v>
      </c>
      <c r="U639" t="n">
        <v>0</v>
      </c>
      <c r="V639" s="2" t="inlineStr">
        <is>
          <t>Vanlig groda</t>
        </is>
      </c>
      <c r="W639">
        <f>HYPERLINK("https://klasma.github.io/Logging_1266/artfynd/A 31284-2026 artfynd.xlsx", "A 31284-2026")</f>
        <v/>
      </c>
      <c r="X639">
        <f>HYPERLINK("https://klasma.github.io/Logging_1266/kartor/A 31284-2026 karta.png", "A 31284-2026")</f>
        <v/>
      </c>
      <c r="Y639">
        <f>HYPERLINK("https://klasma.github.io/Logging_1266/kartor_geotiff/A 31284-2026 georefererad karta.tif", "A 31284-2026")</f>
        <v/>
      </c>
      <c r="AA639">
        <f>HYPERLINK("https://klasma.github.io/Logging_1266/klagomål/A 31284-2026 FSC-klagomål.docx", "A 31284-2026")</f>
        <v/>
      </c>
      <c r="AB639">
        <f>HYPERLINK("https://klasma.github.io/Logging_1266/klagomålsmail/A 31284-2026 FSC-klagomål mail.docx", "A 31284-2026")</f>
        <v/>
      </c>
      <c r="AC639">
        <f>HYPERLINK("https://klasma.github.io/Logging_1266/tillsyn/A 31284-2026 tillsynsbegäran.docx", "A 31284-2026")</f>
        <v/>
      </c>
      <c r="AD639">
        <f>HYPERLINK("https://klasma.github.io/Logging_1266/tillsynsmail/A 31284-2026 tillsynsbegäran mail.docx", "A 31284-2026")</f>
        <v/>
      </c>
    </row>
    <row r="640" ht="15" customHeight="1">
      <c r="A640" t="inlineStr">
        <is>
          <t>A 20397-2026</t>
        </is>
      </c>
      <c r="B640" t="inlineStr">
        <is>
          <t>avverkningsanmälan</t>
        </is>
      </c>
      <c r="C640" t="inlineStr">
        <is>
          <t>Föryngringsavverkning</t>
        </is>
      </c>
      <c r="D640" s="1" t="n">
        <v>46139</v>
      </c>
      <c r="E640" s="1" t="n">
        <v>46312</v>
      </c>
      <c r="F640" t="inlineStr">
        <is>
          <t>SKÅNE LÄN</t>
        </is>
      </c>
      <c r="G640" t="inlineStr">
        <is>
          <t>TOMELILLA</t>
        </is>
      </c>
      <c r="I640" t="n">
        <v>4.2</v>
      </c>
      <c r="J640" t="n">
        <v>1</v>
      </c>
      <c r="K640" t="n">
        <v>0</v>
      </c>
      <c r="L640" t="n">
        <v>0</v>
      </c>
      <c r="M640" t="n">
        <v>0</v>
      </c>
      <c r="N640" t="n">
        <v>0</v>
      </c>
      <c r="O640" t="n">
        <v>0</v>
      </c>
      <c r="P640" t="n">
        <v>0</v>
      </c>
      <c r="Q640" t="n">
        <v>0</v>
      </c>
      <c r="R640" t="n">
        <v>0</v>
      </c>
      <c r="S640" t="n">
        <v>1</v>
      </c>
      <c r="T640" t="n">
        <v>1</v>
      </c>
      <c r="U640" t="n">
        <v>0</v>
      </c>
      <c r="V640" s="2" t="inlineStr">
        <is>
          <t>Långbensgroda</t>
        </is>
      </c>
      <c r="W640">
        <f>HYPERLINK("https://klasma.github.io/Logging_1270/artfynd/A 20397-2026 artfynd.xlsx", "A 20397-2026")</f>
        <v/>
      </c>
      <c r="X640">
        <f>HYPERLINK("https://klasma.github.io/Logging_1270/kartor/A 20397-2026 karta.png", "A 20397-2026")</f>
        <v/>
      </c>
      <c r="Y640">
        <f>HYPERLINK("https://klasma.github.io/Logging_1270/kartor_geotiff/A 20397-2026 georefererad karta.tif", "A 20397-2026")</f>
        <v/>
      </c>
      <c r="AA640">
        <f>HYPERLINK("https://klasma.github.io/Logging_1270/klagomål/A 20397-2026 FSC-klagomål.docx", "A 20397-2026")</f>
        <v/>
      </c>
      <c r="AB640">
        <f>HYPERLINK("https://klasma.github.io/Logging_1270/klagomålsmail/A 20397-2026 FSC-klagomål mail.docx", "A 20397-2026")</f>
        <v/>
      </c>
      <c r="AC640">
        <f>HYPERLINK("https://klasma.github.io/Logging_1270/tillsyn/A 20397-2026 tillsynsbegäran.docx", "A 20397-2026")</f>
        <v/>
      </c>
      <c r="AD640">
        <f>HYPERLINK("https://klasma.github.io/Logging_1270/tillsynsmail/A 20397-2026 tillsynsbegäran mail.docx", "A 20397-2026")</f>
        <v/>
      </c>
    </row>
    <row r="641" ht="15" customHeight="1">
      <c r="A641" t="inlineStr">
        <is>
          <t>A 31617-2026</t>
        </is>
      </c>
      <c r="B641" t="inlineStr">
        <is>
          <t>avverkningsanmälan</t>
        </is>
      </c>
      <c r="C641" t="inlineStr">
        <is>
          <t>Föryngringsavverkning</t>
        </is>
      </c>
      <c r="D641" s="1" t="n">
        <v>46225</v>
      </c>
      <c r="E641" s="1" t="n">
        <v>46312</v>
      </c>
      <c r="F641" t="inlineStr">
        <is>
          <t>SKÅNE LÄN</t>
        </is>
      </c>
      <c r="G641" t="inlineStr">
        <is>
          <t>HÄSSLEHOLM</t>
        </is>
      </c>
      <c r="I641" t="n">
        <v>3.3</v>
      </c>
      <c r="J641" t="n">
        <v>0</v>
      </c>
      <c r="K641" t="n">
        <v>0</v>
      </c>
      <c r="L641" t="n">
        <v>0</v>
      </c>
      <c r="M641" t="n">
        <v>1</v>
      </c>
      <c r="N641" t="n">
        <v>0</v>
      </c>
      <c r="O641" t="n">
        <v>0</v>
      </c>
      <c r="P641" t="n">
        <v>0</v>
      </c>
      <c r="Q641" t="n">
        <v>1</v>
      </c>
      <c r="R641" t="n">
        <v>1</v>
      </c>
      <c r="S641" t="n">
        <v>1</v>
      </c>
      <c r="T641" t="n">
        <v>1</v>
      </c>
      <c r="U641" t="n">
        <v>0</v>
      </c>
      <c r="V641" s="2" t="inlineStr">
        <is>
          <t>Småvänderot</t>
        </is>
      </c>
      <c r="W641">
        <f>HYPERLINK("https://klasma.github.io/Logging_1293/artfynd/A 31617-2026 artfynd.xlsx", "A 31617-2026")</f>
        <v/>
      </c>
      <c r="X641">
        <f>HYPERLINK("https://klasma.github.io/Logging_1293/kartor/A 31617-2026 karta.png", "A 31617-2026")</f>
        <v/>
      </c>
      <c r="Y641">
        <f>HYPERLINK("https://klasma.github.io/Logging_1293/kartor_geotiff/A 31617-2026 georefererad karta.tif", "A 31617-2026")</f>
        <v/>
      </c>
      <c r="AA641">
        <f>HYPERLINK("https://klasma.github.io/Logging_1293/klagomål/A 31617-2026 FSC-klagomål.docx", "A 31617-2026")</f>
        <v/>
      </c>
      <c r="AB641">
        <f>HYPERLINK("https://klasma.github.io/Logging_1293/klagomålsmail/A 31617-2026 FSC-klagomål mail.docx", "A 31617-2026")</f>
        <v/>
      </c>
      <c r="AC641">
        <f>HYPERLINK("https://klasma.github.io/Logging_1293/tillsyn/A 31617-2026 tillsynsbegäran.docx", "A 31617-2026")</f>
        <v/>
      </c>
      <c r="AD641">
        <f>HYPERLINK("https://klasma.github.io/Logging_1293/tillsynsmail/A 31617-2026 tillsynsbegäran mail.docx", "A 31617-2026")</f>
        <v/>
      </c>
    </row>
    <row r="642" ht="15" customHeight="1">
      <c r="A642" t="inlineStr">
        <is>
          <t>A 54127-2025</t>
        </is>
      </c>
      <c r="B642" t="inlineStr">
        <is>
          <t>avverkningsanmälan</t>
        </is>
      </c>
      <c r="C642" t="inlineStr">
        <is>
          <t>Föryngringsavverkning</t>
        </is>
      </c>
      <c r="D642" s="1" t="n">
        <v>45964</v>
      </c>
      <c r="E642" s="1" t="n">
        <v>46312</v>
      </c>
      <c r="F642" t="inlineStr">
        <is>
          <t>SKÅNE LÄN</t>
        </is>
      </c>
      <c r="G642" t="inlineStr">
        <is>
          <t>SVALÖV</t>
        </is>
      </c>
      <c r="I642" t="n">
        <v>1.3</v>
      </c>
      <c r="J642" t="n">
        <v>1</v>
      </c>
      <c r="K642" t="n">
        <v>0</v>
      </c>
      <c r="L642" t="n">
        <v>1</v>
      </c>
      <c r="M642" t="n">
        <v>0</v>
      </c>
      <c r="N642" t="n">
        <v>0</v>
      </c>
      <c r="O642" t="n">
        <v>0</v>
      </c>
      <c r="P642" t="n">
        <v>0</v>
      </c>
      <c r="Q642" t="n">
        <v>1</v>
      </c>
      <c r="R642" t="n">
        <v>0</v>
      </c>
      <c r="S642" t="n">
        <v>1</v>
      </c>
      <c r="T642" t="n">
        <v>1</v>
      </c>
      <c r="U642" t="n">
        <v>1</v>
      </c>
      <c r="V642" s="2" t="inlineStr">
        <is>
          <t>Entita</t>
        </is>
      </c>
      <c r="W642">
        <f>HYPERLINK("https://klasma.github.io/Logging_1214/artfynd/A 54127-2025 artfynd.xlsx", "A 54127-2025")</f>
        <v/>
      </c>
      <c r="X642">
        <f>HYPERLINK("https://klasma.github.io/Logging_1214/kartor/A 54127-2025 karta.png", "A 54127-2025")</f>
        <v/>
      </c>
      <c r="Y642">
        <f>HYPERLINK("https://klasma.github.io/Logging_1214/kartor_geotiff/A 54127-2025 georefererad karta.tif", "A 54127-2025")</f>
        <v/>
      </c>
      <c r="AA642">
        <f>HYPERLINK("https://klasma.github.io/Logging_1214/klagomål/A 54127-2025 FSC-klagomål.docx", "A 54127-2025")</f>
        <v/>
      </c>
      <c r="AB642">
        <f>HYPERLINK("https://klasma.github.io/Logging_1214/klagomålsmail/A 54127-2025 FSC-klagomål mail.docx", "A 54127-2025")</f>
        <v/>
      </c>
      <c r="AC642">
        <f>HYPERLINK("https://klasma.github.io/Logging_1214/tillsyn/A 54127-2025 tillsynsbegäran.docx", "A 54127-2025")</f>
        <v/>
      </c>
      <c r="AD642">
        <f>HYPERLINK("https://klasma.github.io/Logging_1214/tillsynsmail/A 54127-2025 tillsynsbegäran mail.docx", "A 54127-2025")</f>
        <v/>
      </c>
      <c r="AE642">
        <f>HYPERLINK("https://klasma.github.io/Logging_1214/fåglar/A 54127-2025 prioriterade fågelarter.docx", "A 54127-2025")</f>
        <v/>
      </c>
    </row>
    <row r="643" ht="15" customHeight="1">
      <c r="A643" t="inlineStr">
        <is>
          <t>A 55145-2023</t>
        </is>
      </c>
      <c r="B643" t="inlineStr">
        <is>
          <t>avverkningsanmälan</t>
        </is>
      </c>
      <c r="C643" t="inlineStr">
        <is>
          <t>Avverkning för att bevara och utveckla /försöksver</t>
        </is>
      </c>
      <c r="D643" s="1" t="n">
        <v>45237</v>
      </c>
      <c r="E643" s="1" t="n">
        <v>46312</v>
      </c>
      <c r="F643" t="inlineStr">
        <is>
          <t>SKÅNE LÄN</t>
        </is>
      </c>
      <c r="G643" t="inlineStr">
        <is>
          <t>LUND</t>
        </is>
      </c>
      <c r="H643" t="inlineStr">
        <is>
          <t>Kommuner</t>
        </is>
      </c>
      <c r="I643" t="n">
        <v>4.5</v>
      </c>
      <c r="J643" t="n">
        <v>0</v>
      </c>
      <c r="K643" t="n">
        <v>1</v>
      </c>
      <c r="L643" t="n">
        <v>0</v>
      </c>
      <c r="M643" t="n">
        <v>0</v>
      </c>
      <c r="N643" t="n">
        <v>0</v>
      </c>
      <c r="O643" t="n">
        <v>0</v>
      </c>
      <c r="P643" t="n">
        <v>0</v>
      </c>
      <c r="Q643" t="n">
        <v>0</v>
      </c>
      <c r="R643" t="n">
        <v>0</v>
      </c>
      <c r="S643" t="n">
        <v>1</v>
      </c>
      <c r="T643" t="n">
        <v>1</v>
      </c>
      <c r="U643" t="n">
        <v>1</v>
      </c>
      <c r="V643" s="2" t="inlineStr">
        <is>
          <t>Grovticka</t>
        </is>
      </c>
      <c r="W643">
        <f>HYPERLINK("https://klasma.github.io/Logging_1281/artfynd/A 55145-2023 artfynd.xlsx", "A 55145-2023")</f>
        <v/>
      </c>
      <c r="X643">
        <f>HYPERLINK("https://klasma.github.io/Logging_1281/kartor/A 55145-2023 karta.png", "A 55145-2023")</f>
        <v/>
      </c>
      <c r="Y643">
        <f>HYPERLINK("https://klasma.github.io/Logging_1281/kartor_geotiff/A 55145-2023 georefererad karta.tif", "A 55145-2023")</f>
        <v/>
      </c>
      <c r="AA643">
        <f>HYPERLINK("https://klasma.github.io/Logging_1281/klagomål/A 55145-2023 FSC-klagomål.docx", "A 55145-2023")</f>
        <v/>
      </c>
      <c r="AB643">
        <f>HYPERLINK("https://klasma.github.io/Logging_1281/klagomålsmail/A 55145-2023 FSC-klagomål mail.docx", "A 55145-2023")</f>
        <v/>
      </c>
      <c r="AC643">
        <f>HYPERLINK("https://klasma.github.io/Logging_1281/tillsyn/A 55145-2023 tillsynsbegäran.docx", "A 55145-2023")</f>
        <v/>
      </c>
      <c r="AD643">
        <f>HYPERLINK("https://klasma.github.io/Logging_1281/tillsynsmail/A 55145-2023 tillsynsbegäran mail.docx", "A 55145-2023")</f>
        <v/>
      </c>
    </row>
    <row r="644" ht="15" customHeight="1">
      <c r="A644" t="inlineStr">
        <is>
          <t>A 756-2024</t>
        </is>
      </c>
      <c r="B644" t="inlineStr">
        <is>
          <t>avverkningsanmälan</t>
        </is>
      </c>
      <c r="C644" t="inlineStr">
        <is>
          <t>Föryngringsavverkning</t>
        </is>
      </c>
      <c r="D644" s="1" t="n">
        <v>45300</v>
      </c>
      <c r="E644" s="1" t="n">
        <v>46312</v>
      </c>
      <c r="F644" t="inlineStr">
        <is>
          <t>SKÅNE LÄN</t>
        </is>
      </c>
      <c r="G644" t="inlineStr">
        <is>
          <t>TOMELILLA</t>
        </is>
      </c>
      <c r="H644" t="inlineStr">
        <is>
          <t>Övriga Aktiebolag</t>
        </is>
      </c>
      <c r="I644" t="n">
        <v>13.1</v>
      </c>
      <c r="J644" t="n">
        <v>0</v>
      </c>
      <c r="K644" t="n">
        <v>0</v>
      </c>
      <c r="L644" t="n">
        <v>1</v>
      </c>
      <c r="M644" t="n">
        <v>0</v>
      </c>
      <c r="N644" t="n">
        <v>0</v>
      </c>
      <c r="O644" t="n">
        <v>0</v>
      </c>
      <c r="P644" t="n">
        <v>0</v>
      </c>
      <c r="Q644" t="n">
        <v>1</v>
      </c>
      <c r="R644" t="n">
        <v>0</v>
      </c>
      <c r="S644" t="n">
        <v>1</v>
      </c>
      <c r="T644" t="n">
        <v>1</v>
      </c>
      <c r="U644" t="n">
        <v>0</v>
      </c>
      <c r="V644" s="2" t="inlineStr">
        <is>
          <t>Borsttåg</t>
        </is>
      </c>
      <c r="W644">
        <f>HYPERLINK("https://klasma.github.io/Logging_1270/artfynd/A 756-2024 artfynd.xlsx", "A 756-2024")</f>
        <v/>
      </c>
      <c r="X644">
        <f>HYPERLINK("https://klasma.github.io/Logging_1270/kartor/A 756-2024 karta.png", "A 756-2024")</f>
        <v/>
      </c>
      <c r="Y644">
        <f>HYPERLINK("https://klasma.github.io/Logging_1270/kartor_geotiff/A 756-2024 georefererad karta.tif", "A 756-2024")</f>
        <v/>
      </c>
      <c r="AA644">
        <f>HYPERLINK("https://klasma.github.io/Logging_1270/klagomål/A 756-2024 FSC-klagomål.docx", "A 756-2024")</f>
        <v/>
      </c>
      <c r="AB644">
        <f>HYPERLINK("https://klasma.github.io/Logging_1270/klagomålsmail/A 756-2024 FSC-klagomål mail.docx", "A 756-2024")</f>
        <v/>
      </c>
      <c r="AC644">
        <f>HYPERLINK("https://klasma.github.io/Logging_1270/tillsyn/A 756-2024 tillsynsbegäran.docx", "A 756-2024")</f>
        <v/>
      </c>
      <c r="AD644">
        <f>HYPERLINK("https://klasma.github.io/Logging_1270/tillsynsmail/A 756-2024 tillsynsbegäran mail.docx", "A 756-2024")</f>
        <v/>
      </c>
    </row>
    <row r="645" ht="15" customHeight="1">
      <c r="A645" t="inlineStr">
        <is>
          <t>A 20125-2024</t>
        </is>
      </c>
      <c r="B645" t="inlineStr">
        <is>
          <t>avverkningsanmälan</t>
        </is>
      </c>
      <c r="C645" t="inlineStr">
        <is>
          <t>Föryngringsavverkning</t>
        </is>
      </c>
      <c r="D645" s="1" t="n">
        <v>45434</v>
      </c>
      <c r="E645" s="1" t="n">
        <v>46312</v>
      </c>
      <c r="F645" t="inlineStr">
        <is>
          <t>SKÅNE LÄN</t>
        </is>
      </c>
      <c r="G645" t="inlineStr">
        <is>
          <t>SVALÖV</t>
        </is>
      </c>
      <c r="I645" t="n">
        <v>5.7</v>
      </c>
      <c r="J645" t="n">
        <v>0</v>
      </c>
      <c r="K645" t="n">
        <v>1</v>
      </c>
      <c r="L645" t="n">
        <v>0</v>
      </c>
      <c r="M645" t="n">
        <v>0</v>
      </c>
      <c r="N645" t="n">
        <v>0</v>
      </c>
      <c r="O645" t="n">
        <v>0</v>
      </c>
      <c r="P645" t="n">
        <v>0</v>
      </c>
      <c r="Q645" t="n">
        <v>0</v>
      </c>
      <c r="R645" t="n">
        <v>0</v>
      </c>
      <c r="S645" t="n">
        <v>1</v>
      </c>
      <c r="T645" t="n">
        <v>1</v>
      </c>
      <c r="U645" t="n">
        <v>0</v>
      </c>
      <c r="V645" s="2" t="inlineStr">
        <is>
          <t>Myskmadra</t>
        </is>
      </c>
      <c r="W645">
        <f>HYPERLINK("https://klasma.github.io/Logging_1214/artfynd/A 20125-2024 artfynd.xlsx", "A 20125-2024")</f>
        <v/>
      </c>
      <c r="X645">
        <f>HYPERLINK("https://klasma.github.io/Logging_1214/kartor/A 20125-2024 karta.png", "A 20125-2024")</f>
        <v/>
      </c>
      <c r="Y645">
        <f>HYPERLINK("https://klasma.github.io/Logging_1214/kartor_geotiff/A 20125-2024 georefererad karta.tif", "A 20125-2024")</f>
        <v/>
      </c>
      <c r="AA645">
        <f>HYPERLINK("https://klasma.github.io/Logging_1214/klagomål/A 20125-2024 FSC-klagomål.docx", "A 20125-2024")</f>
        <v/>
      </c>
      <c r="AB645">
        <f>HYPERLINK("https://klasma.github.io/Logging_1214/klagomålsmail/A 20125-2024 FSC-klagomål mail.docx", "A 20125-2024")</f>
        <v/>
      </c>
      <c r="AC645">
        <f>HYPERLINK("https://klasma.github.io/Logging_1214/tillsyn/A 20125-2024 tillsynsbegäran.docx", "A 20125-2024")</f>
        <v/>
      </c>
      <c r="AD645">
        <f>HYPERLINK("https://klasma.github.io/Logging_1214/tillsynsmail/A 20125-2024 tillsynsbegäran mail.docx", "A 20125-2024")</f>
        <v/>
      </c>
    </row>
    <row r="646" ht="15" customHeight="1">
      <c r="A646" t="inlineStr">
        <is>
          <t>A 29273-2023</t>
        </is>
      </c>
      <c r="B646" t="inlineStr">
        <is>
          <t>avverkningsanmälan</t>
        </is>
      </c>
      <c r="C646" t="inlineStr">
        <is>
          <t>Föryngringsavverkning</t>
        </is>
      </c>
      <c r="D646" s="1" t="n">
        <v>45105</v>
      </c>
      <c r="E646" s="1" t="n">
        <v>46312</v>
      </c>
      <c r="F646" t="inlineStr">
        <is>
          <t>SKÅNE LÄN</t>
        </is>
      </c>
      <c r="G646" t="inlineStr">
        <is>
          <t>ÖSTRA GÖINGE</t>
        </is>
      </c>
      <c r="I646" t="n">
        <v>4.1</v>
      </c>
      <c r="J646" t="n">
        <v>1</v>
      </c>
      <c r="K646" t="n">
        <v>0</v>
      </c>
      <c r="L646" t="n">
        <v>1</v>
      </c>
      <c r="M646" t="n">
        <v>0</v>
      </c>
      <c r="N646" t="n">
        <v>0</v>
      </c>
      <c r="O646" t="n">
        <v>0</v>
      </c>
      <c r="P646" t="n">
        <v>0</v>
      </c>
      <c r="Q646" t="n">
        <v>1</v>
      </c>
      <c r="R646" t="n">
        <v>0</v>
      </c>
      <c r="S646" t="n">
        <v>1</v>
      </c>
      <c r="T646" t="n">
        <v>1</v>
      </c>
      <c r="U646" t="n">
        <v>0</v>
      </c>
      <c r="V646" s="2" t="inlineStr">
        <is>
          <t>Nötkråka</t>
        </is>
      </c>
      <c r="W646">
        <f>HYPERLINK("https://klasma.github.io/Logging_1256/artfynd/A 29273-2023 artfynd.xlsx", "A 29273-2023")</f>
        <v/>
      </c>
      <c r="X646">
        <f>HYPERLINK("https://klasma.github.io/Logging_1256/kartor/A 29273-2023 karta.png", "A 29273-2023")</f>
        <v/>
      </c>
      <c r="Y646">
        <f>HYPERLINK("https://klasma.github.io/Logging_1256/kartor_geotiff/A 29273-2023 georefererad karta.tif", "A 29273-2023")</f>
        <v/>
      </c>
      <c r="AA646">
        <f>HYPERLINK("https://klasma.github.io/Logging_1256/klagomål/A 29273-2023 FSC-klagomål.docx", "A 29273-2023")</f>
        <v/>
      </c>
      <c r="AB646">
        <f>HYPERLINK("https://klasma.github.io/Logging_1256/klagomålsmail/A 29273-2023 FSC-klagomål mail.docx", "A 29273-2023")</f>
        <v/>
      </c>
      <c r="AC646">
        <f>HYPERLINK("https://klasma.github.io/Logging_1256/tillsyn/A 29273-2023 tillsynsbegäran.docx", "A 29273-2023")</f>
        <v/>
      </c>
      <c r="AD646">
        <f>HYPERLINK("https://klasma.github.io/Logging_1256/tillsynsmail/A 29273-2023 tillsynsbegäran mail.docx", "A 29273-2023")</f>
        <v/>
      </c>
      <c r="AE646">
        <f>HYPERLINK("https://klasma.github.io/Logging_1256/fåglar/A 29273-2023 prioriterade fågelarter.docx", "A 29273-2023")</f>
        <v/>
      </c>
    </row>
    <row r="647" ht="15" customHeight="1">
      <c r="A647" t="inlineStr">
        <is>
          <t>A 13018-2024</t>
        </is>
      </c>
      <c r="B647" t="inlineStr">
        <is>
          <t>avverkningsanmälan</t>
        </is>
      </c>
      <c r="C647" t="inlineStr">
        <is>
          <t>Föryngringsavverkning</t>
        </is>
      </c>
      <c r="D647" s="1" t="n">
        <v>45385</v>
      </c>
      <c r="E647" s="1" t="n">
        <v>46312</v>
      </c>
      <c r="F647" t="inlineStr">
        <is>
          <t>SKÅNE LÄN</t>
        </is>
      </c>
      <c r="G647" t="inlineStr">
        <is>
          <t>HÄSSLEHOLM</t>
        </is>
      </c>
      <c r="I647" t="n">
        <v>4.8</v>
      </c>
      <c r="J647" t="n">
        <v>0</v>
      </c>
      <c r="K647" t="n">
        <v>0</v>
      </c>
      <c r="L647" t="n">
        <v>1</v>
      </c>
      <c r="M647" t="n">
        <v>0</v>
      </c>
      <c r="N647" t="n">
        <v>0</v>
      </c>
      <c r="O647" t="n">
        <v>0</v>
      </c>
      <c r="P647" t="n">
        <v>0</v>
      </c>
      <c r="Q647" t="n">
        <v>1</v>
      </c>
      <c r="R647" t="n">
        <v>0</v>
      </c>
      <c r="S647" t="n">
        <v>1</v>
      </c>
      <c r="T647" t="n">
        <v>1</v>
      </c>
      <c r="U647" t="n">
        <v>0</v>
      </c>
      <c r="V647" s="2" t="inlineStr">
        <is>
          <t>Älg</t>
        </is>
      </c>
      <c r="W647">
        <f>HYPERLINK("https://klasma.github.io/Logging_1293/artfynd/A 13018-2024 artfynd.xlsx", "A 13018-2024")</f>
        <v/>
      </c>
      <c r="X647">
        <f>HYPERLINK("https://klasma.github.io/Logging_1293/kartor/A 13018-2024 karta.png", "A 13018-2024")</f>
        <v/>
      </c>
      <c r="Y647">
        <f>HYPERLINK("https://klasma.github.io/Logging_1293/kartor_geotiff/A 13018-2024 georefererad karta.tif", "A 13018-2024")</f>
        <v/>
      </c>
      <c r="AA647">
        <f>HYPERLINK("https://klasma.github.io/Logging_1293/klagomål/A 13018-2024 FSC-klagomål.docx", "A 13018-2024")</f>
        <v/>
      </c>
      <c r="AB647">
        <f>HYPERLINK("https://klasma.github.io/Logging_1293/klagomålsmail/A 13018-2024 FSC-klagomål mail.docx", "A 13018-2024")</f>
        <v/>
      </c>
      <c r="AC647">
        <f>HYPERLINK("https://klasma.github.io/Logging_1293/tillsyn/A 13018-2024 tillsynsbegäran.docx", "A 13018-2024")</f>
        <v/>
      </c>
      <c r="AD647">
        <f>HYPERLINK("https://klasma.github.io/Logging_1293/tillsynsmail/A 13018-2024 tillsynsbegäran mail.docx", "A 13018-2024")</f>
        <v/>
      </c>
    </row>
    <row r="648" ht="15" customHeight="1">
      <c r="A648" t="inlineStr">
        <is>
          <t>A 37224-2026</t>
        </is>
      </c>
      <c r="B648" t="inlineStr">
        <is>
          <t>avverkningsanmälan</t>
        </is>
      </c>
      <c r="C648" t="inlineStr">
        <is>
          <t>Föryngringsavverkning</t>
        </is>
      </c>
      <c r="D648" s="1" t="n">
        <v>46274</v>
      </c>
      <c r="E648" s="1" t="n">
        <v>46312</v>
      </c>
      <c r="F648" t="inlineStr">
        <is>
          <t>SKÅNE LÄN</t>
        </is>
      </c>
      <c r="G648" t="inlineStr">
        <is>
          <t>KLIPPAN</t>
        </is>
      </c>
      <c r="I648" t="n">
        <v>2.7</v>
      </c>
      <c r="J648" t="n">
        <v>1</v>
      </c>
      <c r="K648" t="n">
        <v>0</v>
      </c>
      <c r="L648" t="n">
        <v>0</v>
      </c>
      <c r="M648" t="n">
        <v>0</v>
      </c>
      <c r="N648" t="n">
        <v>0</v>
      </c>
      <c r="O648" t="n">
        <v>0</v>
      </c>
      <c r="P648" t="n">
        <v>0</v>
      </c>
      <c r="Q648" t="n">
        <v>0</v>
      </c>
      <c r="R648" t="n">
        <v>0</v>
      </c>
      <c r="S648" t="n">
        <v>1</v>
      </c>
      <c r="T648" t="n">
        <v>2</v>
      </c>
      <c r="U648" t="n">
        <v>2</v>
      </c>
      <c r="V648" s="2" t="inlineStr">
        <is>
          <t>Vanlig groda</t>
        </is>
      </c>
      <c r="W648">
        <f>HYPERLINK("https://klasma.github.io/Logging_1276/artfynd/A 37224-2026 artfynd.xlsx", "A 37224-2026")</f>
        <v/>
      </c>
      <c r="X648">
        <f>HYPERLINK("https://klasma.github.io/Logging_1276/kartor/A 37224-2026 karta.png", "A 37224-2026")</f>
        <v/>
      </c>
      <c r="Y648">
        <f>HYPERLINK("https://klasma.github.io/Logging_1276/kartor_geotiff/A 37224-2026 georefererad karta.tif", "A 37224-2026")</f>
        <v/>
      </c>
      <c r="AA648">
        <f>HYPERLINK("https://klasma.github.io/Logging_1276/klagomål/A 37224-2026 FSC-klagomål.docx", "A 37224-2026")</f>
        <v/>
      </c>
      <c r="AB648">
        <f>HYPERLINK("https://klasma.github.io/Logging_1276/klagomålsmail/A 37224-2026 FSC-klagomål mail.docx", "A 37224-2026")</f>
        <v/>
      </c>
      <c r="AC648">
        <f>HYPERLINK("https://klasma.github.io/Logging_1276/tillsyn/A 37224-2026 tillsynsbegäran.docx", "A 37224-2026")</f>
        <v/>
      </c>
      <c r="AD648">
        <f>HYPERLINK("https://klasma.github.io/Logging_1276/tillsynsmail/A 37224-2026 tillsynsbegäran mail.docx", "A 37224-2026")</f>
        <v/>
      </c>
    </row>
    <row r="649" ht="15" customHeight="1">
      <c r="A649" t="inlineStr">
        <is>
          <t>A 37500-2026</t>
        </is>
      </c>
      <c r="B649" t="inlineStr">
        <is>
          <t>avverkningsanmälan</t>
        </is>
      </c>
      <c r="C649" t="inlineStr">
        <is>
          <t>Föryngringsavverkning</t>
        </is>
      </c>
      <c r="D649" s="1" t="n">
        <v>46275</v>
      </c>
      <c r="E649" s="1" t="n">
        <v>46312</v>
      </c>
      <c r="F649" t="inlineStr">
        <is>
          <t>SKÅNE LÄN</t>
        </is>
      </c>
      <c r="G649" t="inlineStr">
        <is>
          <t>OSBY</t>
        </is>
      </c>
      <c r="H649" t="inlineStr">
        <is>
          <t>Sveaskog</t>
        </is>
      </c>
      <c r="I649" t="n">
        <v>8.4</v>
      </c>
      <c r="J649" t="n">
        <v>0</v>
      </c>
      <c r="K649" t="n">
        <v>1</v>
      </c>
      <c r="L649" t="n">
        <v>0</v>
      </c>
      <c r="M649" t="n">
        <v>0</v>
      </c>
      <c r="N649" t="n">
        <v>0</v>
      </c>
      <c r="O649" t="n">
        <v>0</v>
      </c>
      <c r="P649" t="n">
        <v>0</v>
      </c>
      <c r="Q649" t="n">
        <v>0</v>
      </c>
      <c r="R649" t="n">
        <v>0</v>
      </c>
      <c r="S649" t="n">
        <v>1</v>
      </c>
      <c r="T649" t="n">
        <v>1</v>
      </c>
      <c r="U649" t="n">
        <v>0</v>
      </c>
      <c r="V649" s="2" t="inlineStr">
        <is>
          <t>Tibast</t>
        </is>
      </c>
      <c r="W649">
        <f>HYPERLINK("https://klasma.github.io/Logging_1273/artfynd/A 37500-2026 artfynd.xlsx", "A 37500-2026")</f>
        <v/>
      </c>
      <c r="X649">
        <f>HYPERLINK("https://klasma.github.io/Logging_1273/kartor/A 37500-2026 karta.png", "A 37500-2026")</f>
        <v/>
      </c>
      <c r="Y649">
        <f>HYPERLINK("https://klasma.github.io/Logging_1273/kartor_geotiff/A 37500-2026 georefererad karta.tif", "A 37500-2026")</f>
        <v/>
      </c>
      <c r="AA649">
        <f>HYPERLINK("https://klasma.github.io/Logging_1273/klagomål/A 37500-2026 FSC-klagomål.docx", "A 37500-2026")</f>
        <v/>
      </c>
      <c r="AB649">
        <f>HYPERLINK("https://klasma.github.io/Logging_1273/klagomålsmail/A 37500-2026 FSC-klagomål mail.docx", "A 37500-2026")</f>
        <v/>
      </c>
      <c r="AC649">
        <f>HYPERLINK("https://klasma.github.io/Logging_1273/tillsyn/A 37500-2026 tillsynsbegäran.docx", "A 37500-2026")</f>
        <v/>
      </c>
      <c r="AD649">
        <f>HYPERLINK("https://klasma.github.io/Logging_1273/tillsynsmail/A 37500-2026 tillsynsbegäran mail.docx", "A 37500-2026")</f>
        <v/>
      </c>
    </row>
    <row r="650" ht="15" customHeight="1">
      <c r="A650" t="inlineStr">
        <is>
          <t>A 43335-2023</t>
        </is>
      </c>
      <c r="B650" t="inlineStr">
        <is>
          <t>avverkningsanmälan</t>
        </is>
      </c>
      <c r="C650" t="inlineStr">
        <is>
          <t>Föryngringsavverkning</t>
        </is>
      </c>
      <c r="D650" s="1" t="n">
        <v>45183</v>
      </c>
      <c r="E650" s="1" t="n">
        <v>46312</v>
      </c>
      <c r="F650" t="inlineStr">
        <is>
          <t>SKÅNE LÄN</t>
        </is>
      </c>
      <c r="G650" t="inlineStr">
        <is>
          <t>SJÖBO</t>
        </is>
      </c>
      <c r="H650" t="inlineStr">
        <is>
          <t>Kommuner</t>
        </is>
      </c>
      <c r="I650" t="n">
        <v>4.9</v>
      </c>
      <c r="J650" t="n">
        <v>0</v>
      </c>
      <c r="K650" t="n">
        <v>0</v>
      </c>
      <c r="L650" t="n">
        <v>0</v>
      </c>
      <c r="M650" t="n">
        <v>1</v>
      </c>
      <c r="N650" t="n">
        <v>0</v>
      </c>
      <c r="O650" t="n">
        <v>0</v>
      </c>
      <c r="P650" t="n">
        <v>0</v>
      </c>
      <c r="Q650" t="n">
        <v>1</v>
      </c>
      <c r="R650" t="n">
        <v>1</v>
      </c>
      <c r="S650" t="n">
        <v>1</v>
      </c>
      <c r="T650" t="n">
        <v>1</v>
      </c>
      <c r="U650" t="n">
        <v>1</v>
      </c>
      <c r="V650" s="2" t="inlineStr">
        <is>
          <t>Igelkott</t>
        </is>
      </c>
      <c r="W650">
        <f>HYPERLINK("https://klasma.github.io/Logging_1265/artfynd/A 43335-2023 artfynd.xlsx", "A 43335-2023")</f>
        <v/>
      </c>
      <c r="X650">
        <f>HYPERLINK("https://klasma.github.io/Logging_1265/kartor/A 43335-2023 karta.png", "A 43335-2023")</f>
        <v/>
      </c>
      <c r="Y650">
        <f>HYPERLINK("https://klasma.github.io/Logging_1265/kartor_geotiff/A 43335-2023 georefererad karta.tif", "A 43335-2023")</f>
        <v/>
      </c>
      <c r="AA650">
        <f>HYPERLINK("https://klasma.github.io/Logging_1265/klagomål/A 43335-2023 FSC-klagomål.docx", "A 43335-2023")</f>
        <v/>
      </c>
      <c r="AB650">
        <f>HYPERLINK("https://klasma.github.io/Logging_1265/klagomålsmail/A 43335-2023 FSC-klagomål mail.docx", "A 43335-2023")</f>
        <v/>
      </c>
      <c r="AC650">
        <f>HYPERLINK("https://klasma.github.io/Logging_1265/tillsyn/A 43335-2023 tillsynsbegäran.docx", "A 43335-2023")</f>
        <v/>
      </c>
      <c r="AD650">
        <f>HYPERLINK("https://klasma.github.io/Logging_1265/tillsynsmail/A 43335-2023 tillsynsbegäran mail.docx", "A 43335-2023")</f>
        <v/>
      </c>
    </row>
    <row r="651" ht="15" customHeight="1">
      <c r="A651" t="inlineStr">
        <is>
          <t>A 36240-2023</t>
        </is>
      </c>
      <c r="B651" t="inlineStr">
        <is>
          <t>avverkningsanmälan</t>
        </is>
      </c>
      <c r="C651" t="inlineStr">
        <is>
          <t>Föryngringsavverkning</t>
        </is>
      </c>
      <c r="D651" s="1" t="n">
        <v>45150</v>
      </c>
      <c r="E651" s="1" t="n">
        <v>46312</v>
      </c>
      <c r="F651" t="inlineStr">
        <is>
          <t>SKÅNE LÄN</t>
        </is>
      </c>
      <c r="G651" t="inlineStr">
        <is>
          <t>HÄSSLEHOLM</t>
        </is>
      </c>
      <c r="I651" t="n">
        <v>1.5</v>
      </c>
      <c r="J651" t="n">
        <v>1</v>
      </c>
      <c r="K651" t="n">
        <v>0</v>
      </c>
      <c r="L651" t="n">
        <v>0</v>
      </c>
      <c r="M651" t="n">
        <v>0</v>
      </c>
      <c r="N651" t="n">
        <v>0</v>
      </c>
      <c r="O651" t="n">
        <v>0</v>
      </c>
      <c r="P651" t="n">
        <v>0</v>
      </c>
      <c r="Q651" t="n">
        <v>0</v>
      </c>
      <c r="R651" t="n">
        <v>0</v>
      </c>
      <c r="S651" t="n">
        <v>1</v>
      </c>
      <c r="T651" t="n">
        <v>1</v>
      </c>
      <c r="U651" t="n">
        <v>0</v>
      </c>
      <c r="V651" s="2" t="inlineStr">
        <is>
          <t>Törnskata</t>
        </is>
      </c>
      <c r="W651">
        <f>HYPERLINK("https://klasma.github.io/Logging_1293/artfynd/A 36240-2023 artfynd.xlsx", "A 36240-2023")</f>
        <v/>
      </c>
      <c r="X651">
        <f>HYPERLINK("https://klasma.github.io/Logging_1293/kartor/A 36240-2023 karta.png", "A 36240-2023")</f>
        <v/>
      </c>
      <c r="Y651">
        <f>HYPERLINK("https://klasma.github.io/Logging_1293/kartor_geotiff/A 36240-2023 georefererad karta.tif", "A 36240-2023")</f>
        <v/>
      </c>
      <c r="AA651">
        <f>HYPERLINK("https://klasma.github.io/Logging_1293/klagomål/A 36240-2023 FSC-klagomål.docx", "A 36240-2023")</f>
        <v/>
      </c>
      <c r="AB651">
        <f>HYPERLINK("https://klasma.github.io/Logging_1293/klagomålsmail/A 36240-2023 FSC-klagomål mail.docx", "A 36240-2023")</f>
        <v/>
      </c>
      <c r="AC651">
        <f>HYPERLINK("https://klasma.github.io/Logging_1293/tillsyn/A 36240-2023 tillsynsbegäran.docx", "A 36240-2023")</f>
        <v/>
      </c>
      <c r="AD651">
        <f>HYPERLINK("https://klasma.github.io/Logging_1293/tillsynsmail/A 36240-2023 tillsynsbegäran mail.docx", "A 36240-2023")</f>
        <v/>
      </c>
      <c r="AE651">
        <f>HYPERLINK("https://klasma.github.io/Logging_1293/fåglar/A 36240-2023 prioriterade fågelarter.docx", "A 36240-2023")</f>
        <v/>
      </c>
    </row>
    <row r="652" ht="15" customHeight="1">
      <c r="A652" t="inlineStr">
        <is>
          <t>A 61929-2023</t>
        </is>
      </c>
      <c r="B652" t="inlineStr">
        <is>
          <t>avverkningsanmälan</t>
        </is>
      </c>
      <c r="C652" t="inlineStr">
        <is>
          <t>Föryngringsavverkning</t>
        </is>
      </c>
      <c r="D652" s="1" t="n">
        <v>45266</v>
      </c>
      <c r="E652" s="1" t="n">
        <v>46312</v>
      </c>
      <c r="F652" t="inlineStr">
        <is>
          <t>SKÅNE LÄN</t>
        </is>
      </c>
      <c r="G652" t="inlineStr">
        <is>
          <t>HÄSSLEHOLM</t>
        </is>
      </c>
      <c r="I652" t="n">
        <v>1.9</v>
      </c>
      <c r="J652" t="n">
        <v>0</v>
      </c>
      <c r="K652" t="n">
        <v>0</v>
      </c>
      <c r="L652" t="n">
        <v>0</v>
      </c>
      <c r="M652" t="n">
        <v>1</v>
      </c>
      <c r="N652" t="n">
        <v>0</v>
      </c>
      <c r="O652" t="n">
        <v>0</v>
      </c>
      <c r="P652" t="n">
        <v>0</v>
      </c>
      <c r="Q652" t="n">
        <v>1</v>
      </c>
      <c r="R652" t="n">
        <v>1</v>
      </c>
      <c r="S652" t="n">
        <v>1</v>
      </c>
      <c r="T652" t="n">
        <v>1</v>
      </c>
      <c r="U652" t="n">
        <v>0</v>
      </c>
      <c r="V652" s="2" t="inlineStr">
        <is>
          <t>Slåttergubbe</t>
        </is>
      </c>
      <c r="W652">
        <f>HYPERLINK("https://klasma.github.io/Logging_1293/artfynd/A 61929-2023 artfynd.xlsx", "A 61929-2023")</f>
        <v/>
      </c>
      <c r="X652">
        <f>HYPERLINK("https://klasma.github.io/Logging_1293/kartor/A 61929-2023 karta.png", "A 61929-2023")</f>
        <v/>
      </c>
      <c r="Y652">
        <f>HYPERLINK("https://klasma.github.io/Logging_1293/kartor_geotiff/A 61929-2023 georefererad karta.tif", "A 61929-2023")</f>
        <v/>
      </c>
      <c r="AA652">
        <f>HYPERLINK("https://klasma.github.io/Logging_1293/klagomål/A 61929-2023 FSC-klagomål.docx", "A 61929-2023")</f>
        <v/>
      </c>
      <c r="AB652">
        <f>HYPERLINK("https://klasma.github.io/Logging_1293/klagomålsmail/A 61929-2023 FSC-klagomål mail.docx", "A 61929-2023")</f>
        <v/>
      </c>
      <c r="AC652">
        <f>HYPERLINK("https://klasma.github.io/Logging_1293/tillsyn/A 61929-2023 tillsynsbegäran.docx", "A 61929-2023")</f>
        <v/>
      </c>
      <c r="AD652">
        <f>HYPERLINK("https://klasma.github.io/Logging_1293/tillsynsmail/A 61929-2023 tillsynsbegäran mail.docx", "A 61929-2023")</f>
        <v/>
      </c>
    </row>
    <row r="653" ht="15" customHeight="1">
      <c r="A653" t="inlineStr">
        <is>
          <t>A 52664-2023</t>
        </is>
      </c>
      <c r="B653" t="inlineStr">
        <is>
          <t>avverkningsanmälan</t>
        </is>
      </c>
      <c r="C653" t="inlineStr">
        <is>
          <t>Föryngringsavverkning</t>
        </is>
      </c>
      <c r="D653" s="1" t="n">
        <v>45225</v>
      </c>
      <c r="E653" s="1" t="n">
        <v>46312</v>
      </c>
      <c r="F653" t="inlineStr">
        <is>
          <t>SKÅNE LÄN</t>
        </is>
      </c>
      <c r="G653" t="inlineStr">
        <is>
          <t>SVALÖV</t>
        </is>
      </c>
      <c r="I653" t="n">
        <v>6.4</v>
      </c>
      <c r="J653" t="n">
        <v>1</v>
      </c>
      <c r="K653" t="n">
        <v>1</v>
      </c>
      <c r="L653" t="n">
        <v>0</v>
      </c>
      <c r="M653" t="n">
        <v>0</v>
      </c>
      <c r="N653" t="n">
        <v>0</v>
      </c>
      <c r="O653" t="n">
        <v>0</v>
      </c>
      <c r="P653" t="n">
        <v>0</v>
      </c>
      <c r="Q653" t="n">
        <v>0</v>
      </c>
      <c r="R653" t="n">
        <v>0</v>
      </c>
      <c r="S653" t="n">
        <v>1</v>
      </c>
      <c r="T653" t="n">
        <v>1</v>
      </c>
      <c r="U653" t="n">
        <v>0</v>
      </c>
      <c r="V653" s="2" t="inlineStr">
        <is>
          <t>Skogsknipprot</t>
        </is>
      </c>
      <c r="W653">
        <f>HYPERLINK("https://klasma.github.io/Logging_1214/artfynd/A 52664-2023 artfynd.xlsx", "A 52664-2023")</f>
        <v/>
      </c>
      <c r="X653">
        <f>HYPERLINK("https://klasma.github.io/Logging_1214/kartor/A 52664-2023 karta.png", "A 52664-2023")</f>
        <v/>
      </c>
      <c r="Y653">
        <f>HYPERLINK("https://klasma.github.io/Logging_1214/kartor_geotiff/A 52664-2023 georefererad karta.tif", "A 52664-2023")</f>
        <v/>
      </c>
      <c r="AA653">
        <f>HYPERLINK("https://klasma.github.io/Logging_1214/klagomål/A 52664-2023 FSC-klagomål.docx", "A 52664-2023")</f>
        <v/>
      </c>
      <c r="AB653">
        <f>HYPERLINK("https://klasma.github.io/Logging_1214/klagomålsmail/A 52664-2023 FSC-klagomål mail.docx", "A 52664-2023")</f>
        <v/>
      </c>
      <c r="AC653">
        <f>HYPERLINK("https://klasma.github.io/Logging_1214/tillsyn/A 52664-2023 tillsynsbegäran.docx", "A 52664-2023")</f>
        <v/>
      </c>
      <c r="AD653">
        <f>HYPERLINK("https://klasma.github.io/Logging_1214/tillsynsmail/A 52664-2023 tillsynsbegäran mail.docx", "A 52664-2023")</f>
        <v/>
      </c>
    </row>
    <row r="654" ht="15" customHeight="1">
      <c r="A654" t="inlineStr">
        <is>
          <t>A 33064-2023</t>
        </is>
      </c>
      <c r="B654" t="inlineStr">
        <is>
          <t>avverkningsanmälan</t>
        </is>
      </c>
      <c r="C654" t="inlineStr">
        <is>
          <t>Föryngringsavverkning</t>
        </is>
      </c>
      <c r="D654" s="1" t="n">
        <v>45126</v>
      </c>
      <c r="E654" s="1" t="n">
        <v>46312</v>
      </c>
      <c r="F654" t="inlineStr">
        <is>
          <t>SKÅNE LÄN</t>
        </is>
      </c>
      <c r="G654" t="inlineStr">
        <is>
          <t>OSBY</t>
        </is>
      </c>
      <c r="I654" t="n">
        <v>0.8</v>
      </c>
      <c r="J654" t="n">
        <v>1</v>
      </c>
      <c r="K654" t="n">
        <v>0</v>
      </c>
      <c r="L654" t="n">
        <v>0</v>
      </c>
      <c r="M654" t="n">
        <v>1</v>
      </c>
      <c r="N654" t="n">
        <v>0</v>
      </c>
      <c r="O654" t="n">
        <v>0</v>
      </c>
      <c r="P654" t="n">
        <v>0</v>
      </c>
      <c r="Q654" t="n">
        <v>1</v>
      </c>
      <c r="R654" t="n">
        <v>1</v>
      </c>
      <c r="S654" t="n">
        <v>1</v>
      </c>
      <c r="T654" t="n">
        <v>1</v>
      </c>
      <c r="U654" t="n">
        <v>1</v>
      </c>
      <c r="V654" s="2" t="inlineStr">
        <is>
          <t>Knärot</t>
        </is>
      </c>
      <c r="W654">
        <f>HYPERLINK("https://klasma.github.io/Logging_1273/artfynd/A 33064-2023 artfynd.xlsx", "A 33064-2023")</f>
        <v/>
      </c>
      <c r="X654">
        <f>HYPERLINK("https://klasma.github.io/Logging_1273/kartor/A 33064-2023 karta.png", "A 33064-2023")</f>
        <v/>
      </c>
      <c r="Y654">
        <f>HYPERLINK("https://klasma.github.io/Logging_1273/kartor_geotiff/A 33064-2023 georefererad karta.tif", "A 33064-2023")</f>
        <v/>
      </c>
      <c r="Z654">
        <f>HYPERLINK("https://klasma.github.io/Logging_1273/knärot/A 33064-2023 karta knärot.png", "A 33064-2023")</f>
        <v/>
      </c>
      <c r="AA654">
        <f>HYPERLINK("https://klasma.github.io/Logging_1273/klagomål/A 33064-2023 FSC-klagomål.docx", "A 33064-2023")</f>
        <v/>
      </c>
      <c r="AB654">
        <f>HYPERLINK("https://klasma.github.io/Logging_1273/klagomålsmail/A 33064-2023 FSC-klagomål mail.docx", "A 33064-2023")</f>
        <v/>
      </c>
      <c r="AC654">
        <f>HYPERLINK("https://klasma.github.io/Logging_1273/tillsyn/A 33064-2023 tillsynsbegäran.docx", "A 33064-2023")</f>
        <v/>
      </c>
      <c r="AD654">
        <f>HYPERLINK("https://klasma.github.io/Logging_1273/tillsynsmail/A 33064-2023 tillsynsbegäran mail.docx", "A 33064-2023")</f>
        <v/>
      </c>
    </row>
    <row r="655" ht="15" customHeight="1">
      <c r="A655" t="inlineStr">
        <is>
          <t>A 25533-2024</t>
        </is>
      </c>
      <c r="B655" t="inlineStr">
        <is>
          <t>avverkningsanmälan</t>
        </is>
      </c>
      <c r="C655" t="inlineStr">
        <is>
          <t>Föryngringsavverkning</t>
        </is>
      </c>
      <c r="D655" s="1" t="n">
        <v>45463</v>
      </c>
      <c r="E655" s="1" t="n">
        <v>46312</v>
      </c>
      <c r="F655" t="inlineStr">
        <is>
          <t>SKÅNE LÄN</t>
        </is>
      </c>
      <c r="G655" t="inlineStr">
        <is>
          <t>HÄSSLEHOLM</t>
        </is>
      </c>
      <c r="I655" t="n">
        <v>1.8</v>
      </c>
      <c r="J655" t="n">
        <v>1</v>
      </c>
      <c r="K655" t="n">
        <v>0</v>
      </c>
      <c r="L655" t="n">
        <v>0</v>
      </c>
      <c r="M655" t="n">
        <v>0</v>
      </c>
      <c r="N655" t="n">
        <v>0</v>
      </c>
      <c r="O655" t="n">
        <v>0</v>
      </c>
      <c r="P655" t="n">
        <v>0</v>
      </c>
      <c r="Q655" t="n">
        <v>0</v>
      </c>
      <c r="R655" t="n">
        <v>0</v>
      </c>
      <c r="S655" t="n">
        <v>1</v>
      </c>
      <c r="T655" t="n">
        <v>1</v>
      </c>
      <c r="U655" t="n">
        <v>0</v>
      </c>
      <c r="V655" s="2" t="inlineStr">
        <is>
          <t>Fiskgjuse</t>
        </is>
      </c>
      <c r="W655">
        <f>HYPERLINK("https://klasma.github.io/Logging_1293/artfynd/A 25533-2024 artfynd.xlsx", "A 25533-2024")</f>
        <v/>
      </c>
      <c r="X655">
        <f>HYPERLINK("https://klasma.github.io/Logging_1293/kartor/A 25533-2024 karta.png", "A 25533-2024")</f>
        <v/>
      </c>
      <c r="Y655">
        <f>HYPERLINK("https://klasma.github.io/Logging_1293/kartor_geotiff/A 25533-2024 georefererad karta.tif", "A 25533-2024")</f>
        <v/>
      </c>
      <c r="AA655">
        <f>HYPERLINK("https://klasma.github.io/Logging_1293/klagomål/A 25533-2024 FSC-klagomål.docx", "A 25533-2024")</f>
        <v/>
      </c>
      <c r="AB655">
        <f>HYPERLINK("https://klasma.github.io/Logging_1293/klagomålsmail/A 25533-2024 FSC-klagomål mail.docx", "A 25533-2024")</f>
        <v/>
      </c>
      <c r="AC655">
        <f>HYPERLINK("https://klasma.github.io/Logging_1293/tillsyn/A 25533-2024 tillsynsbegäran.docx", "A 25533-2024")</f>
        <v/>
      </c>
      <c r="AD655">
        <f>HYPERLINK("https://klasma.github.io/Logging_1293/tillsynsmail/A 25533-2024 tillsynsbegäran mail.docx", "A 25533-2024")</f>
        <v/>
      </c>
      <c r="AE655">
        <f>HYPERLINK("https://klasma.github.io/Logging_1293/fåglar/A 25533-2024 prioriterade fågelarter.docx", "A 25533-2024")</f>
        <v/>
      </c>
    </row>
    <row r="656" ht="15" customHeight="1">
      <c r="A656" t="inlineStr">
        <is>
          <t>A 20227-2022</t>
        </is>
      </c>
      <c r="B656" t="inlineStr">
        <is>
          <t>avverkningsanmälan</t>
        </is>
      </c>
      <c r="C656" t="inlineStr">
        <is>
          <t>Avverkning för att bevara och utveckla /försöksver</t>
        </is>
      </c>
      <c r="D656" s="1" t="n">
        <v>44698</v>
      </c>
      <c r="E656" s="1" t="n">
        <v>46312</v>
      </c>
      <c r="F656" t="inlineStr">
        <is>
          <t>SKÅNE LÄN</t>
        </is>
      </c>
      <c r="G656" t="inlineStr">
        <is>
          <t>OSBY</t>
        </is>
      </c>
      <c r="H656" t="inlineStr">
        <is>
          <t>Kommuner</t>
        </is>
      </c>
      <c r="I656" t="n">
        <v>7.1</v>
      </c>
      <c r="J656" t="n">
        <v>1</v>
      </c>
      <c r="K656" t="n">
        <v>0</v>
      </c>
      <c r="L656" t="n">
        <v>0</v>
      </c>
      <c r="M656" t="n">
        <v>0</v>
      </c>
      <c r="N656" t="n">
        <v>0</v>
      </c>
      <c r="O656" t="n">
        <v>0</v>
      </c>
      <c r="P656" t="n">
        <v>0</v>
      </c>
      <c r="Q656" t="n">
        <v>0</v>
      </c>
      <c r="R656" t="n">
        <v>0</v>
      </c>
      <c r="S656" t="n">
        <v>1</v>
      </c>
      <c r="T656" t="n">
        <v>2</v>
      </c>
      <c r="U656" t="n">
        <v>2</v>
      </c>
      <c r="V656" s="2" t="inlineStr">
        <is>
          <t>Havsörn</t>
        </is>
      </c>
      <c r="W656">
        <f>HYPERLINK("https://klasma.github.io/Logging_1273/artfynd/A 20227-2022 artfynd.xlsx", "A 20227-2022")</f>
        <v/>
      </c>
      <c r="X656">
        <f>HYPERLINK("https://klasma.github.io/Logging_1273/kartor/A 20227-2022 karta.png", "A 20227-2022")</f>
        <v/>
      </c>
      <c r="Y656">
        <f>HYPERLINK("https://klasma.github.io/Logging_1273/kartor_geotiff/A 20227-2022 georefererad karta.tif", "A 20227-2022")</f>
        <v/>
      </c>
      <c r="AA656">
        <f>HYPERLINK("https://klasma.github.io/Logging_1273/klagomål/A 20227-2022 FSC-klagomål.docx", "A 20227-2022")</f>
        <v/>
      </c>
      <c r="AB656">
        <f>HYPERLINK("https://klasma.github.io/Logging_1273/klagomålsmail/A 20227-2022 FSC-klagomål mail.docx", "A 20227-2022")</f>
        <v/>
      </c>
      <c r="AC656">
        <f>HYPERLINK("https://klasma.github.io/Logging_1273/tillsyn/A 20227-2022 tillsynsbegäran.docx", "A 20227-2022")</f>
        <v/>
      </c>
      <c r="AD656">
        <f>HYPERLINK("https://klasma.github.io/Logging_1273/tillsynsmail/A 20227-2022 tillsynsbegäran mail.docx", "A 20227-2022")</f>
        <v/>
      </c>
      <c r="AE656">
        <f>HYPERLINK("https://klasma.github.io/Logging_1273/fåglar/A 20227-2022 prioriterade fågelarter.docx", "A 20227-2022")</f>
        <v/>
      </c>
    </row>
    <row r="657" ht="15" customHeight="1">
      <c r="A657" t="inlineStr">
        <is>
          <t>A 61498-2022</t>
        </is>
      </c>
      <c r="B657" t="inlineStr">
        <is>
          <t>avverkningsanmälan</t>
        </is>
      </c>
      <c r="C657" t="inlineStr">
        <is>
          <t>Föryngringsavverkning</t>
        </is>
      </c>
      <c r="D657" s="1" t="n">
        <v>44910</v>
      </c>
      <c r="E657" s="1" t="n">
        <v>46312</v>
      </c>
      <c r="F657" t="inlineStr">
        <is>
          <t>SKÅNE LÄN</t>
        </is>
      </c>
      <c r="G657" t="inlineStr">
        <is>
          <t>HÄSSLEHOLM</t>
        </is>
      </c>
      <c r="H657" t="inlineStr">
        <is>
          <t>Kyrkan</t>
        </is>
      </c>
      <c r="I657" t="n">
        <v>3.2</v>
      </c>
      <c r="J657" t="n">
        <v>1</v>
      </c>
      <c r="K657" t="n">
        <v>0</v>
      </c>
      <c r="L657" t="n">
        <v>0</v>
      </c>
      <c r="M657" t="n">
        <v>0</v>
      </c>
      <c r="N657" t="n">
        <v>0</v>
      </c>
      <c r="O657" t="n">
        <v>0</v>
      </c>
      <c r="P657" t="n">
        <v>0</v>
      </c>
      <c r="Q657" t="n">
        <v>0</v>
      </c>
      <c r="R657" t="n">
        <v>0</v>
      </c>
      <c r="S657" t="n">
        <v>1</v>
      </c>
      <c r="T657" t="n">
        <v>1</v>
      </c>
      <c r="U657" t="n">
        <v>0</v>
      </c>
      <c r="V657" s="2" t="inlineStr">
        <is>
          <t>Revlummer</t>
        </is>
      </c>
      <c r="W657">
        <f>HYPERLINK("https://klasma.github.io/Logging_1293/artfynd/A 61498-2022 artfynd.xlsx", "A 61498-2022")</f>
        <v/>
      </c>
      <c r="X657">
        <f>HYPERLINK("https://klasma.github.io/Logging_1293/kartor/A 61498-2022 karta.png", "A 61498-2022")</f>
        <v/>
      </c>
      <c r="Y657">
        <f>HYPERLINK("https://klasma.github.io/Logging_1293/kartor_geotiff/A 61498-2022 georefererad karta.tif", "A 61498-2022")</f>
        <v/>
      </c>
      <c r="AA657">
        <f>HYPERLINK("https://klasma.github.io/Logging_1293/klagomål/A 61498-2022 FSC-klagomål.docx", "A 61498-2022")</f>
        <v/>
      </c>
      <c r="AB657">
        <f>HYPERLINK("https://klasma.github.io/Logging_1293/klagomålsmail/A 61498-2022 FSC-klagomål mail.docx", "A 61498-2022")</f>
        <v/>
      </c>
      <c r="AC657">
        <f>HYPERLINK("https://klasma.github.io/Logging_1293/tillsyn/A 61498-2022 tillsynsbegäran.docx", "A 61498-2022")</f>
        <v/>
      </c>
      <c r="AD657">
        <f>HYPERLINK("https://klasma.github.io/Logging_1293/tillsynsmail/A 61498-2022 tillsynsbegäran mail.docx", "A 61498-2022")</f>
        <v/>
      </c>
    </row>
    <row r="658" ht="15" customHeight="1">
      <c r="A658" t="inlineStr">
        <is>
          <t>A 34341-2024</t>
        </is>
      </c>
      <c r="B658" t="inlineStr">
        <is>
          <t>avverkningsanmälan</t>
        </is>
      </c>
      <c r="C658" t="inlineStr">
        <is>
          <t>Föryngringsavverkning</t>
        </is>
      </c>
      <c r="D658" s="1" t="n">
        <v>45525</v>
      </c>
      <c r="E658" s="1" t="n">
        <v>46312</v>
      </c>
      <c r="F658" t="inlineStr">
        <is>
          <t>SKÅNE LÄN</t>
        </is>
      </c>
      <c r="G658" t="inlineStr">
        <is>
          <t>YSTAD</t>
        </is>
      </c>
      <c r="H658" t="inlineStr">
        <is>
          <t>Övriga Aktiebolag</t>
        </is>
      </c>
      <c r="I658" t="n">
        <v>14.4</v>
      </c>
      <c r="J658" t="n">
        <v>0</v>
      </c>
      <c r="K658" t="n">
        <v>0</v>
      </c>
      <c r="L658" t="n">
        <v>1</v>
      </c>
      <c r="M658" t="n">
        <v>0</v>
      </c>
      <c r="N658" t="n">
        <v>0</v>
      </c>
      <c r="O658" t="n">
        <v>0</v>
      </c>
      <c r="P658" t="n">
        <v>0</v>
      </c>
      <c r="Q658" t="n">
        <v>1</v>
      </c>
      <c r="R658" t="n">
        <v>0</v>
      </c>
      <c r="S658" t="n">
        <v>1</v>
      </c>
      <c r="T658" t="n">
        <v>1</v>
      </c>
      <c r="U658" t="n">
        <v>1</v>
      </c>
      <c r="V658" s="2" t="inlineStr">
        <is>
          <t>Desmeknopp</t>
        </is>
      </c>
      <c r="W658">
        <f>HYPERLINK("https://klasma.github.io/Logging_1286/artfynd/A 34341-2024 artfynd.xlsx", "A 34341-2024")</f>
        <v/>
      </c>
      <c r="X658">
        <f>HYPERLINK("https://klasma.github.io/Logging_1286/kartor/A 34341-2024 karta.png", "A 34341-2024")</f>
        <v/>
      </c>
      <c r="Y658">
        <f>HYPERLINK("https://klasma.github.io/Logging_1286/kartor_geotiff/A 34341-2024 georefererad karta.tif", "A 34341-2024")</f>
        <v/>
      </c>
      <c r="AA658">
        <f>HYPERLINK("https://klasma.github.io/Logging_1286/klagomål/A 34341-2024 FSC-klagomål.docx", "A 34341-2024")</f>
        <v/>
      </c>
      <c r="AB658">
        <f>HYPERLINK("https://klasma.github.io/Logging_1286/klagomålsmail/A 34341-2024 FSC-klagomål mail.docx", "A 34341-2024")</f>
        <v/>
      </c>
      <c r="AC658">
        <f>HYPERLINK("https://klasma.github.io/Logging_1286/tillsyn/A 34341-2024 tillsynsbegäran.docx", "A 34341-2024")</f>
        <v/>
      </c>
      <c r="AD658">
        <f>HYPERLINK("https://klasma.github.io/Logging_1286/tillsynsmail/A 34341-2024 tillsynsbegäran mail.docx", "A 34341-2024")</f>
        <v/>
      </c>
    </row>
    <row r="659" ht="15" customHeight="1">
      <c r="A659" t="inlineStr">
        <is>
          <t>A 22410-2024</t>
        </is>
      </c>
      <c r="B659" t="inlineStr">
        <is>
          <t>avverkningsanmälan</t>
        </is>
      </c>
      <c r="C659" t="inlineStr">
        <is>
          <t>Föryngringsavverkning</t>
        </is>
      </c>
      <c r="D659" s="1" t="n">
        <v>45446</v>
      </c>
      <c r="E659" s="1" t="n">
        <v>46312</v>
      </c>
      <c r="F659" t="inlineStr">
        <is>
          <t>SKÅNE LÄN</t>
        </is>
      </c>
      <c r="G659" t="inlineStr">
        <is>
          <t>ÖRKELLJUNGA</t>
        </is>
      </c>
      <c r="I659" t="n">
        <v>6</v>
      </c>
      <c r="J659" t="n">
        <v>1</v>
      </c>
      <c r="K659" t="n">
        <v>0</v>
      </c>
      <c r="L659" t="n">
        <v>0</v>
      </c>
      <c r="M659" t="n">
        <v>0</v>
      </c>
      <c r="N659" t="n">
        <v>0</v>
      </c>
      <c r="O659" t="n">
        <v>0</v>
      </c>
      <c r="P659" t="n">
        <v>0</v>
      </c>
      <c r="Q659" t="n">
        <v>0</v>
      </c>
      <c r="R659" t="n">
        <v>0</v>
      </c>
      <c r="S659" t="n">
        <v>1</v>
      </c>
      <c r="T659" t="n">
        <v>1</v>
      </c>
      <c r="U659" t="n">
        <v>0</v>
      </c>
      <c r="V659" s="2" t="inlineStr">
        <is>
          <t>Revlummer</t>
        </is>
      </c>
      <c r="W659">
        <f>HYPERLINK("https://klasma.github.io/Logging_1257/artfynd/A 22410-2024 artfynd.xlsx", "A 22410-2024")</f>
        <v/>
      </c>
      <c r="X659">
        <f>HYPERLINK("https://klasma.github.io/Logging_1257/kartor/A 22410-2024 karta.png", "A 22410-2024")</f>
        <v/>
      </c>
      <c r="Y659">
        <f>HYPERLINK("https://klasma.github.io/Logging_1257/kartor_geotiff/A 22410-2024 georefererad karta.tif", "A 22410-2024")</f>
        <v/>
      </c>
      <c r="AA659">
        <f>HYPERLINK("https://klasma.github.io/Logging_1257/klagomål/A 22410-2024 FSC-klagomål.docx", "A 22410-2024")</f>
        <v/>
      </c>
      <c r="AB659">
        <f>HYPERLINK("https://klasma.github.io/Logging_1257/klagomålsmail/A 22410-2024 FSC-klagomål mail.docx", "A 22410-2024")</f>
        <v/>
      </c>
      <c r="AC659">
        <f>HYPERLINK("https://klasma.github.io/Logging_1257/tillsyn/A 22410-2024 tillsynsbegäran.docx", "A 22410-2024")</f>
        <v/>
      </c>
      <c r="AD659">
        <f>HYPERLINK("https://klasma.github.io/Logging_1257/tillsynsmail/A 22410-2024 tillsynsbegäran mail.docx", "A 22410-2024")</f>
        <v/>
      </c>
    </row>
    <row r="660" ht="15" customHeight="1">
      <c r="A660" t="inlineStr">
        <is>
          <t>A 11672-2024</t>
        </is>
      </c>
      <c r="B660" t="inlineStr">
        <is>
          <t>avverkningsanmälan</t>
        </is>
      </c>
      <c r="C660" t="inlineStr">
        <is>
          <t>Föryngringsavverkning</t>
        </is>
      </c>
      <c r="D660" s="1" t="n">
        <v>45373</v>
      </c>
      <c r="E660" s="1" t="n">
        <v>46312</v>
      </c>
      <c r="F660" t="inlineStr">
        <is>
          <t>SKÅNE LÄN</t>
        </is>
      </c>
      <c r="G660" t="inlineStr">
        <is>
          <t>SVALÖV</t>
        </is>
      </c>
      <c r="I660" t="n">
        <v>13.9</v>
      </c>
      <c r="J660" t="n">
        <v>0</v>
      </c>
      <c r="K660" t="n">
        <v>0</v>
      </c>
      <c r="L660" t="n">
        <v>1</v>
      </c>
      <c r="M660" t="n">
        <v>0</v>
      </c>
      <c r="N660" t="n">
        <v>0</v>
      </c>
      <c r="O660" t="n">
        <v>0</v>
      </c>
      <c r="P660" t="n">
        <v>0</v>
      </c>
      <c r="Q660" t="n">
        <v>1</v>
      </c>
      <c r="R660" t="n">
        <v>0</v>
      </c>
      <c r="S660" t="n">
        <v>1</v>
      </c>
      <c r="T660" t="n">
        <v>1</v>
      </c>
      <c r="U660" t="n">
        <v>1</v>
      </c>
      <c r="V660" s="2" t="inlineStr">
        <is>
          <t>Skogsveronika</t>
        </is>
      </c>
      <c r="W660">
        <f>HYPERLINK("https://klasma.github.io/Logging_1214/artfynd/A 11672-2024 artfynd.xlsx", "A 11672-2024")</f>
        <v/>
      </c>
      <c r="X660">
        <f>HYPERLINK("https://klasma.github.io/Logging_1214/kartor/A 11672-2024 karta.png", "A 11672-2024")</f>
        <v/>
      </c>
      <c r="Y660">
        <f>HYPERLINK("https://klasma.github.io/Logging_1214/kartor_geotiff/A 11672-2024 georefererad karta.tif", "A 11672-2024")</f>
        <v/>
      </c>
      <c r="AA660">
        <f>HYPERLINK("https://klasma.github.io/Logging_1214/klagomål/A 11672-2024 FSC-klagomål.docx", "A 11672-2024")</f>
        <v/>
      </c>
      <c r="AB660">
        <f>HYPERLINK("https://klasma.github.io/Logging_1214/klagomålsmail/A 11672-2024 FSC-klagomål mail.docx", "A 11672-2024")</f>
        <v/>
      </c>
      <c r="AC660">
        <f>HYPERLINK("https://klasma.github.io/Logging_1214/tillsyn/A 11672-2024 tillsynsbegäran.docx", "A 11672-2024")</f>
        <v/>
      </c>
      <c r="AD660">
        <f>HYPERLINK("https://klasma.github.io/Logging_1214/tillsynsmail/A 11672-2024 tillsynsbegäran mail.docx", "A 11672-2024")</f>
        <v/>
      </c>
    </row>
    <row r="661" ht="15" customHeight="1">
      <c r="A661" t="inlineStr">
        <is>
          <t>A 71055-2021</t>
        </is>
      </c>
      <c r="B661" t="inlineStr">
        <is>
          <t>avverkningsanmälan</t>
        </is>
      </c>
      <c r="C661" t="inlineStr">
        <is>
          <t>Föryngringsavverkning</t>
        </is>
      </c>
      <c r="D661" s="1" t="n">
        <v>44538</v>
      </c>
      <c r="E661" s="1" t="n">
        <v>46312</v>
      </c>
      <c r="F661" t="inlineStr">
        <is>
          <t>SKÅNE LÄN</t>
        </is>
      </c>
      <c r="G661" t="inlineStr">
        <is>
          <t>SJÖBO</t>
        </is>
      </c>
      <c r="I661" t="n">
        <v>7.2</v>
      </c>
      <c r="J661" t="n">
        <v>0</v>
      </c>
      <c r="K661" t="n">
        <v>0</v>
      </c>
      <c r="L661" t="n">
        <v>0</v>
      </c>
      <c r="M661" t="n">
        <v>0</v>
      </c>
      <c r="N661" t="n">
        <v>1</v>
      </c>
      <c r="O661" t="n">
        <v>0</v>
      </c>
      <c r="P661" t="n">
        <v>0</v>
      </c>
      <c r="Q661" t="n">
        <v>1</v>
      </c>
      <c r="R661" t="n">
        <v>1</v>
      </c>
      <c r="S661" t="n">
        <v>1</v>
      </c>
      <c r="T661" t="n">
        <v>2</v>
      </c>
      <c r="U661" t="n">
        <v>2</v>
      </c>
      <c r="V661" s="2" t="inlineStr">
        <is>
          <t>Skogsalm</t>
        </is>
      </c>
      <c r="W661">
        <f>HYPERLINK("https://klasma.github.io/Logging_1265/artfynd/A 71055-2021 artfynd.xlsx", "A 71055-2021")</f>
        <v/>
      </c>
      <c r="X661">
        <f>HYPERLINK("https://klasma.github.io/Logging_1265/kartor/A 71055-2021 karta.png", "A 71055-2021")</f>
        <v/>
      </c>
      <c r="Y661">
        <f>HYPERLINK("https://klasma.github.io/Logging_1265/kartor_geotiff/A 71055-2021 georefererad karta.tif", "A 71055-2021")</f>
        <v/>
      </c>
      <c r="AA661">
        <f>HYPERLINK("https://klasma.github.io/Logging_1265/klagomål/A 71055-2021 FSC-klagomål.docx", "A 71055-2021")</f>
        <v/>
      </c>
      <c r="AB661">
        <f>HYPERLINK("https://klasma.github.io/Logging_1265/klagomålsmail/A 71055-2021 FSC-klagomål mail.docx", "A 71055-2021")</f>
        <v/>
      </c>
      <c r="AC661">
        <f>HYPERLINK("https://klasma.github.io/Logging_1265/tillsyn/A 71055-2021 tillsynsbegäran.docx", "A 71055-2021")</f>
        <v/>
      </c>
      <c r="AD661">
        <f>HYPERLINK("https://klasma.github.io/Logging_1265/tillsynsmail/A 71055-2021 tillsynsbegäran mail.docx", "A 71055-2021")</f>
        <v/>
      </c>
    </row>
    <row r="662" ht="15" customHeight="1">
      <c r="A662" t="inlineStr">
        <is>
          <t>A 59610-2023</t>
        </is>
      </c>
      <c r="B662" t="inlineStr">
        <is>
          <t>avverkningsanmälan</t>
        </is>
      </c>
      <c r="C662" t="inlineStr">
        <is>
          <t>Föryngringsavverkning</t>
        </is>
      </c>
      <c r="D662" s="1" t="n">
        <v>45253</v>
      </c>
      <c r="E662" s="1" t="n">
        <v>46312</v>
      </c>
      <c r="F662" t="inlineStr">
        <is>
          <t>SKÅNE LÄN</t>
        </is>
      </c>
      <c r="G662" t="inlineStr">
        <is>
          <t>SJÖBO</t>
        </is>
      </c>
      <c r="I662" t="n">
        <v>2.4</v>
      </c>
      <c r="J662" t="n">
        <v>1</v>
      </c>
      <c r="K662" t="n">
        <v>1</v>
      </c>
      <c r="L662" t="n">
        <v>0</v>
      </c>
      <c r="M662" t="n">
        <v>0</v>
      </c>
      <c r="N662" t="n">
        <v>0</v>
      </c>
      <c r="O662" t="n">
        <v>0</v>
      </c>
      <c r="P662" t="n">
        <v>0</v>
      </c>
      <c r="Q662" t="n">
        <v>0</v>
      </c>
      <c r="R662" t="n">
        <v>0</v>
      </c>
      <c r="S662" t="n">
        <v>1</v>
      </c>
      <c r="T662" t="n">
        <v>4</v>
      </c>
      <c r="U662" t="n">
        <v>0</v>
      </c>
      <c r="V662" s="2" t="inlineStr">
        <is>
          <t>Ekoxe</t>
        </is>
      </c>
      <c r="W662">
        <f>HYPERLINK("https://klasma.github.io/Logging_1265/artfynd/A 59610-2023 artfynd.xlsx", "A 59610-2023")</f>
        <v/>
      </c>
      <c r="X662">
        <f>HYPERLINK("https://klasma.github.io/Logging_1265/kartor/A 59610-2023 karta.png", "A 59610-2023")</f>
        <v/>
      </c>
      <c r="Y662">
        <f>HYPERLINK("https://klasma.github.io/Logging_1265/kartor_geotiff/A 59610-2023 georefererad karta.tif", "A 59610-2023")</f>
        <v/>
      </c>
      <c r="AA662">
        <f>HYPERLINK("https://klasma.github.io/Logging_1265/klagomål/A 59610-2023 FSC-klagomål.docx", "A 59610-2023")</f>
        <v/>
      </c>
      <c r="AB662">
        <f>HYPERLINK("https://klasma.github.io/Logging_1265/klagomålsmail/A 59610-2023 FSC-klagomål mail.docx", "A 59610-2023")</f>
        <v/>
      </c>
      <c r="AC662">
        <f>HYPERLINK("https://klasma.github.io/Logging_1265/tillsyn/A 59610-2023 tillsynsbegäran.docx", "A 59610-2023")</f>
        <v/>
      </c>
      <c r="AD662">
        <f>HYPERLINK("https://klasma.github.io/Logging_1265/tillsynsmail/A 59610-2023 tillsynsbegäran mail.docx", "A 59610-2023")</f>
        <v/>
      </c>
    </row>
    <row r="663" ht="15" customHeight="1">
      <c r="A663" t="inlineStr">
        <is>
          <t>A 5468-2024</t>
        </is>
      </c>
      <c r="B663" t="inlineStr">
        <is>
          <t>avverkningsanmälan</t>
        </is>
      </c>
      <c r="C663" t="inlineStr">
        <is>
          <t>Föryngringsavverkning</t>
        </is>
      </c>
      <c r="D663" s="1" t="n">
        <v>45332</v>
      </c>
      <c r="E663" s="1" t="n">
        <v>46312</v>
      </c>
      <c r="F663" t="inlineStr">
        <is>
          <t>SKÅNE LÄN</t>
        </is>
      </c>
      <c r="G663" t="inlineStr">
        <is>
          <t>ÖSTRA GÖINGE</t>
        </is>
      </c>
      <c r="I663" t="n">
        <v>3.2</v>
      </c>
      <c r="J663" t="n">
        <v>0</v>
      </c>
      <c r="K663" t="n">
        <v>0</v>
      </c>
      <c r="L663" t="n">
        <v>0</v>
      </c>
      <c r="M663" t="n">
        <v>1</v>
      </c>
      <c r="N663" t="n">
        <v>0</v>
      </c>
      <c r="O663" t="n">
        <v>0</v>
      </c>
      <c r="P663" t="n">
        <v>0</v>
      </c>
      <c r="Q663" t="n">
        <v>1</v>
      </c>
      <c r="R663" t="n">
        <v>1</v>
      </c>
      <c r="S663" t="n">
        <v>1</v>
      </c>
      <c r="T663" t="n">
        <v>1</v>
      </c>
      <c r="U663" t="n">
        <v>0</v>
      </c>
      <c r="V663" s="2" t="inlineStr">
        <is>
          <t>Slåttergubbe</t>
        </is>
      </c>
      <c r="W663">
        <f>HYPERLINK("https://klasma.github.io/Logging_1256/artfynd/A 5468-2024 artfynd.xlsx", "A 5468-2024")</f>
        <v/>
      </c>
      <c r="X663">
        <f>HYPERLINK("https://klasma.github.io/Logging_1256/kartor/A 5468-2024 karta.png", "A 5468-2024")</f>
        <v/>
      </c>
      <c r="Y663">
        <f>HYPERLINK("https://klasma.github.io/Logging_1256/kartor_geotiff/A 5468-2024 georefererad karta.tif", "A 5468-2024")</f>
        <v/>
      </c>
      <c r="AA663">
        <f>HYPERLINK("https://klasma.github.io/Logging_1256/klagomål/A 5468-2024 FSC-klagomål.docx", "A 5468-2024")</f>
        <v/>
      </c>
      <c r="AB663">
        <f>HYPERLINK("https://klasma.github.io/Logging_1256/klagomålsmail/A 5468-2024 FSC-klagomål mail.docx", "A 5468-2024")</f>
        <v/>
      </c>
      <c r="AC663">
        <f>HYPERLINK("https://klasma.github.io/Logging_1256/tillsyn/A 5468-2024 tillsynsbegäran.docx", "A 5468-2024")</f>
        <v/>
      </c>
      <c r="AD663">
        <f>HYPERLINK("https://klasma.github.io/Logging_1256/tillsynsmail/A 5468-2024 tillsynsbegäran mail.docx", "A 5468-2024")</f>
        <v/>
      </c>
    </row>
    <row r="664" ht="15" customHeight="1">
      <c r="A664" t="inlineStr">
        <is>
          <t>A 42387-2022</t>
        </is>
      </c>
      <c r="B664" t="inlineStr">
        <is>
          <t>avverkningsanmälan</t>
        </is>
      </c>
      <c r="C664" t="inlineStr">
        <is>
          <t>Föryngringsavverkning</t>
        </is>
      </c>
      <c r="D664" s="1" t="n">
        <v>44830</v>
      </c>
      <c r="E664" s="1" t="n">
        <v>46312</v>
      </c>
      <c r="F664" t="inlineStr">
        <is>
          <t>SKÅNE LÄN</t>
        </is>
      </c>
      <c r="G664" t="inlineStr">
        <is>
          <t>TOMELILLA</t>
        </is>
      </c>
      <c r="I664" t="n">
        <v>1.1</v>
      </c>
      <c r="J664" t="n">
        <v>0</v>
      </c>
      <c r="K664" t="n">
        <v>0</v>
      </c>
      <c r="L664" t="n">
        <v>1</v>
      </c>
      <c r="M664" t="n">
        <v>0</v>
      </c>
      <c r="N664" t="n">
        <v>0</v>
      </c>
      <c r="O664" t="n">
        <v>0</v>
      </c>
      <c r="P664" t="n">
        <v>0</v>
      </c>
      <c r="Q664" t="n">
        <v>1</v>
      </c>
      <c r="R664" t="n">
        <v>0</v>
      </c>
      <c r="S664" t="n">
        <v>1</v>
      </c>
      <c r="T664" t="n">
        <v>1</v>
      </c>
      <c r="U664" t="n">
        <v>0</v>
      </c>
      <c r="V664" s="2" t="inlineStr">
        <is>
          <t>Gullpudra</t>
        </is>
      </c>
      <c r="W664">
        <f>HYPERLINK("https://klasma.github.io/Logging_1270/artfynd/A 42387-2022 artfynd.xlsx", "A 42387-2022")</f>
        <v/>
      </c>
      <c r="X664">
        <f>HYPERLINK("https://klasma.github.io/Logging_1270/kartor/A 42387-2022 karta.png", "A 42387-2022")</f>
        <v/>
      </c>
      <c r="Y664">
        <f>HYPERLINK("https://klasma.github.io/Logging_1270/kartor_geotiff/A 42387-2022 georefererad karta.tif", "A 42387-2022")</f>
        <v/>
      </c>
      <c r="AA664">
        <f>HYPERLINK("https://klasma.github.io/Logging_1270/klagomål/A 42387-2022 FSC-klagomål.docx", "A 42387-2022")</f>
        <v/>
      </c>
      <c r="AB664">
        <f>HYPERLINK("https://klasma.github.io/Logging_1270/klagomålsmail/A 42387-2022 FSC-klagomål mail.docx", "A 42387-2022")</f>
        <v/>
      </c>
      <c r="AC664">
        <f>HYPERLINK("https://klasma.github.io/Logging_1270/tillsyn/A 42387-2022 tillsynsbegäran.docx", "A 42387-2022")</f>
        <v/>
      </c>
      <c r="AD664">
        <f>HYPERLINK("https://klasma.github.io/Logging_1270/tillsynsmail/A 42387-2022 tillsynsbegäran mail.docx", "A 42387-2022")</f>
        <v/>
      </c>
    </row>
    <row r="665" ht="15" customHeight="1">
      <c r="A665" t="inlineStr">
        <is>
          <t>A 58003-2023</t>
        </is>
      </c>
      <c r="B665" t="inlineStr">
        <is>
          <t>avverkningsanmälan</t>
        </is>
      </c>
      <c r="C665" t="inlineStr">
        <is>
          <t>Föryngringsavverkning</t>
        </is>
      </c>
      <c r="D665" s="1" t="n">
        <v>45247</v>
      </c>
      <c r="E665" s="1" t="n">
        <v>46312</v>
      </c>
      <c r="F665" t="inlineStr">
        <is>
          <t>SKÅNE LÄN</t>
        </is>
      </c>
      <c r="G665" t="inlineStr">
        <is>
          <t>KRISTIANSTAD</t>
        </is>
      </c>
      <c r="I665" t="n">
        <v>2.6</v>
      </c>
      <c r="J665" t="n">
        <v>0</v>
      </c>
      <c r="K665" t="n">
        <v>1</v>
      </c>
      <c r="L665" t="n">
        <v>0</v>
      </c>
      <c r="M665" t="n">
        <v>0</v>
      </c>
      <c r="N665" t="n">
        <v>0</v>
      </c>
      <c r="O665" t="n">
        <v>0</v>
      </c>
      <c r="P665" t="n">
        <v>0</v>
      </c>
      <c r="Q665" t="n">
        <v>0</v>
      </c>
      <c r="R665" t="n">
        <v>0</v>
      </c>
      <c r="S665" t="n">
        <v>1</v>
      </c>
      <c r="T665" t="n">
        <v>1</v>
      </c>
      <c r="U665" t="n">
        <v>1</v>
      </c>
      <c r="V665" s="2" t="inlineStr">
        <is>
          <t>Ekskinn</t>
        </is>
      </c>
      <c r="W665">
        <f>HYPERLINK("https://klasma.github.io/Logging_1290/artfynd/A 58003-2023 artfynd.xlsx", "A 58003-2023")</f>
        <v/>
      </c>
      <c r="X665">
        <f>HYPERLINK("https://klasma.github.io/Logging_1290/kartor/A 58003-2023 karta.png", "A 58003-2023")</f>
        <v/>
      </c>
      <c r="Y665">
        <f>HYPERLINK("https://klasma.github.io/Logging_1290/kartor_geotiff/A 58003-2023 georefererad karta.tif", "A 58003-2023")</f>
        <v/>
      </c>
      <c r="AA665">
        <f>HYPERLINK("https://klasma.github.io/Logging_1290/klagomål/A 58003-2023 FSC-klagomål.docx", "A 58003-2023")</f>
        <v/>
      </c>
      <c r="AB665">
        <f>HYPERLINK("https://klasma.github.io/Logging_1290/klagomålsmail/A 58003-2023 FSC-klagomål mail.docx", "A 58003-2023")</f>
        <v/>
      </c>
      <c r="AC665">
        <f>HYPERLINK("https://klasma.github.io/Logging_1290/tillsyn/A 58003-2023 tillsynsbegäran.docx", "A 58003-2023")</f>
        <v/>
      </c>
      <c r="AD665">
        <f>HYPERLINK("https://klasma.github.io/Logging_1290/tillsynsmail/A 58003-2023 tillsynsbegäran mail.docx", "A 58003-2023")</f>
        <v/>
      </c>
    </row>
    <row r="666" ht="15" customHeight="1">
      <c r="A666" t="inlineStr">
        <is>
          <t>A 53956-2023</t>
        </is>
      </c>
      <c r="B666" t="inlineStr">
        <is>
          <t>avverkningsanmälan</t>
        </is>
      </c>
      <c r="C666" t="inlineStr">
        <is>
          <t>Föryngringsavverkning</t>
        </is>
      </c>
      <c r="D666" s="1" t="n">
        <v>45231</v>
      </c>
      <c r="E666" s="1" t="n">
        <v>46312</v>
      </c>
      <c r="F666" t="inlineStr">
        <is>
          <t>SKÅNE LÄN</t>
        </is>
      </c>
      <c r="G666" t="inlineStr">
        <is>
          <t>HÖÖR</t>
        </is>
      </c>
      <c r="I666" t="n">
        <v>0.4</v>
      </c>
      <c r="J666" t="n">
        <v>0</v>
      </c>
      <c r="K666" t="n">
        <v>0</v>
      </c>
      <c r="L666" t="n">
        <v>0</v>
      </c>
      <c r="M666" t="n">
        <v>0</v>
      </c>
      <c r="N666" t="n">
        <v>0</v>
      </c>
      <c r="O666" t="n">
        <v>0</v>
      </c>
      <c r="P666" t="n">
        <v>0</v>
      </c>
      <c r="Q666" t="n">
        <v>0</v>
      </c>
      <c r="R666" t="n">
        <v>0</v>
      </c>
      <c r="S666" t="n">
        <v>1</v>
      </c>
      <c r="T666" t="n">
        <v>1</v>
      </c>
      <c r="U666" t="n">
        <v>1</v>
      </c>
      <c r="V666" s="2" t="inlineStr">
        <is>
          <t>Ängskovall</t>
        </is>
      </c>
      <c r="W666">
        <f>HYPERLINK("https://klasma.github.io/Logging_1267/artfynd/A 53956-2023 artfynd.xlsx", "A 53956-2023")</f>
        <v/>
      </c>
      <c r="X666">
        <f>HYPERLINK("https://klasma.github.io/Logging_1267/kartor/A 53956-2023 karta.png", "A 53956-2023")</f>
        <v/>
      </c>
      <c r="Y666">
        <f>HYPERLINK("https://klasma.github.io/Logging_1267/kartor_geotiff/A 53956-2023 georefererad karta.tif", "A 53956-2023")</f>
        <v/>
      </c>
      <c r="AA666">
        <f>HYPERLINK("https://klasma.github.io/Logging_1267/klagomål/A 53956-2023 FSC-klagomål.docx", "A 53956-2023")</f>
        <v/>
      </c>
      <c r="AB666">
        <f>HYPERLINK("https://klasma.github.io/Logging_1267/klagomålsmail/A 53956-2023 FSC-klagomål mail.docx", "A 53956-2023")</f>
        <v/>
      </c>
      <c r="AC666">
        <f>HYPERLINK("https://klasma.github.io/Logging_1267/tillsyn/A 53956-2023 tillsynsbegäran.docx", "A 53956-2023")</f>
        <v/>
      </c>
      <c r="AD666">
        <f>HYPERLINK("https://klasma.github.io/Logging_1267/tillsynsmail/A 53956-2023 tillsynsbegäran mail.docx", "A 53956-2023")</f>
        <v/>
      </c>
    </row>
    <row r="667" ht="15" customHeight="1">
      <c r="A667" t="inlineStr">
        <is>
          <t>A 38846-2026</t>
        </is>
      </c>
      <c r="B667" t="inlineStr">
        <is>
          <t>avverkningsanmälan</t>
        </is>
      </c>
      <c r="C667" t="inlineStr">
        <is>
          <t>Föryngringsavverkning</t>
        </is>
      </c>
      <c r="D667" s="1" t="n">
        <v>46286</v>
      </c>
      <c r="E667" s="1" t="n">
        <v>46312</v>
      </c>
      <c r="F667" t="inlineStr">
        <is>
          <t>SKÅNE LÄN</t>
        </is>
      </c>
      <c r="G667" t="inlineStr">
        <is>
          <t>SVEDALA</t>
        </is>
      </c>
      <c r="I667" t="n">
        <v>0.9</v>
      </c>
      <c r="J667" t="n">
        <v>1</v>
      </c>
      <c r="K667" t="n">
        <v>0</v>
      </c>
      <c r="L667" t="n">
        <v>0</v>
      </c>
      <c r="M667" t="n">
        <v>1</v>
      </c>
      <c r="N667" t="n">
        <v>0</v>
      </c>
      <c r="O667" t="n">
        <v>0</v>
      </c>
      <c r="P667" t="n">
        <v>0</v>
      </c>
      <c r="Q667" t="n">
        <v>1</v>
      </c>
      <c r="R667" t="n">
        <v>1</v>
      </c>
      <c r="S667" t="n">
        <v>1</v>
      </c>
      <c r="T667" t="n">
        <v>1</v>
      </c>
      <c r="U667" t="n">
        <v>0</v>
      </c>
      <c r="V667" s="2" t="inlineStr">
        <is>
          <t>Buskvicker</t>
        </is>
      </c>
      <c r="W667">
        <f>HYPERLINK("https://klasma.github.io/Logging_1263/artfynd/A 38846-2026 artfynd.xlsx", "A 38846-2026")</f>
        <v/>
      </c>
      <c r="X667">
        <f>HYPERLINK("https://klasma.github.io/Logging_1263/kartor/A 38846-2026 karta.png", "A 38846-2026")</f>
        <v/>
      </c>
      <c r="Y667">
        <f>HYPERLINK("https://klasma.github.io/Logging_1263/kartor_geotiff/A 38846-2026 georefererad karta.tif", "A 38846-2026")</f>
        <v/>
      </c>
      <c r="AA667">
        <f>HYPERLINK("https://klasma.github.io/Logging_1263/klagomål/A 38846-2026 FSC-klagomål.docx", "A 38846-2026")</f>
        <v/>
      </c>
      <c r="AB667">
        <f>HYPERLINK("https://klasma.github.io/Logging_1263/klagomålsmail/A 38846-2026 FSC-klagomål mail.docx", "A 38846-2026")</f>
        <v/>
      </c>
      <c r="AC667">
        <f>HYPERLINK("https://klasma.github.io/Logging_1263/tillsyn/A 38846-2026 tillsynsbegäran.docx", "A 38846-2026")</f>
        <v/>
      </c>
      <c r="AD667">
        <f>HYPERLINK("https://klasma.github.io/Logging_1263/tillsynsmail/A 38846-2026 tillsynsbegäran mail.docx", "A 38846-2026")</f>
        <v/>
      </c>
    </row>
    <row r="668" ht="15" customHeight="1">
      <c r="A668" t="inlineStr">
        <is>
          <t>A 32949-2026</t>
        </is>
      </c>
      <c r="B668" t="inlineStr">
        <is>
          <t>avverkningsanmälan</t>
        </is>
      </c>
      <c r="C668" t="inlineStr">
        <is>
          <t>Föryngringsavverkning</t>
        </is>
      </c>
      <c r="D668" s="1" t="n">
        <v>46244</v>
      </c>
      <c r="E668" s="1" t="n">
        <v>46312</v>
      </c>
      <c r="F668" t="inlineStr">
        <is>
          <t>SKÅNE LÄN</t>
        </is>
      </c>
      <c r="G668" t="inlineStr">
        <is>
          <t>TOMELILLA</t>
        </is>
      </c>
      <c r="I668" t="n">
        <v>4.8</v>
      </c>
      <c r="J668" t="n">
        <v>1</v>
      </c>
      <c r="K668" t="n">
        <v>0</v>
      </c>
      <c r="L668" t="n">
        <v>0</v>
      </c>
      <c r="M668" t="n">
        <v>0</v>
      </c>
      <c r="N668" t="n">
        <v>0</v>
      </c>
      <c r="O668" t="n">
        <v>0</v>
      </c>
      <c r="P668" t="n">
        <v>0</v>
      </c>
      <c r="Q668" t="n">
        <v>0</v>
      </c>
      <c r="R668" t="n">
        <v>0</v>
      </c>
      <c r="S668" t="n">
        <v>1</v>
      </c>
      <c r="T668" t="n">
        <v>1</v>
      </c>
      <c r="U668" t="n">
        <v>0</v>
      </c>
      <c r="V668" s="2" t="inlineStr">
        <is>
          <t>Trana</t>
        </is>
      </c>
      <c r="W668">
        <f>HYPERLINK("https://klasma.github.io/Logging_1270/artfynd/A 32949-2026 artfynd.xlsx", "A 32949-2026")</f>
        <v/>
      </c>
      <c r="X668">
        <f>HYPERLINK("https://klasma.github.io/Logging_1270/kartor/A 32949-2026 karta.png", "A 32949-2026")</f>
        <v/>
      </c>
      <c r="Y668">
        <f>HYPERLINK("https://klasma.github.io/Logging_1270/kartor_geotiff/A 32949-2026 georefererad karta.tif", "A 32949-2026")</f>
        <v/>
      </c>
      <c r="AA668">
        <f>HYPERLINK("https://klasma.github.io/Logging_1270/klagomål/A 32949-2026 FSC-klagomål.docx", "A 32949-2026")</f>
        <v/>
      </c>
      <c r="AB668">
        <f>HYPERLINK("https://klasma.github.io/Logging_1270/klagomålsmail/A 32949-2026 FSC-klagomål mail.docx", "A 32949-2026")</f>
        <v/>
      </c>
      <c r="AC668">
        <f>HYPERLINK("https://klasma.github.io/Logging_1270/tillsyn/A 32949-2026 tillsynsbegäran.docx", "A 32949-2026")</f>
        <v/>
      </c>
      <c r="AD668">
        <f>HYPERLINK("https://klasma.github.io/Logging_1270/tillsynsmail/A 32949-2026 tillsynsbegäran mail.docx", "A 32949-2026")</f>
        <v/>
      </c>
      <c r="AE668">
        <f>HYPERLINK("https://klasma.github.io/Logging_1270/fåglar/A 32949-2026 prioriterade fågelarter.docx", "A 32949-2026")</f>
        <v/>
      </c>
    </row>
    <row r="669" ht="15" customHeight="1">
      <c r="A669" t="inlineStr">
        <is>
          <t>A 39238-2026</t>
        </is>
      </c>
      <c r="B669" t="inlineStr">
        <is>
          <t>avverkningsanmälan</t>
        </is>
      </c>
      <c r="C669" t="inlineStr">
        <is>
          <t>Föryngringsavverkning</t>
        </is>
      </c>
      <c r="D669" s="1" t="n">
        <v>46287</v>
      </c>
      <c r="E669" s="1" t="n">
        <v>46312</v>
      </c>
      <c r="F669" t="inlineStr">
        <is>
          <t>SKÅNE LÄN</t>
        </is>
      </c>
      <c r="G669" t="inlineStr">
        <is>
          <t>KRISTIANSTAD</t>
        </is>
      </c>
      <c r="H669" t="inlineStr">
        <is>
          <t>Sveaskog</t>
        </is>
      </c>
      <c r="I669" t="n">
        <v>4.5</v>
      </c>
      <c r="J669" t="n">
        <v>1</v>
      </c>
      <c r="K669" t="n">
        <v>0</v>
      </c>
      <c r="L669" t="n">
        <v>0</v>
      </c>
      <c r="M669" t="n">
        <v>0</v>
      </c>
      <c r="N669" t="n">
        <v>0</v>
      </c>
      <c r="O669" t="n">
        <v>0</v>
      </c>
      <c r="P669" t="n">
        <v>0</v>
      </c>
      <c r="Q669" t="n">
        <v>0</v>
      </c>
      <c r="R669" t="n">
        <v>0</v>
      </c>
      <c r="S669" t="n">
        <v>1</v>
      </c>
      <c r="T669" t="n">
        <v>1</v>
      </c>
      <c r="U669" t="n">
        <v>0</v>
      </c>
      <c r="V669" s="2" t="inlineStr">
        <is>
          <t>Grönvit nattviol</t>
        </is>
      </c>
      <c r="W669">
        <f>HYPERLINK("https://klasma.github.io/Logging_1290/artfynd/A 39238-2026 artfynd.xlsx", "A 39238-2026")</f>
        <v/>
      </c>
      <c r="X669">
        <f>HYPERLINK("https://klasma.github.io/Logging_1290/kartor/A 39238-2026 karta.png", "A 39238-2026")</f>
        <v/>
      </c>
      <c r="Y669">
        <f>HYPERLINK("https://klasma.github.io/Logging_1290/kartor_geotiff/A 39238-2026 georefererad karta.tif", "A 39238-2026")</f>
        <v/>
      </c>
      <c r="AA669">
        <f>HYPERLINK("https://klasma.github.io/Logging_1290/klagomål/A 39238-2026 FSC-klagomål.docx", "A 39238-2026")</f>
        <v/>
      </c>
      <c r="AB669">
        <f>HYPERLINK("https://klasma.github.io/Logging_1290/klagomålsmail/A 39238-2026 FSC-klagomål mail.docx", "A 39238-2026")</f>
        <v/>
      </c>
      <c r="AC669">
        <f>HYPERLINK("https://klasma.github.io/Logging_1290/tillsyn/A 39238-2026 tillsynsbegäran.docx", "A 39238-2026")</f>
        <v/>
      </c>
      <c r="AD669">
        <f>HYPERLINK("https://klasma.github.io/Logging_1290/tillsynsmail/A 39238-2026 tillsynsbegäran mail.docx", "A 39238-2026")</f>
        <v/>
      </c>
    </row>
    <row r="670" ht="15" customHeight="1">
      <c r="A670" t="inlineStr">
        <is>
          <t>A 58891-2022</t>
        </is>
      </c>
      <c r="B670" t="inlineStr">
        <is>
          <t>avverkningsanmälan</t>
        </is>
      </c>
      <c r="C670" t="inlineStr">
        <is>
          <t>Föryngringsavverkning</t>
        </is>
      </c>
      <c r="D670" s="1" t="n">
        <v>44896</v>
      </c>
      <c r="E670" s="1" t="n">
        <v>46312</v>
      </c>
      <c r="F670" t="inlineStr">
        <is>
          <t>SKÅNE LÄN</t>
        </is>
      </c>
      <c r="G670" t="inlineStr">
        <is>
          <t>HÄSSLEHOLM</t>
        </is>
      </c>
      <c r="H670" t="inlineStr">
        <is>
          <t>Kyrkan</t>
        </is>
      </c>
      <c r="I670" t="n">
        <v>1.6</v>
      </c>
      <c r="J670" t="n">
        <v>1</v>
      </c>
      <c r="K670" t="n">
        <v>0</v>
      </c>
      <c r="L670" t="n">
        <v>0</v>
      </c>
      <c r="M670" t="n">
        <v>0</v>
      </c>
      <c r="N670" t="n">
        <v>0</v>
      </c>
      <c r="O670" t="n">
        <v>0</v>
      </c>
      <c r="P670" t="n">
        <v>0</v>
      </c>
      <c r="Q670" t="n">
        <v>0</v>
      </c>
      <c r="R670" t="n">
        <v>0</v>
      </c>
      <c r="S670" t="n">
        <v>1</v>
      </c>
      <c r="T670" t="n">
        <v>1</v>
      </c>
      <c r="U670" t="n">
        <v>0</v>
      </c>
      <c r="V670" s="2" t="inlineStr">
        <is>
          <t>Revlummer</t>
        </is>
      </c>
      <c r="W670">
        <f>HYPERLINK("https://klasma.github.io/Logging_1293/artfynd/A 58891-2022 artfynd.xlsx", "A 58891-2022")</f>
        <v/>
      </c>
      <c r="X670">
        <f>HYPERLINK("https://klasma.github.io/Logging_1293/kartor/A 58891-2022 karta.png", "A 58891-2022")</f>
        <v/>
      </c>
      <c r="Y670">
        <f>HYPERLINK("https://klasma.github.io/Logging_1293/kartor_geotiff/A 58891-2022 georefererad karta.tif", "A 58891-2022")</f>
        <v/>
      </c>
      <c r="AA670">
        <f>HYPERLINK("https://klasma.github.io/Logging_1293/klagomål/A 58891-2022 FSC-klagomål.docx", "A 58891-2022")</f>
        <v/>
      </c>
      <c r="AB670">
        <f>HYPERLINK("https://klasma.github.io/Logging_1293/klagomålsmail/A 58891-2022 FSC-klagomål mail.docx", "A 58891-2022")</f>
        <v/>
      </c>
      <c r="AC670">
        <f>HYPERLINK("https://klasma.github.io/Logging_1293/tillsyn/A 58891-2022 tillsynsbegäran.docx", "A 58891-2022")</f>
        <v/>
      </c>
      <c r="AD670">
        <f>HYPERLINK("https://klasma.github.io/Logging_1293/tillsynsmail/A 58891-2022 tillsynsbegäran mail.docx", "A 58891-2022")</f>
        <v/>
      </c>
    </row>
    <row r="671" ht="15" customHeight="1">
      <c r="A671" t="inlineStr">
        <is>
          <t>A 10000-2025</t>
        </is>
      </c>
      <c r="B671" t="inlineStr">
        <is>
          <t>avverkningsanmälan</t>
        </is>
      </c>
      <c r="C671" t="inlineStr">
        <is>
          <t>Föryngringsavverkning</t>
        </is>
      </c>
      <c r="D671" s="1" t="n">
        <v>45719</v>
      </c>
      <c r="E671" s="1" t="n">
        <v>46312</v>
      </c>
      <c r="F671" t="inlineStr">
        <is>
          <t>SKÅNE LÄN</t>
        </is>
      </c>
      <c r="G671" t="inlineStr">
        <is>
          <t>KLIPPAN</t>
        </is>
      </c>
      <c r="I671" t="n">
        <v>2.6</v>
      </c>
      <c r="J671" t="n">
        <v>0</v>
      </c>
      <c r="K671" t="n">
        <v>1</v>
      </c>
      <c r="L671" t="n">
        <v>0</v>
      </c>
      <c r="M671" t="n">
        <v>0</v>
      </c>
      <c r="N671" t="n">
        <v>0</v>
      </c>
      <c r="O671" t="n">
        <v>0</v>
      </c>
      <c r="P671" t="n">
        <v>0</v>
      </c>
      <c r="Q671" t="n">
        <v>0</v>
      </c>
      <c r="R671" t="n">
        <v>0</v>
      </c>
      <c r="S671" t="n">
        <v>1</v>
      </c>
      <c r="T671" t="n">
        <v>1</v>
      </c>
      <c r="U671" t="n">
        <v>0</v>
      </c>
      <c r="V671" s="2" t="inlineStr">
        <is>
          <t>Dvärghäxört</t>
        </is>
      </c>
      <c r="W671">
        <f>HYPERLINK("https://klasma.github.io/Logging_1276/artfynd/A 10000-2025 artfynd.xlsx", "A 10000-2025")</f>
        <v/>
      </c>
      <c r="X671">
        <f>HYPERLINK("https://klasma.github.io/Logging_1276/kartor/A 10000-2025 karta.png", "A 10000-2025")</f>
        <v/>
      </c>
      <c r="Y671">
        <f>HYPERLINK("https://klasma.github.io/Logging_1276/kartor_geotiff/A 10000-2025 georefererad karta.tif", "A 10000-2025")</f>
        <v/>
      </c>
      <c r="AA671">
        <f>HYPERLINK("https://klasma.github.io/Logging_1276/klagomål/A 10000-2025 FSC-klagomål.docx", "A 10000-2025")</f>
        <v/>
      </c>
      <c r="AB671">
        <f>HYPERLINK("https://klasma.github.io/Logging_1276/klagomålsmail/A 10000-2025 FSC-klagomål mail.docx", "A 10000-2025")</f>
        <v/>
      </c>
      <c r="AC671">
        <f>HYPERLINK("https://klasma.github.io/Logging_1276/tillsyn/A 10000-2025 tillsynsbegäran.docx", "A 10000-2025")</f>
        <v/>
      </c>
      <c r="AD671">
        <f>HYPERLINK("https://klasma.github.io/Logging_1276/tillsynsmail/A 10000-2025 tillsynsbegäran mail.docx", "A 10000-2025")</f>
        <v/>
      </c>
    </row>
    <row r="672" ht="15" customHeight="1">
      <c r="A672" t="inlineStr">
        <is>
          <t>A 59677-2023</t>
        </is>
      </c>
      <c r="B672" t="inlineStr">
        <is>
          <t>avverkningsanmälan</t>
        </is>
      </c>
      <c r="C672" t="inlineStr">
        <is>
          <t>Föryngringsavverkning</t>
        </is>
      </c>
      <c r="D672" s="1" t="n">
        <v>45255</v>
      </c>
      <c r="E672" s="1" t="n">
        <v>46312</v>
      </c>
      <c r="F672" t="inlineStr">
        <is>
          <t>SKÅNE LÄN</t>
        </is>
      </c>
      <c r="G672" t="inlineStr">
        <is>
          <t>OSBY</t>
        </is>
      </c>
      <c r="I672" t="n">
        <v>2.4</v>
      </c>
      <c r="J672" t="n">
        <v>1</v>
      </c>
      <c r="K672" t="n">
        <v>0</v>
      </c>
      <c r="L672" t="n">
        <v>0</v>
      </c>
      <c r="M672" t="n">
        <v>0</v>
      </c>
      <c r="N672" t="n">
        <v>0</v>
      </c>
      <c r="O672" t="n">
        <v>0</v>
      </c>
      <c r="P672" t="n">
        <v>0</v>
      </c>
      <c r="Q672" t="n">
        <v>0</v>
      </c>
      <c r="R672" t="n">
        <v>0</v>
      </c>
      <c r="S672" t="n">
        <v>1</v>
      </c>
      <c r="T672" t="n">
        <v>1</v>
      </c>
      <c r="U672" t="n">
        <v>1</v>
      </c>
      <c r="V672" s="2" t="inlineStr">
        <is>
          <t>Grönvit nattviol</t>
        </is>
      </c>
      <c r="W672">
        <f>HYPERLINK("https://klasma.github.io/Logging_1273/artfynd/A 59677-2023 artfynd.xlsx", "A 59677-2023")</f>
        <v/>
      </c>
      <c r="X672">
        <f>HYPERLINK("https://klasma.github.io/Logging_1273/kartor/A 59677-2023 karta.png", "A 59677-2023")</f>
        <v/>
      </c>
      <c r="Y672">
        <f>HYPERLINK("https://klasma.github.io/Logging_1273/kartor_geotiff/A 59677-2023 georefererad karta.tif", "A 59677-2023")</f>
        <v/>
      </c>
      <c r="AA672">
        <f>HYPERLINK("https://klasma.github.io/Logging_1273/klagomål/A 59677-2023 FSC-klagomål.docx", "A 59677-2023")</f>
        <v/>
      </c>
      <c r="AB672">
        <f>HYPERLINK("https://klasma.github.io/Logging_1273/klagomålsmail/A 59677-2023 FSC-klagomål mail.docx", "A 59677-2023")</f>
        <v/>
      </c>
      <c r="AC672">
        <f>HYPERLINK("https://klasma.github.io/Logging_1273/tillsyn/A 59677-2023 tillsynsbegäran.docx", "A 59677-2023")</f>
        <v/>
      </c>
      <c r="AD672">
        <f>HYPERLINK("https://klasma.github.io/Logging_1273/tillsynsmail/A 59677-2023 tillsynsbegäran mail.docx", "A 59677-2023")</f>
        <v/>
      </c>
    </row>
    <row r="673" ht="15" customHeight="1">
      <c r="A673" t="inlineStr">
        <is>
          <t>A 37725-2026</t>
        </is>
      </c>
      <c r="B673" t="inlineStr">
        <is>
          <t>avverkningsanmälan</t>
        </is>
      </c>
      <c r="C673" t="inlineStr">
        <is>
          <t>Föryngringsavverkning</t>
        </is>
      </c>
      <c r="D673" s="1" t="n">
        <v>46279</v>
      </c>
      <c r="E673" s="1" t="n">
        <v>46312</v>
      </c>
      <c r="F673" t="inlineStr">
        <is>
          <t>SKÅNE LÄN</t>
        </is>
      </c>
      <c r="G673" t="inlineStr">
        <is>
          <t>KRISTIANSTAD</t>
        </is>
      </c>
      <c r="I673" t="n">
        <v>3.2</v>
      </c>
      <c r="J673" t="n">
        <v>1</v>
      </c>
      <c r="K673" t="n">
        <v>0</v>
      </c>
      <c r="L673" t="n">
        <v>0</v>
      </c>
      <c r="M673" t="n">
        <v>0</v>
      </c>
      <c r="N673" t="n">
        <v>0</v>
      </c>
      <c r="O673" t="n">
        <v>0</v>
      </c>
      <c r="P673" t="n">
        <v>0</v>
      </c>
      <c r="Q673" t="n">
        <v>0</v>
      </c>
      <c r="R673" t="n">
        <v>0</v>
      </c>
      <c r="S673" t="n">
        <v>1</v>
      </c>
      <c r="T673" t="n">
        <v>1</v>
      </c>
      <c r="U673" t="n">
        <v>0</v>
      </c>
      <c r="V673" s="2" t="inlineStr">
        <is>
          <t>Mindre flugsnappare</t>
        </is>
      </c>
      <c r="W673">
        <f>HYPERLINK("https://klasma.github.io/Logging_1290/artfynd/A 37725-2026 artfynd.xlsx", "A 37725-2026")</f>
        <v/>
      </c>
      <c r="X673">
        <f>HYPERLINK("https://klasma.github.io/Logging_1290/kartor/A 37725-2026 karta.png", "A 37725-2026")</f>
        <v/>
      </c>
      <c r="Y673">
        <f>HYPERLINK("https://klasma.github.io/Logging_1290/kartor_geotiff/A 37725-2026 georefererad karta.tif", "A 37725-2026")</f>
        <v/>
      </c>
      <c r="AA673">
        <f>HYPERLINK("https://klasma.github.io/Logging_1290/klagomål/A 37725-2026 FSC-klagomål.docx", "A 37725-2026")</f>
        <v/>
      </c>
      <c r="AB673">
        <f>HYPERLINK("https://klasma.github.io/Logging_1290/klagomålsmail/A 37725-2026 FSC-klagomål mail.docx", "A 37725-2026")</f>
        <v/>
      </c>
      <c r="AC673">
        <f>HYPERLINK("https://klasma.github.io/Logging_1290/tillsyn/A 37725-2026 tillsynsbegäran.docx", "A 37725-2026")</f>
        <v/>
      </c>
      <c r="AD673">
        <f>HYPERLINK("https://klasma.github.io/Logging_1290/tillsynsmail/A 37725-2026 tillsynsbegäran mail.docx", "A 37725-2026")</f>
        <v/>
      </c>
      <c r="AE673">
        <f>HYPERLINK("https://klasma.github.io/Logging_1290/fåglar/A 37725-2026 prioriterade fågelarter.docx", "A 37725-2026")</f>
        <v/>
      </c>
    </row>
    <row r="674" ht="15" customHeight="1">
      <c r="A674" t="inlineStr">
        <is>
          <t>A 41004-2022</t>
        </is>
      </c>
      <c r="B674" t="inlineStr">
        <is>
          <t>avverkningsanmälan</t>
        </is>
      </c>
      <c r="C674" t="inlineStr">
        <is>
          <t>Föryngringsavverkning</t>
        </is>
      </c>
      <c r="D674" s="1" t="n">
        <v>44825</v>
      </c>
      <c r="E674" s="1" t="n">
        <v>46312</v>
      </c>
      <c r="F674" t="inlineStr">
        <is>
          <t>SKÅNE LÄN</t>
        </is>
      </c>
      <c r="G674" t="inlineStr">
        <is>
          <t>KRISTIANSTAD</t>
        </is>
      </c>
      <c r="I674" t="n">
        <v>2.4</v>
      </c>
      <c r="J674" t="n">
        <v>0</v>
      </c>
      <c r="K674" t="n">
        <v>1</v>
      </c>
      <c r="L674" t="n">
        <v>0</v>
      </c>
      <c r="M674" t="n">
        <v>0</v>
      </c>
      <c r="N674" t="n">
        <v>0</v>
      </c>
      <c r="O674" t="n">
        <v>0</v>
      </c>
      <c r="P674" t="n">
        <v>0</v>
      </c>
      <c r="Q674" t="n">
        <v>0</v>
      </c>
      <c r="R674" t="n">
        <v>0</v>
      </c>
      <c r="S674" t="n">
        <v>1</v>
      </c>
      <c r="T674" t="n">
        <v>1</v>
      </c>
      <c r="U674" t="n">
        <v>0</v>
      </c>
      <c r="V674" s="2" t="inlineStr">
        <is>
          <t>Skogsbräsma</t>
        </is>
      </c>
      <c r="W674">
        <f>HYPERLINK("https://klasma.github.io/Logging_1290/artfynd/A 41004-2022 artfynd.xlsx", "A 41004-2022")</f>
        <v/>
      </c>
      <c r="X674">
        <f>HYPERLINK("https://klasma.github.io/Logging_1290/kartor/A 41004-2022 karta.png", "A 41004-2022")</f>
        <v/>
      </c>
      <c r="Y674">
        <f>HYPERLINK("https://klasma.github.io/Logging_1290/kartor_geotiff/A 41004-2022 georefererad karta.tif", "A 41004-2022")</f>
        <v/>
      </c>
      <c r="AA674">
        <f>HYPERLINK("https://klasma.github.io/Logging_1290/klagomål/A 41004-2022 FSC-klagomål.docx", "A 41004-2022")</f>
        <v/>
      </c>
      <c r="AB674">
        <f>HYPERLINK("https://klasma.github.io/Logging_1290/klagomålsmail/A 41004-2022 FSC-klagomål mail.docx", "A 41004-2022")</f>
        <v/>
      </c>
      <c r="AC674">
        <f>HYPERLINK("https://klasma.github.io/Logging_1290/tillsyn/A 41004-2022 tillsynsbegäran.docx", "A 41004-2022")</f>
        <v/>
      </c>
      <c r="AD674">
        <f>HYPERLINK("https://klasma.github.io/Logging_1290/tillsynsmail/A 41004-2022 tillsynsbegäran mail.docx", "A 41004-2022")</f>
        <v/>
      </c>
    </row>
    <row r="675" ht="15" customHeight="1">
      <c r="A675" t="inlineStr">
        <is>
          <t>A 15105-2023</t>
        </is>
      </c>
      <c r="B675" t="inlineStr">
        <is>
          <t>avverkningsanmälan</t>
        </is>
      </c>
      <c r="C675" t="inlineStr">
        <is>
          <t>Föryngringsavverkning</t>
        </is>
      </c>
      <c r="D675" s="1" t="n">
        <v>45015</v>
      </c>
      <c r="E675" s="1" t="n">
        <v>46312</v>
      </c>
      <c r="F675" t="inlineStr">
        <is>
          <t>SKÅNE LÄN</t>
        </is>
      </c>
      <c r="G675" t="inlineStr">
        <is>
          <t>KRISTIANSTAD</t>
        </is>
      </c>
      <c r="H675" t="inlineStr">
        <is>
          <t>Kyrkan</t>
        </is>
      </c>
      <c r="I675" t="n">
        <v>3.2</v>
      </c>
      <c r="J675" t="n">
        <v>0</v>
      </c>
      <c r="K675" t="n">
        <v>1</v>
      </c>
      <c r="L675" t="n">
        <v>0</v>
      </c>
      <c r="M675" t="n">
        <v>0</v>
      </c>
      <c r="N675" t="n">
        <v>0</v>
      </c>
      <c r="O675" t="n">
        <v>0</v>
      </c>
      <c r="P675" t="n">
        <v>0</v>
      </c>
      <c r="Q675" t="n">
        <v>0</v>
      </c>
      <c r="R675" t="n">
        <v>0</v>
      </c>
      <c r="S675" t="n">
        <v>1</v>
      </c>
      <c r="T675" t="n">
        <v>1</v>
      </c>
      <c r="U675" t="n">
        <v>1</v>
      </c>
      <c r="V675" s="2" t="inlineStr">
        <is>
          <t>Liten baronmossa</t>
        </is>
      </c>
      <c r="W675">
        <f>HYPERLINK("https://klasma.github.io/Logging_1290/artfynd/A 15105-2023 artfynd.xlsx", "A 15105-2023")</f>
        <v/>
      </c>
      <c r="X675">
        <f>HYPERLINK("https://klasma.github.io/Logging_1290/kartor/A 15105-2023 karta.png", "A 15105-2023")</f>
        <v/>
      </c>
      <c r="Y675">
        <f>HYPERLINK("https://klasma.github.io/Logging_1290/kartor_geotiff/A 15105-2023 georefererad karta.tif", "A 15105-2023")</f>
        <v/>
      </c>
      <c r="AA675">
        <f>HYPERLINK("https://klasma.github.io/Logging_1290/klagomål/A 15105-2023 FSC-klagomål.docx", "A 15105-2023")</f>
        <v/>
      </c>
      <c r="AB675">
        <f>HYPERLINK("https://klasma.github.io/Logging_1290/klagomålsmail/A 15105-2023 FSC-klagomål mail.docx", "A 15105-2023")</f>
        <v/>
      </c>
      <c r="AC675">
        <f>HYPERLINK("https://klasma.github.io/Logging_1290/tillsyn/A 15105-2023 tillsynsbegäran.docx", "A 15105-2023")</f>
        <v/>
      </c>
      <c r="AD675">
        <f>HYPERLINK("https://klasma.github.io/Logging_1290/tillsynsmail/A 15105-2023 tillsynsbegäran mail.docx", "A 15105-2023")</f>
        <v/>
      </c>
    </row>
    <row r="676" ht="15" customHeight="1">
      <c r="A676" t="inlineStr">
        <is>
          <t>A 4251-2023</t>
        </is>
      </c>
      <c r="B676" t="inlineStr">
        <is>
          <t>avverkningsanmälan</t>
        </is>
      </c>
      <c r="C676" t="inlineStr">
        <is>
          <t>Föryngringsavverkning</t>
        </is>
      </c>
      <c r="D676" s="1" t="n">
        <v>44953</v>
      </c>
      <c r="E676" s="1" t="n">
        <v>46312</v>
      </c>
      <c r="F676" t="inlineStr">
        <is>
          <t>SKÅNE LÄN</t>
        </is>
      </c>
      <c r="G676" t="inlineStr">
        <is>
          <t>ÖSTRA GÖINGE</t>
        </is>
      </c>
      <c r="I676" t="n">
        <v>6.4</v>
      </c>
      <c r="J676" t="n">
        <v>0</v>
      </c>
      <c r="K676" t="n">
        <v>0</v>
      </c>
      <c r="L676" t="n">
        <v>0</v>
      </c>
      <c r="M676" t="n">
        <v>0</v>
      </c>
      <c r="N676" t="n">
        <v>1</v>
      </c>
      <c r="O676" t="n">
        <v>0</v>
      </c>
      <c r="P676" t="n">
        <v>0</v>
      </c>
      <c r="Q676" t="n">
        <v>1</v>
      </c>
      <c r="R676" t="n">
        <v>1</v>
      </c>
      <c r="S676" t="n">
        <v>1</v>
      </c>
      <c r="T676" t="n">
        <v>3</v>
      </c>
      <c r="U676" t="n">
        <v>0</v>
      </c>
      <c r="V676" s="2" t="inlineStr">
        <is>
          <t>Ask</t>
        </is>
      </c>
      <c r="W676">
        <f>HYPERLINK("https://klasma.github.io/Logging_1256/artfynd/A 4251-2023 artfynd.xlsx", "A 4251-2023")</f>
        <v/>
      </c>
      <c r="X676">
        <f>HYPERLINK("https://klasma.github.io/Logging_1256/kartor/A 4251-2023 karta.png", "A 4251-2023")</f>
        <v/>
      </c>
      <c r="Y676">
        <f>HYPERLINK("https://klasma.github.io/Logging_1256/kartor_geotiff/A 4251-2023 georefererad karta.tif", "A 4251-2023")</f>
        <v/>
      </c>
      <c r="AA676">
        <f>HYPERLINK("https://klasma.github.io/Logging_1256/klagomål/A 4251-2023 FSC-klagomål.docx", "A 4251-2023")</f>
        <v/>
      </c>
      <c r="AB676">
        <f>HYPERLINK("https://klasma.github.io/Logging_1256/klagomålsmail/A 4251-2023 FSC-klagomål mail.docx", "A 4251-2023")</f>
        <v/>
      </c>
      <c r="AC676">
        <f>HYPERLINK("https://klasma.github.io/Logging_1256/tillsyn/A 4251-2023 tillsynsbegäran.docx", "A 4251-2023")</f>
        <v/>
      </c>
      <c r="AD676">
        <f>HYPERLINK("https://klasma.github.io/Logging_1256/tillsynsmail/A 4251-2023 tillsynsbegäran mail.docx", "A 4251-2023")</f>
        <v/>
      </c>
    </row>
    <row r="677" ht="15" customHeight="1">
      <c r="A677" t="inlineStr">
        <is>
          <t>A 61517-2022</t>
        </is>
      </c>
      <c r="B677" t="inlineStr">
        <is>
          <t>avverkningsanmälan</t>
        </is>
      </c>
      <c r="C677" t="inlineStr">
        <is>
          <t>Föryngringsavverkning</t>
        </is>
      </c>
      <c r="D677" s="1" t="n">
        <v>44910</v>
      </c>
      <c r="E677" s="1" t="n">
        <v>46312</v>
      </c>
      <c r="F677" t="inlineStr">
        <is>
          <t>SKÅNE LÄN</t>
        </is>
      </c>
      <c r="G677" t="inlineStr">
        <is>
          <t>OSBY</t>
        </is>
      </c>
      <c r="H677" t="inlineStr">
        <is>
          <t>Kyrkan</t>
        </is>
      </c>
      <c r="I677" t="n">
        <v>4.4</v>
      </c>
      <c r="J677" t="n">
        <v>0</v>
      </c>
      <c r="K677" t="n">
        <v>1</v>
      </c>
      <c r="L677" t="n">
        <v>0</v>
      </c>
      <c r="M677" t="n">
        <v>0</v>
      </c>
      <c r="N677" t="n">
        <v>0</v>
      </c>
      <c r="O677" t="n">
        <v>0</v>
      </c>
      <c r="P677" t="n">
        <v>0</v>
      </c>
      <c r="Q677" t="n">
        <v>0</v>
      </c>
      <c r="R677" t="n">
        <v>0</v>
      </c>
      <c r="S677" t="n">
        <v>1</v>
      </c>
      <c r="T677" t="n">
        <v>1</v>
      </c>
      <c r="U677" t="n">
        <v>0</v>
      </c>
      <c r="V677" s="2" t="inlineStr">
        <is>
          <t>Blodticka</t>
        </is>
      </c>
      <c r="W677">
        <f>HYPERLINK("https://klasma.github.io/Logging_1273/artfynd/A 61517-2022 artfynd.xlsx", "A 61517-2022")</f>
        <v/>
      </c>
      <c r="X677">
        <f>HYPERLINK("https://klasma.github.io/Logging_1273/kartor/A 61517-2022 karta.png", "A 61517-2022")</f>
        <v/>
      </c>
      <c r="Y677">
        <f>HYPERLINK("https://klasma.github.io/Logging_1273/kartor_geotiff/A 61517-2022 georefererad karta.tif", "A 61517-2022")</f>
        <v/>
      </c>
      <c r="AA677">
        <f>HYPERLINK("https://klasma.github.io/Logging_1273/klagomål/A 61517-2022 FSC-klagomål.docx", "A 61517-2022")</f>
        <v/>
      </c>
      <c r="AB677">
        <f>HYPERLINK("https://klasma.github.io/Logging_1273/klagomålsmail/A 61517-2022 FSC-klagomål mail.docx", "A 61517-2022")</f>
        <v/>
      </c>
      <c r="AC677">
        <f>HYPERLINK("https://klasma.github.io/Logging_1273/tillsyn/A 61517-2022 tillsynsbegäran.docx", "A 61517-2022")</f>
        <v/>
      </c>
      <c r="AD677">
        <f>HYPERLINK("https://klasma.github.io/Logging_1273/tillsynsmail/A 61517-2022 tillsynsbegäran mail.docx", "A 61517-2022")</f>
        <v/>
      </c>
    </row>
    <row r="678" ht="15" customHeight="1">
      <c r="A678" t="inlineStr">
        <is>
          <t>A 31616-2024</t>
        </is>
      </c>
      <c r="B678" t="inlineStr">
        <is>
          <t>avverkningsanmälan</t>
        </is>
      </c>
      <c r="C678" t="inlineStr">
        <is>
          <t>Föryngringsavverkning</t>
        </is>
      </c>
      <c r="D678" s="1" t="n">
        <v>45506</v>
      </c>
      <c r="E678" s="1" t="n">
        <v>46312</v>
      </c>
      <c r="F678" t="inlineStr">
        <is>
          <t>SKÅNE LÄN</t>
        </is>
      </c>
      <c r="G678" t="inlineStr">
        <is>
          <t>KRISTIANSTAD</t>
        </is>
      </c>
      <c r="I678" t="n">
        <v>0.4</v>
      </c>
      <c r="J678" t="n">
        <v>0</v>
      </c>
      <c r="K678" t="n">
        <v>0</v>
      </c>
      <c r="L678" t="n">
        <v>0</v>
      </c>
      <c r="M678" t="n">
        <v>1</v>
      </c>
      <c r="N678" t="n">
        <v>0</v>
      </c>
      <c r="O678" t="n">
        <v>0</v>
      </c>
      <c r="P678" t="n">
        <v>0</v>
      </c>
      <c r="Q678" t="n">
        <v>1</v>
      </c>
      <c r="R678" t="n">
        <v>1</v>
      </c>
      <c r="S678" t="n">
        <v>1</v>
      </c>
      <c r="T678" t="n">
        <v>1</v>
      </c>
      <c r="U678" t="n">
        <v>0</v>
      </c>
      <c r="V678" s="2" t="inlineStr">
        <is>
          <t>Crunoecia irrorata</t>
        </is>
      </c>
      <c r="W678">
        <f>HYPERLINK("https://klasma.github.io/Logging_1290/artfynd/A 31616-2024 artfynd.xlsx", "A 31616-2024")</f>
        <v/>
      </c>
      <c r="X678">
        <f>HYPERLINK("https://klasma.github.io/Logging_1290/kartor/A 31616-2024 karta.png", "A 31616-2024")</f>
        <v/>
      </c>
      <c r="Y678">
        <f>HYPERLINK("https://klasma.github.io/Logging_1290/kartor_geotiff/A 31616-2024 georefererad karta.tif", "A 31616-2024")</f>
        <v/>
      </c>
      <c r="AA678">
        <f>HYPERLINK("https://klasma.github.io/Logging_1290/klagomål/A 31616-2024 FSC-klagomål.docx", "A 31616-2024")</f>
        <v/>
      </c>
      <c r="AB678">
        <f>HYPERLINK("https://klasma.github.io/Logging_1290/klagomålsmail/A 31616-2024 FSC-klagomål mail.docx", "A 31616-2024")</f>
        <v/>
      </c>
      <c r="AC678">
        <f>HYPERLINK("https://klasma.github.io/Logging_1290/tillsyn/A 31616-2024 tillsynsbegäran.docx", "A 31616-2024")</f>
        <v/>
      </c>
      <c r="AD678">
        <f>HYPERLINK("https://klasma.github.io/Logging_1290/tillsynsmail/A 31616-2024 tillsynsbegäran mail.docx", "A 31616-2024")</f>
        <v/>
      </c>
    </row>
    <row r="679" ht="15" customHeight="1">
      <c r="A679" t="inlineStr">
        <is>
          <t>A 1577-2024</t>
        </is>
      </c>
      <c r="B679" t="inlineStr">
        <is>
          <t>avverkningsanmälan</t>
        </is>
      </c>
      <c r="C679" t="inlineStr">
        <is>
          <t>Föryngringsavverkning</t>
        </is>
      </c>
      <c r="D679" s="1" t="n">
        <v>45306</v>
      </c>
      <c r="E679" s="1" t="n">
        <v>46312</v>
      </c>
      <c r="F679" t="inlineStr">
        <is>
          <t>SKÅNE LÄN</t>
        </is>
      </c>
      <c r="G679" t="inlineStr">
        <is>
          <t>SVALÖV</t>
        </is>
      </c>
      <c r="I679" t="n">
        <v>21.2</v>
      </c>
      <c r="J679" t="n">
        <v>1</v>
      </c>
      <c r="K679" t="n">
        <v>0</v>
      </c>
      <c r="L679" t="n">
        <v>0</v>
      </c>
      <c r="M679" t="n">
        <v>0</v>
      </c>
      <c r="N679" t="n">
        <v>0</v>
      </c>
      <c r="O679" t="n">
        <v>0</v>
      </c>
      <c r="P679" t="n">
        <v>0</v>
      </c>
      <c r="Q679" t="n">
        <v>0</v>
      </c>
      <c r="R679" t="n">
        <v>0</v>
      </c>
      <c r="S679" t="n">
        <v>1</v>
      </c>
      <c r="T679" t="n">
        <v>1</v>
      </c>
      <c r="U679" t="n">
        <v>0</v>
      </c>
      <c r="V679" s="2" t="inlineStr">
        <is>
          <t>Större vattensalamander</t>
        </is>
      </c>
      <c r="W679">
        <f>HYPERLINK("https://klasma.github.io/Logging_1214/artfynd/A 1577-2024 artfynd.xlsx", "A 1577-2024")</f>
        <v/>
      </c>
      <c r="X679">
        <f>HYPERLINK("https://klasma.github.io/Logging_1214/kartor/A 1577-2024 karta.png", "A 1577-2024")</f>
        <v/>
      </c>
      <c r="Y679">
        <f>HYPERLINK("https://klasma.github.io/Logging_1214/kartor_geotiff/A 1577-2024 georefererad karta.tif", "A 1577-2024")</f>
        <v/>
      </c>
      <c r="AA679">
        <f>HYPERLINK("https://klasma.github.io/Logging_1214/klagomål/A 1577-2024 FSC-klagomål.docx", "A 1577-2024")</f>
        <v/>
      </c>
      <c r="AB679">
        <f>HYPERLINK("https://klasma.github.io/Logging_1214/klagomålsmail/A 1577-2024 FSC-klagomål mail.docx", "A 1577-2024")</f>
        <v/>
      </c>
      <c r="AC679">
        <f>HYPERLINK("https://klasma.github.io/Logging_1214/tillsyn/A 1577-2024 tillsynsbegäran.docx", "A 1577-2024")</f>
        <v/>
      </c>
      <c r="AD679">
        <f>HYPERLINK("https://klasma.github.io/Logging_1214/tillsynsmail/A 1577-2024 tillsynsbegäran mail.docx", "A 1577-2024")</f>
        <v/>
      </c>
    </row>
    <row r="680" ht="15" customHeight="1">
      <c r="A680" t="inlineStr">
        <is>
          <t>A 15582-2024</t>
        </is>
      </c>
      <c r="B680" t="inlineStr">
        <is>
          <t>avverkningsanmälan</t>
        </is>
      </c>
      <c r="C680" t="inlineStr">
        <is>
          <t>Föryngringsavverkning</t>
        </is>
      </c>
      <c r="D680" s="1" t="n">
        <v>45401</v>
      </c>
      <c r="E680" s="1" t="n">
        <v>46312</v>
      </c>
      <c r="F680" t="inlineStr">
        <is>
          <t>SKÅNE LÄN</t>
        </is>
      </c>
      <c r="G680" t="inlineStr">
        <is>
          <t>SVEDALA</t>
        </is>
      </c>
      <c r="I680" t="n">
        <v>7.3</v>
      </c>
      <c r="J680" t="n">
        <v>1</v>
      </c>
      <c r="K680" t="n">
        <v>0</v>
      </c>
      <c r="L680" t="n">
        <v>0</v>
      </c>
      <c r="M680" t="n">
        <v>0</v>
      </c>
      <c r="N680" t="n">
        <v>0</v>
      </c>
      <c r="O680" t="n">
        <v>0</v>
      </c>
      <c r="P680" t="n">
        <v>0</v>
      </c>
      <c r="Q680" t="n">
        <v>0</v>
      </c>
      <c r="R680" t="n">
        <v>0</v>
      </c>
      <c r="S680" t="n">
        <v>1</v>
      </c>
      <c r="T680" t="n">
        <v>1</v>
      </c>
      <c r="U680" t="n">
        <v>0</v>
      </c>
      <c r="V680" s="2" t="inlineStr">
        <is>
          <t>Trana</t>
        </is>
      </c>
      <c r="W680">
        <f>HYPERLINK("https://klasma.github.io/Logging_1263/artfynd/A 15582-2024 artfynd.xlsx", "A 15582-2024")</f>
        <v/>
      </c>
      <c r="X680">
        <f>HYPERLINK("https://klasma.github.io/Logging_1263/kartor/A 15582-2024 karta.png", "A 15582-2024")</f>
        <v/>
      </c>
      <c r="Y680">
        <f>HYPERLINK("https://klasma.github.io/Logging_1263/kartor_geotiff/A 15582-2024 georefererad karta.tif", "A 15582-2024")</f>
        <v/>
      </c>
      <c r="AA680">
        <f>HYPERLINK("https://klasma.github.io/Logging_1263/klagomål/A 15582-2024 FSC-klagomål.docx", "A 15582-2024")</f>
        <v/>
      </c>
      <c r="AB680">
        <f>HYPERLINK("https://klasma.github.io/Logging_1263/klagomålsmail/A 15582-2024 FSC-klagomål mail.docx", "A 15582-2024")</f>
        <v/>
      </c>
      <c r="AC680">
        <f>HYPERLINK("https://klasma.github.io/Logging_1263/tillsyn/A 15582-2024 tillsynsbegäran.docx", "A 15582-2024")</f>
        <v/>
      </c>
      <c r="AD680">
        <f>HYPERLINK("https://klasma.github.io/Logging_1263/tillsynsmail/A 15582-2024 tillsynsbegäran mail.docx", "A 15582-2024")</f>
        <v/>
      </c>
      <c r="AE680">
        <f>HYPERLINK("https://klasma.github.io/Logging_1263/fåglar/A 15582-2024 prioriterade fågelarter.docx", "A 15582-2024")</f>
        <v/>
      </c>
    </row>
    <row r="681" ht="15" customHeight="1">
      <c r="A681" t="inlineStr">
        <is>
          <t>A 34113-2026</t>
        </is>
      </c>
      <c r="B681" t="inlineStr">
        <is>
          <t>avverkningsanmälan</t>
        </is>
      </c>
      <c r="C681" t="inlineStr">
        <is>
          <t>Föryngringsavverkning</t>
        </is>
      </c>
      <c r="D681" s="1" t="n">
        <v>46253</v>
      </c>
      <c r="E681" s="1" t="n">
        <v>46312</v>
      </c>
      <c r="F681" t="inlineStr">
        <is>
          <t>SKÅNE LÄN</t>
        </is>
      </c>
      <c r="G681" t="inlineStr">
        <is>
          <t>KRISTIANSTAD</t>
        </is>
      </c>
      <c r="I681" t="n">
        <v>8.199999999999999</v>
      </c>
      <c r="J681" t="n">
        <v>0</v>
      </c>
      <c r="K681" t="n">
        <v>0</v>
      </c>
      <c r="L681" t="n">
        <v>0</v>
      </c>
      <c r="M681" t="n">
        <v>1</v>
      </c>
      <c r="N681" t="n">
        <v>0</v>
      </c>
      <c r="O681" t="n">
        <v>0</v>
      </c>
      <c r="P681" t="n">
        <v>0</v>
      </c>
      <c r="Q681" t="n">
        <v>1</v>
      </c>
      <c r="R681" t="n">
        <v>1</v>
      </c>
      <c r="S681" t="n">
        <v>1</v>
      </c>
      <c r="T681" t="n">
        <v>1</v>
      </c>
      <c r="U681" t="n">
        <v>0</v>
      </c>
      <c r="V681" s="2" t="inlineStr">
        <is>
          <t>Småvänderot</t>
        </is>
      </c>
      <c r="W681">
        <f>HYPERLINK("https://klasma.github.io/Logging_1290/artfynd/A 34113-2026 artfynd.xlsx", "A 34113-2026")</f>
        <v/>
      </c>
      <c r="X681">
        <f>HYPERLINK("https://klasma.github.io/Logging_1290/kartor/A 34113-2026 karta.png", "A 34113-2026")</f>
        <v/>
      </c>
      <c r="Y681">
        <f>HYPERLINK("https://klasma.github.io/Logging_1290/kartor_geotiff/A 34113-2026 georefererad karta.tif", "A 34113-2026")</f>
        <v/>
      </c>
      <c r="AA681">
        <f>HYPERLINK("https://klasma.github.io/Logging_1290/klagomål/A 34113-2026 FSC-klagomål.docx", "A 34113-2026")</f>
        <v/>
      </c>
      <c r="AB681">
        <f>HYPERLINK("https://klasma.github.io/Logging_1290/klagomålsmail/A 34113-2026 FSC-klagomål mail.docx", "A 34113-2026")</f>
        <v/>
      </c>
      <c r="AC681">
        <f>HYPERLINK("https://klasma.github.io/Logging_1290/tillsyn/A 34113-2026 tillsynsbegäran.docx", "A 34113-2026")</f>
        <v/>
      </c>
      <c r="AD681">
        <f>HYPERLINK("https://klasma.github.io/Logging_1290/tillsynsmail/A 34113-2026 tillsynsbegäran mail.docx", "A 34113-2026")</f>
        <v/>
      </c>
    </row>
    <row r="682" ht="15" customHeight="1">
      <c r="A682" t="inlineStr">
        <is>
          <t>A 34963-2026</t>
        </is>
      </c>
      <c r="B682" t="inlineStr">
        <is>
          <t>avverkningsanmälan</t>
        </is>
      </c>
      <c r="C682" t="inlineStr">
        <is>
          <t>Föryngringsavverkning</t>
        </is>
      </c>
      <c r="D682" s="1" t="n">
        <v>46256</v>
      </c>
      <c r="E682" s="1" t="n">
        <v>46312</v>
      </c>
      <c r="F682" t="inlineStr">
        <is>
          <t>SKÅNE LÄN</t>
        </is>
      </c>
      <c r="G682" t="inlineStr">
        <is>
          <t>LANDSKRONA</t>
        </is>
      </c>
      <c r="I682" t="n">
        <v>1.6</v>
      </c>
      <c r="J682" t="n">
        <v>1</v>
      </c>
      <c r="K682" t="n">
        <v>0</v>
      </c>
      <c r="L682" t="n">
        <v>0</v>
      </c>
      <c r="M682" t="n">
        <v>1</v>
      </c>
      <c r="N682" t="n">
        <v>0</v>
      </c>
      <c r="O682" t="n">
        <v>0</v>
      </c>
      <c r="P682" t="n">
        <v>0</v>
      </c>
      <c r="Q682" t="n">
        <v>1</v>
      </c>
      <c r="R682" t="n">
        <v>1</v>
      </c>
      <c r="S682" t="n">
        <v>1</v>
      </c>
      <c r="T682" t="n">
        <v>1</v>
      </c>
      <c r="U682" t="n">
        <v>0</v>
      </c>
      <c r="V682" s="2" t="inlineStr">
        <is>
          <t>Hedblomster</t>
        </is>
      </c>
      <c r="W682">
        <f>HYPERLINK("https://klasma.github.io/Logging_1282/artfynd/A 34963-2026 artfynd.xlsx", "A 34963-2026")</f>
        <v/>
      </c>
      <c r="X682">
        <f>HYPERLINK("https://klasma.github.io/Logging_1282/kartor/A 34963-2026 karta.png", "A 34963-2026")</f>
        <v/>
      </c>
      <c r="Y682">
        <f>HYPERLINK("https://klasma.github.io/Logging_1282/kartor_geotiff/A 34963-2026 georefererad karta.tif", "A 34963-2026")</f>
        <v/>
      </c>
      <c r="AA682">
        <f>HYPERLINK("https://klasma.github.io/Logging_1282/klagomål/A 34963-2026 FSC-klagomål.docx", "A 34963-2026")</f>
        <v/>
      </c>
      <c r="AB682">
        <f>HYPERLINK("https://klasma.github.io/Logging_1282/klagomålsmail/A 34963-2026 FSC-klagomål mail.docx", "A 34963-2026")</f>
        <v/>
      </c>
      <c r="AC682">
        <f>HYPERLINK("https://klasma.github.io/Logging_1282/tillsyn/A 34963-2026 tillsynsbegäran.docx", "A 34963-2026")</f>
        <v/>
      </c>
      <c r="AD682">
        <f>HYPERLINK("https://klasma.github.io/Logging_1282/tillsynsmail/A 34963-2026 tillsynsbegäran mail.docx", "A 34963-2026")</f>
        <v/>
      </c>
    </row>
    <row r="683" ht="15" customHeight="1">
      <c r="A683" t="inlineStr">
        <is>
          <t>A 30165-2026</t>
        </is>
      </c>
      <c r="B683" t="inlineStr">
        <is>
          <t>avverkningsanmälan</t>
        </is>
      </c>
      <c r="C683" t="inlineStr">
        <is>
          <t>Föryngringsavverkning</t>
        </is>
      </c>
      <c r="D683" s="1" t="n">
        <v>46206</v>
      </c>
      <c r="E683" s="1" t="n">
        <v>46312</v>
      </c>
      <c r="F683" t="inlineStr">
        <is>
          <t>SKÅNE LÄN</t>
        </is>
      </c>
      <c r="G683" t="inlineStr">
        <is>
          <t>HÖRBY</t>
        </is>
      </c>
      <c r="I683" t="n">
        <v>1.4</v>
      </c>
      <c r="J683" t="n">
        <v>0</v>
      </c>
      <c r="K683" t="n">
        <v>0</v>
      </c>
      <c r="L683" t="n">
        <v>0</v>
      </c>
      <c r="M683" t="n">
        <v>0</v>
      </c>
      <c r="N683" t="n">
        <v>1</v>
      </c>
      <c r="O683" t="n">
        <v>0</v>
      </c>
      <c r="P683" t="n">
        <v>0</v>
      </c>
      <c r="Q683" t="n">
        <v>1</v>
      </c>
      <c r="R683" t="n">
        <v>1</v>
      </c>
      <c r="S683" t="n">
        <v>1</v>
      </c>
      <c r="T683" t="n">
        <v>1</v>
      </c>
      <c r="U683" t="n">
        <v>0</v>
      </c>
      <c r="V683" s="2" t="inlineStr">
        <is>
          <t>Ask</t>
        </is>
      </c>
      <c r="W683">
        <f>HYPERLINK("https://klasma.github.io/Logging_1266/artfynd/A 30165-2026 artfynd.xlsx", "A 30165-2026")</f>
        <v/>
      </c>
      <c r="X683">
        <f>HYPERLINK("https://klasma.github.io/Logging_1266/kartor/A 30165-2026 karta.png", "A 30165-2026")</f>
        <v/>
      </c>
      <c r="Y683">
        <f>HYPERLINK("https://klasma.github.io/Logging_1266/kartor_geotiff/A 30165-2026 georefererad karta.tif", "A 30165-2026")</f>
        <v/>
      </c>
      <c r="AA683">
        <f>HYPERLINK("https://klasma.github.io/Logging_1266/klagomål/A 30165-2026 FSC-klagomål.docx", "A 30165-2026")</f>
        <v/>
      </c>
      <c r="AB683">
        <f>HYPERLINK("https://klasma.github.io/Logging_1266/klagomålsmail/A 30165-2026 FSC-klagomål mail.docx", "A 30165-2026")</f>
        <v/>
      </c>
      <c r="AC683">
        <f>HYPERLINK("https://klasma.github.io/Logging_1266/tillsyn/A 30165-2026 tillsynsbegäran.docx", "A 30165-2026")</f>
        <v/>
      </c>
      <c r="AD683">
        <f>HYPERLINK("https://klasma.github.io/Logging_1266/tillsynsmail/A 30165-2026 tillsynsbegäran mail.docx", "A 30165-2026")</f>
        <v/>
      </c>
    </row>
    <row r="684" ht="15" customHeight="1">
      <c r="A684" t="inlineStr">
        <is>
          <t>A 61707-2024</t>
        </is>
      </c>
      <c r="B684" t="inlineStr">
        <is>
          <t>avverkningsanmälan</t>
        </is>
      </c>
      <c r="C684" t="inlineStr">
        <is>
          <t>Föryngringsavverkning</t>
        </is>
      </c>
      <c r="D684" s="1" t="n">
        <v>45648</v>
      </c>
      <c r="E684" s="1" t="n">
        <v>46312</v>
      </c>
      <c r="F684" t="inlineStr">
        <is>
          <t>SKÅNE LÄN</t>
        </is>
      </c>
      <c r="G684" t="inlineStr">
        <is>
          <t>HÄSSLEHOLM</t>
        </is>
      </c>
      <c r="I684" t="n">
        <v>3.2</v>
      </c>
      <c r="J684" t="n">
        <v>0</v>
      </c>
      <c r="K684" t="n">
        <v>0</v>
      </c>
      <c r="L684" t="n">
        <v>1</v>
      </c>
      <c r="M684" t="n">
        <v>0</v>
      </c>
      <c r="N684" t="n">
        <v>0</v>
      </c>
      <c r="O684" t="n">
        <v>0</v>
      </c>
      <c r="P684" t="n">
        <v>0</v>
      </c>
      <c r="Q684" t="n">
        <v>1</v>
      </c>
      <c r="R684" t="n">
        <v>0</v>
      </c>
      <c r="S684" t="n">
        <v>1</v>
      </c>
      <c r="T684" t="n">
        <v>1</v>
      </c>
      <c r="U684" t="n">
        <v>1</v>
      </c>
      <c r="V684" s="2" t="inlineStr">
        <is>
          <t>Rödlånke</t>
        </is>
      </c>
      <c r="W684">
        <f>HYPERLINK("https://klasma.github.io/Logging_1293/artfynd/A 61707-2024 artfynd.xlsx", "A 61707-2024")</f>
        <v/>
      </c>
      <c r="X684">
        <f>HYPERLINK("https://klasma.github.io/Logging_1293/kartor/A 61707-2024 karta.png", "A 61707-2024")</f>
        <v/>
      </c>
      <c r="Y684">
        <f>HYPERLINK("https://klasma.github.io/Logging_1293/kartor_geotiff/A 61707-2024 georefererad karta.tif", "A 61707-2024")</f>
        <v/>
      </c>
      <c r="AA684">
        <f>HYPERLINK("https://klasma.github.io/Logging_1293/klagomål/A 61707-2024 FSC-klagomål.docx", "A 61707-2024")</f>
        <v/>
      </c>
      <c r="AB684">
        <f>HYPERLINK("https://klasma.github.io/Logging_1293/klagomålsmail/A 61707-2024 FSC-klagomål mail.docx", "A 61707-2024")</f>
        <v/>
      </c>
      <c r="AC684">
        <f>HYPERLINK("https://klasma.github.io/Logging_1293/tillsyn/A 61707-2024 tillsynsbegäran.docx", "A 61707-2024")</f>
        <v/>
      </c>
      <c r="AD684">
        <f>HYPERLINK("https://klasma.github.io/Logging_1293/tillsynsmail/A 61707-2024 tillsynsbegäran mail.docx", "A 61707-2024")</f>
        <v/>
      </c>
    </row>
    <row r="685" ht="15" customHeight="1">
      <c r="A685" t="inlineStr">
        <is>
          <t>A 34703-2026</t>
        </is>
      </c>
      <c r="B685" t="inlineStr">
        <is>
          <t>avverkningsanmälan</t>
        </is>
      </c>
      <c r="C685" t="inlineStr">
        <is>
          <t>Avverkning för att bevara och utveckla /försöksver</t>
        </is>
      </c>
      <c r="D685" s="1" t="n">
        <v>46258</v>
      </c>
      <c r="E685" s="1" t="n">
        <v>46312</v>
      </c>
      <c r="F685" t="inlineStr">
        <is>
          <t>SKÅNE LÄN</t>
        </is>
      </c>
      <c r="G685" t="inlineStr">
        <is>
          <t>SIMRISHAMN</t>
        </is>
      </c>
      <c r="I685" t="n">
        <v>1.4</v>
      </c>
      <c r="J685" t="n">
        <v>1</v>
      </c>
      <c r="K685" t="n">
        <v>0</v>
      </c>
      <c r="L685" t="n">
        <v>1</v>
      </c>
      <c r="M685" t="n">
        <v>0</v>
      </c>
      <c r="N685" t="n">
        <v>0</v>
      </c>
      <c r="O685" t="n">
        <v>0</v>
      </c>
      <c r="P685" t="n">
        <v>0</v>
      </c>
      <c r="Q685" t="n">
        <v>1</v>
      </c>
      <c r="R685" t="n">
        <v>0</v>
      </c>
      <c r="S685" t="n">
        <v>1</v>
      </c>
      <c r="T685" t="n">
        <v>1</v>
      </c>
      <c r="U685" t="n">
        <v>0</v>
      </c>
      <c r="V685" s="2" t="inlineStr">
        <is>
          <t>Gulsparv</t>
        </is>
      </c>
      <c r="W685">
        <f>HYPERLINK("https://klasma.github.io/Logging_1291/artfynd/A 34703-2026 artfynd.xlsx", "A 34703-2026")</f>
        <v/>
      </c>
      <c r="X685">
        <f>HYPERLINK("https://klasma.github.io/Logging_1291/kartor/A 34703-2026 karta.png", "A 34703-2026")</f>
        <v/>
      </c>
      <c r="Y685">
        <f>HYPERLINK("https://klasma.github.io/Logging_1291/kartor_geotiff/A 34703-2026 georefererad karta.tif", "A 34703-2026")</f>
        <v/>
      </c>
      <c r="AA685">
        <f>HYPERLINK("https://klasma.github.io/Logging_1291/klagomål/A 34703-2026 FSC-klagomål.docx", "A 34703-2026")</f>
        <v/>
      </c>
      <c r="AB685">
        <f>HYPERLINK("https://klasma.github.io/Logging_1291/klagomålsmail/A 34703-2026 FSC-klagomål mail.docx", "A 34703-2026")</f>
        <v/>
      </c>
      <c r="AC685">
        <f>HYPERLINK("https://klasma.github.io/Logging_1291/tillsyn/A 34703-2026 tillsynsbegäran.docx", "A 34703-2026")</f>
        <v/>
      </c>
      <c r="AD685">
        <f>HYPERLINK("https://klasma.github.io/Logging_1291/tillsynsmail/A 34703-2026 tillsynsbegäran mail.docx", "A 34703-2026")</f>
        <v/>
      </c>
      <c r="AE685">
        <f>HYPERLINK("https://klasma.github.io/Logging_1291/fåglar/A 34703-2026 prioriterade fågelarter.docx", "A 34703-2026")</f>
        <v/>
      </c>
    </row>
    <row r="686" ht="15" customHeight="1">
      <c r="A686" t="inlineStr">
        <is>
          <t>A 61738-2024</t>
        </is>
      </c>
      <c r="B686" t="inlineStr">
        <is>
          <t>avverkningsanmälan</t>
        </is>
      </c>
      <c r="C686" t="inlineStr">
        <is>
          <t>Föryngringsavverkning</t>
        </is>
      </c>
      <c r="D686" s="1" t="n">
        <v>45649</v>
      </c>
      <c r="E686" s="1" t="n">
        <v>46312</v>
      </c>
      <c r="F686" t="inlineStr">
        <is>
          <t>SKÅNE LÄN</t>
        </is>
      </c>
      <c r="G686" t="inlineStr">
        <is>
          <t>OSBY</t>
        </is>
      </c>
      <c r="I686" t="n">
        <v>3.7</v>
      </c>
      <c r="J686" t="n">
        <v>1</v>
      </c>
      <c r="K686" t="n">
        <v>0</v>
      </c>
      <c r="L686" t="n">
        <v>0</v>
      </c>
      <c r="M686" t="n">
        <v>0</v>
      </c>
      <c r="N686" t="n">
        <v>0</v>
      </c>
      <c r="O686" t="n">
        <v>0</v>
      </c>
      <c r="P686" t="n">
        <v>0</v>
      </c>
      <c r="Q686" t="n">
        <v>0</v>
      </c>
      <c r="R686" t="n">
        <v>0</v>
      </c>
      <c r="S686" t="n">
        <v>1</v>
      </c>
      <c r="T686" t="n">
        <v>1</v>
      </c>
      <c r="U686" t="n">
        <v>0</v>
      </c>
      <c r="V686" s="2" t="inlineStr">
        <is>
          <t>Vanlig snok</t>
        </is>
      </c>
      <c r="W686">
        <f>HYPERLINK("https://klasma.github.io/Logging_1273/artfynd/A 61738-2024 artfynd.xlsx", "A 61738-2024")</f>
        <v/>
      </c>
      <c r="X686">
        <f>HYPERLINK("https://klasma.github.io/Logging_1273/kartor/A 61738-2024 karta.png", "A 61738-2024")</f>
        <v/>
      </c>
      <c r="Y686">
        <f>HYPERLINK("https://klasma.github.io/Logging_1273/kartor_geotiff/A 61738-2024 georefererad karta.tif", "A 61738-2024")</f>
        <v/>
      </c>
      <c r="AA686">
        <f>HYPERLINK("https://klasma.github.io/Logging_1273/klagomål/A 61738-2024 FSC-klagomål.docx", "A 61738-2024")</f>
        <v/>
      </c>
      <c r="AB686">
        <f>HYPERLINK("https://klasma.github.io/Logging_1273/klagomålsmail/A 61738-2024 FSC-klagomål mail.docx", "A 61738-2024")</f>
        <v/>
      </c>
      <c r="AC686">
        <f>HYPERLINK("https://klasma.github.io/Logging_1273/tillsyn/A 61738-2024 tillsynsbegäran.docx", "A 61738-2024")</f>
        <v/>
      </c>
      <c r="AD686">
        <f>HYPERLINK("https://klasma.github.io/Logging_1273/tillsynsmail/A 61738-2024 tillsynsbegäran mail.docx", "A 61738-2024")</f>
        <v/>
      </c>
    </row>
    <row r="687" ht="15" customHeight="1">
      <c r="A687" t="inlineStr">
        <is>
          <t>A 21713-2025</t>
        </is>
      </c>
      <c r="B687" t="inlineStr">
        <is>
          <t>avverkningsanmälan</t>
        </is>
      </c>
      <c r="C687" t="inlineStr">
        <is>
          <t>Föryngringsavverkning</t>
        </is>
      </c>
      <c r="D687" s="1" t="n">
        <v>45783</v>
      </c>
      <c r="E687" s="1" t="n">
        <v>46312</v>
      </c>
      <c r="F687" t="inlineStr">
        <is>
          <t>SKÅNE LÄN</t>
        </is>
      </c>
      <c r="G687" t="inlineStr">
        <is>
          <t>HÖRBY</t>
        </is>
      </c>
      <c r="I687" t="n">
        <v>0.8</v>
      </c>
      <c r="J687" t="n">
        <v>1</v>
      </c>
      <c r="K687" t="n">
        <v>0</v>
      </c>
      <c r="L687" t="n">
        <v>0</v>
      </c>
      <c r="M687" t="n">
        <v>0</v>
      </c>
      <c r="N687" t="n">
        <v>0</v>
      </c>
      <c r="O687" t="n">
        <v>0</v>
      </c>
      <c r="P687" t="n">
        <v>0</v>
      </c>
      <c r="Q687" t="n">
        <v>0</v>
      </c>
      <c r="R687" t="n">
        <v>0</v>
      </c>
      <c r="S687" t="n">
        <v>1</v>
      </c>
      <c r="T687" t="n">
        <v>1</v>
      </c>
      <c r="U687" t="n">
        <v>0</v>
      </c>
      <c r="V687" s="2" t="inlineStr">
        <is>
          <t>Gröngöling</t>
        </is>
      </c>
      <c r="W687">
        <f>HYPERLINK("https://klasma.github.io/Logging_1266/artfynd/A 21713-2025 artfynd.xlsx", "A 21713-2025")</f>
        <v/>
      </c>
      <c r="X687">
        <f>HYPERLINK("https://klasma.github.io/Logging_1266/kartor/A 21713-2025 karta.png", "A 21713-2025")</f>
        <v/>
      </c>
      <c r="Y687">
        <f>HYPERLINK("https://klasma.github.io/Logging_1266/kartor_geotiff/A 21713-2025 georefererad karta.tif", "A 21713-2025")</f>
        <v/>
      </c>
      <c r="AA687">
        <f>HYPERLINK("https://klasma.github.io/Logging_1266/klagomål/A 21713-2025 FSC-klagomål.docx", "A 21713-2025")</f>
        <v/>
      </c>
      <c r="AB687">
        <f>HYPERLINK("https://klasma.github.io/Logging_1266/klagomålsmail/A 21713-2025 FSC-klagomål mail.docx", "A 21713-2025")</f>
        <v/>
      </c>
      <c r="AC687">
        <f>HYPERLINK("https://klasma.github.io/Logging_1266/tillsyn/A 21713-2025 tillsynsbegäran.docx", "A 21713-2025")</f>
        <v/>
      </c>
      <c r="AD687">
        <f>HYPERLINK("https://klasma.github.io/Logging_1266/tillsynsmail/A 21713-2025 tillsynsbegäran mail.docx", "A 21713-2025")</f>
        <v/>
      </c>
    </row>
    <row r="688" ht="15" customHeight="1">
      <c r="A688" t="inlineStr">
        <is>
          <t>A 22569-2024</t>
        </is>
      </c>
      <c r="B688" t="inlineStr">
        <is>
          <t>avverkningsanmälan</t>
        </is>
      </c>
      <c r="C688" t="inlineStr">
        <is>
          <t>Föryngringsavverkning</t>
        </is>
      </c>
      <c r="D688" s="1" t="n">
        <v>45447</v>
      </c>
      <c r="E688" s="1" t="n">
        <v>46312</v>
      </c>
      <c r="F688" t="inlineStr">
        <is>
          <t>SKÅNE LÄN</t>
        </is>
      </c>
      <c r="G688" t="inlineStr">
        <is>
          <t>HÖÖR</t>
        </is>
      </c>
      <c r="I688" t="n">
        <v>2.2</v>
      </c>
      <c r="J688" t="n">
        <v>1</v>
      </c>
      <c r="K688" t="n">
        <v>0</v>
      </c>
      <c r="L688" t="n">
        <v>0</v>
      </c>
      <c r="M688" t="n">
        <v>0</v>
      </c>
      <c r="N688" t="n">
        <v>0</v>
      </c>
      <c r="O688" t="n">
        <v>0</v>
      </c>
      <c r="P688" t="n">
        <v>0</v>
      </c>
      <c r="Q688" t="n">
        <v>0</v>
      </c>
      <c r="R688" t="n">
        <v>0</v>
      </c>
      <c r="S688" t="n">
        <v>1</v>
      </c>
      <c r="T688" t="n">
        <v>1</v>
      </c>
      <c r="U688" t="n">
        <v>0</v>
      </c>
      <c r="V688" s="2" t="inlineStr">
        <is>
          <t>Spillkråka</t>
        </is>
      </c>
      <c r="W688">
        <f>HYPERLINK("https://klasma.github.io/Logging_1267/artfynd/A 22569-2024 artfynd.xlsx", "A 22569-2024")</f>
        <v/>
      </c>
      <c r="X688">
        <f>HYPERLINK("https://klasma.github.io/Logging_1267/kartor/A 22569-2024 karta.png", "A 22569-2024")</f>
        <v/>
      </c>
      <c r="Y688">
        <f>HYPERLINK("https://klasma.github.io/Logging_1267/kartor_geotiff/A 22569-2024 georefererad karta.tif", "A 22569-2024")</f>
        <v/>
      </c>
      <c r="AA688">
        <f>HYPERLINK("https://klasma.github.io/Logging_1267/klagomål/A 22569-2024 FSC-klagomål.docx", "A 22569-2024")</f>
        <v/>
      </c>
      <c r="AB688">
        <f>HYPERLINK("https://klasma.github.io/Logging_1267/klagomålsmail/A 22569-2024 FSC-klagomål mail.docx", "A 22569-2024")</f>
        <v/>
      </c>
      <c r="AC688">
        <f>HYPERLINK("https://klasma.github.io/Logging_1267/tillsyn/A 22569-2024 tillsynsbegäran.docx", "A 22569-2024")</f>
        <v/>
      </c>
      <c r="AD688">
        <f>HYPERLINK("https://klasma.github.io/Logging_1267/tillsynsmail/A 22569-2024 tillsynsbegäran mail.docx", "A 22569-2024")</f>
        <v/>
      </c>
      <c r="AE688">
        <f>HYPERLINK("https://klasma.github.io/Logging_1267/fåglar/A 22569-2024 prioriterade fågelarter.docx", "A 22569-2024")</f>
        <v/>
      </c>
    </row>
    <row r="689" ht="15" customHeight="1">
      <c r="A689" t="inlineStr">
        <is>
          <t>A 51276-2024</t>
        </is>
      </c>
      <c r="B689" t="inlineStr">
        <is>
          <t>avverkningsanmälan</t>
        </is>
      </c>
      <c r="C689" t="inlineStr">
        <is>
          <t>Föryngringsavverkning</t>
        </is>
      </c>
      <c r="D689" s="1" t="n">
        <v>45603</v>
      </c>
      <c r="E689" s="1" t="n">
        <v>46312</v>
      </c>
      <c r="F689" t="inlineStr">
        <is>
          <t>SKÅNE LÄN</t>
        </is>
      </c>
      <c r="G689" t="inlineStr">
        <is>
          <t>KLIPPAN</t>
        </is>
      </c>
      <c r="I689" t="n">
        <v>2.4</v>
      </c>
      <c r="J689" t="n">
        <v>0</v>
      </c>
      <c r="K689" t="n">
        <v>0</v>
      </c>
      <c r="L689" t="n">
        <v>1</v>
      </c>
      <c r="M689" t="n">
        <v>0</v>
      </c>
      <c r="N689" t="n">
        <v>0</v>
      </c>
      <c r="O689" t="n">
        <v>0</v>
      </c>
      <c r="P689" t="n">
        <v>0</v>
      </c>
      <c r="Q689" t="n">
        <v>1</v>
      </c>
      <c r="R689" t="n">
        <v>0</v>
      </c>
      <c r="S689" t="n">
        <v>1</v>
      </c>
      <c r="T689" t="n">
        <v>1</v>
      </c>
      <c r="U689" t="n">
        <v>1</v>
      </c>
      <c r="V689" s="2" t="inlineStr">
        <is>
          <t>Rutskinn</t>
        </is>
      </c>
      <c r="W689">
        <f>HYPERLINK("https://klasma.github.io/Logging_1276/artfynd/A 51276-2024 artfynd.xlsx", "A 51276-2024")</f>
        <v/>
      </c>
      <c r="X689">
        <f>HYPERLINK("https://klasma.github.io/Logging_1276/kartor/A 51276-2024 karta.png", "A 51276-2024")</f>
        <v/>
      </c>
      <c r="Y689">
        <f>HYPERLINK("https://klasma.github.io/Logging_1276/kartor_geotiff/A 51276-2024 georefererad karta.tif", "A 51276-2024")</f>
        <v/>
      </c>
      <c r="AA689">
        <f>HYPERLINK("https://klasma.github.io/Logging_1276/klagomål/A 51276-2024 FSC-klagomål.docx", "A 51276-2024")</f>
        <v/>
      </c>
      <c r="AB689">
        <f>HYPERLINK("https://klasma.github.io/Logging_1276/klagomålsmail/A 51276-2024 FSC-klagomål mail.docx", "A 51276-2024")</f>
        <v/>
      </c>
      <c r="AC689">
        <f>HYPERLINK("https://klasma.github.io/Logging_1276/tillsyn/A 51276-2024 tillsynsbegäran.docx", "A 51276-2024")</f>
        <v/>
      </c>
      <c r="AD689">
        <f>HYPERLINK("https://klasma.github.io/Logging_1276/tillsynsmail/A 51276-2024 tillsynsbegäran mail.docx", "A 51276-2024")</f>
        <v/>
      </c>
    </row>
    <row r="690" ht="15" customHeight="1">
      <c r="A690" t="inlineStr">
        <is>
          <t>A 21867-2025</t>
        </is>
      </c>
      <c r="B690" t="inlineStr">
        <is>
          <t>avverkningsanmälan</t>
        </is>
      </c>
      <c r="C690" t="inlineStr">
        <is>
          <t>Föryngringsavverkning</t>
        </is>
      </c>
      <c r="D690" s="1" t="n">
        <v>45784</v>
      </c>
      <c r="E690" s="1" t="n">
        <v>46312</v>
      </c>
      <c r="F690" t="inlineStr">
        <is>
          <t>SKÅNE LÄN</t>
        </is>
      </c>
      <c r="G690" t="inlineStr">
        <is>
          <t>ÖRKELLJUNGA</t>
        </is>
      </c>
      <c r="I690" t="n">
        <v>1.2</v>
      </c>
      <c r="J690" t="n">
        <v>0</v>
      </c>
      <c r="K690" t="n">
        <v>0</v>
      </c>
      <c r="L690" t="n">
        <v>1</v>
      </c>
      <c r="M690" t="n">
        <v>0</v>
      </c>
      <c r="N690" t="n">
        <v>0</v>
      </c>
      <c r="O690" t="n">
        <v>0</v>
      </c>
      <c r="P690" t="n">
        <v>0</v>
      </c>
      <c r="Q690" t="n">
        <v>1</v>
      </c>
      <c r="R690" t="n">
        <v>0</v>
      </c>
      <c r="S690" t="n">
        <v>1</v>
      </c>
      <c r="T690" t="n">
        <v>1</v>
      </c>
      <c r="U690" t="n">
        <v>0</v>
      </c>
      <c r="V690" s="2" t="inlineStr">
        <is>
          <t>Källkvicklöpare</t>
        </is>
      </c>
      <c r="W690">
        <f>HYPERLINK("https://klasma.github.io/Logging_1257/artfynd/A 21867-2025 artfynd.xlsx", "A 21867-2025")</f>
        <v/>
      </c>
      <c r="X690">
        <f>HYPERLINK("https://klasma.github.io/Logging_1257/kartor/A 21867-2025 karta.png", "A 21867-2025")</f>
        <v/>
      </c>
      <c r="Y690">
        <f>HYPERLINK("https://klasma.github.io/Logging_1257/kartor_geotiff/A 21867-2025 georefererad karta.tif", "A 21867-2025")</f>
        <v/>
      </c>
      <c r="AA690">
        <f>HYPERLINK("https://klasma.github.io/Logging_1257/klagomål/A 21867-2025 FSC-klagomål.docx", "A 21867-2025")</f>
        <v/>
      </c>
      <c r="AB690">
        <f>HYPERLINK("https://klasma.github.io/Logging_1257/klagomålsmail/A 21867-2025 FSC-klagomål mail.docx", "A 21867-2025")</f>
        <v/>
      </c>
      <c r="AC690">
        <f>HYPERLINK("https://klasma.github.io/Logging_1257/tillsyn/A 21867-2025 tillsynsbegäran.docx", "A 21867-2025")</f>
        <v/>
      </c>
      <c r="AD690">
        <f>HYPERLINK("https://klasma.github.io/Logging_1257/tillsynsmail/A 21867-2025 tillsynsbegäran mail.docx", "A 21867-2025")</f>
        <v/>
      </c>
    </row>
    <row r="691" ht="15" customHeight="1">
      <c r="A691" t="inlineStr">
        <is>
          <t>A 26823-2026</t>
        </is>
      </c>
      <c r="B691" t="inlineStr">
        <is>
          <t>avverkningsanmälan</t>
        </is>
      </c>
      <c r="C691" t="inlineStr">
        <is>
          <t>Föryngringsavverkning</t>
        </is>
      </c>
      <c r="D691" s="1" t="n">
        <v>46183</v>
      </c>
      <c r="E691" s="1" t="n">
        <v>46312</v>
      </c>
      <c r="F691" t="inlineStr">
        <is>
          <t>SKÅNE LÄN</t>
        </is>
      </c>
      <c r="G691" t="inlineStr">
        <is>
          <t>TOMELILLA</t>
        </is>
      </c>
      <c r="I691" t="n">
        <v>12.1</v>
      </c>
      <c r="J691" t="n">
        <v>0</v>
      </c>
      <c r="K691" t="n">
        <v>0</v>
      </c>
      <c r="L691" t="n">
        <v>1</v>
      </c>
      <c r="M691" t="n">
        <v>0</v>
      </c>
      <c r="N691" t="n">
        <v>0</v>
      </c>
      <c r="O691" t="n">
        <v>0</v>
      </c>
      <c r="P691" t="n">
        <v>0</v>
      </c>
      <c r="Q691" t="n">
        <v>1</v>
      </c>
      <c r="R691" t="n">
        <v>0</v>
      </c>
      <c r="S691" t="n">
        <v>1</v>
      </c>
      <c r="T691" t="n">
        <v>1</v>
      </c>
      <c r="U691" t="n">
        <v>0</v>
      </c>
      <c r="V691" s="2" t="inlineStr">
        <is>
          <t>Bokkantlav</t>
        </is>
      </c>
      <c r="W691">
        <f>HYPERLINK("https://klasma.github.io/Logging_1270/artfynd/A 26823-2026 artfynd.xlsx", "A 26823-2026")</f>
        <v/>
      </c>
      <c r="X691">
        <f>HYPERLINK("https://klasma.github.io/Logging_1270/kartor/A 26823-2026 karta.png", "A 26823-2026")</f>
        <v/>
      </c>
      <c r="Y691">
        <f>HYPERLINK("https://klasma.github.io/Logging_1270/kartor_geotiff/A 26823-2026 georefererad karta.tif", "A 26823-2026")</f>
        <v/>
      </c>
      <c r="AA691">
        <f>HYPERLINK("https://klasma.github.io/Logging_1270/klagomål/A 26823-2026 FSC-klagomål.docx", "A 26823-2026")</f>
        <v/>
      </c>
      <c r="AB691">
        <f>HYPERLINK("https://klasma.github.io/Logging_1270/klagomålsmail/A 26823-2026 FSC-klagomål mail.docx", "A 26823-2026")</f>
        <v/>
      </c>
      <c r="AC691">
        <f>HYPERLINK("https://klasma.github.io/Logging_1270/tillsyn/A 26823-2026 tillsynsbegäran.docx", "A 26823-2026")</f>
        <v/>
      </c>
      <c r="AD691">
        <f>HYPERLINK("https://klasma.github.io/Logging_1270/tillsynsmail/A 26823-2026 tillsynsbegäran mail.docx", "A 26823-2026")</f>
        <v/>
      </c>
    </row>
    <row r="692" ht="15" customHeight="1">
      <c r="A692" t="inlineStr">
        <is>
          <t>A 34500-2026</t>
        </is>
      </c>
      <c r="B692" t="inlineStr">
        <is>
          <t>avverkningsanmälan</t>
        </is>
      </c>
      <c r="C692" t="inlineStr">
        <is>
          <t>Föryngringsavverkning</t>
        </is>
      </c>
      <c r="D692" s="1" t="n">
        <v>46255</v>
      </c>
      <c r="E692" s="1" t="n">
        <v>46312</v>
      </c>
      <c r="F692" t="inlineStr">
        <is>
          <t>SKÅNE LÄN</t>
        </is>
      </c>
      <c r="G692" t="inlineStr">
        <is>
          <t>HÖÖR</t>
        </is>
      </c>
      <c r="I692" t="n">
        <v>2.1</v>
      </c>
      <c r="J692" t="n">
        <v>1</v>
      </c>
      <c r="K692" t="n">
        <v>0</v>
      </c>
      <c r="L692" t="n">
        <v>0</v>
      </c>
      <c r="M692" t="n">
        <v>0</v>
      </c>
      <c r="N692" t="n">
        <v>0</v>
      </c>
      <c r="O692" t="n">
        <v>0</v>
      </c>
      <c r="P692" t="n">
        <v>0</v>
      </c>
      <c r="Q692" t="n">
        <v>0</v>
      </c>
      <c r="R692" t="n">
        <v>0</v>
      </c>
      <c r="S692" t="n">
        <v>1</v>
      </c>
      <c r="T692" t="n">
        <v>1</v>
      </c>
      <c r="U692" t="n">
        <v>0</v>
      </c>
      <c r="V692" s="2" t="inlineStr">
        <is>
          <t>Revlummer</t>
        </is>
      </c>
      <c r="W692">
        <f>HYPERLINK("https://klasma.github.io/Logging_1267/artfynd/A 34500-2026 artfynd.xlsx", "A 34500-2026")</f>
        <v/>
      </c>
      <c r="X692">
        <f>HYPERLINK("https://klasma.github.io/Logging_1267/kartor/A 34500-2026 karta.png", "A 34500-2026")</f>
        <v/>
      </c>
      <c r="Y692">
        <f>HYPERLINK("https://klasma.github.io/Logging_1267/kartor_geotiff/A 34500-2026 georefererad karta.tif", "A 34500-2026")</f>
        <v/>
      </c>
      <c r="AA692">
        <f>HYPERLINK("https://klasma.github.io/Logging_1267/klagomål/A 34500-2026 FSC-klagomål.docx", "A 34500-2026")</f>
        <v/>
      </c>
      <c r="AB692">
        <f>HYPERLINK("https://klasma.github.io/Logging_1267/klagomålsmail/A 34500-2026 FSC-klagomål mail.docx", "A 34500-2026")</f>
        <v/>
      </c>
      <c r="AC692">
        <f>HYPERLINK("https://klasma.github.io/Logging_1267/tillsyn/A 34500-2026 tillsynsbegäran.docx", "A 34500-2026")</f>
        <v/>
      </c>
      <c r="AD692">
        <f>HYPERLINK("https://klasma.github.io/Logging_1267/tillsynsmail/A 34500-2026 tillsynsbegäran mail.docx", "A 34500-2026")</f>
        <v/>
      </c>
    </row>
    <row r="693" ht="15" customHeight="1">
      <c r="A693" t="inlineStr">
        <is>
          <t>A 29129-2026</t>
        </is>
      </c>
      <c r="B693" t="inlineStr">
        <is>
          <t>avverkningsanmälan</t>
        </is>
      </c>
      <c r="C693" t="inlineStr">
        <is>
          <t>Föryngringsavverkning</t>
        </is>
      </c>
      <c r="D693" s="1" t="n">
        <v>46202</v>
      </c>
      <c r="E693" s="1" t="n">
        <v>46312</v>
      </c>
      <c r="F693" t="inlineStr">
        <is>
          <t>SKÅNE LÄN</t>
        </is>
      </c>
      <c r="G693" t="inlineStr">
        <is>
          <t>HÖRBY</t>
        </is>
      </c>
      <c r="H693" t="inlineStr">
        <is>
          <t>Sveaskog</t>
        </is>
      </c>
      <c r="I693" t="n">
        <v>10.5</v>
      </c>
      <c r="J693" t="n">
        <v>0</v>
      </c>
      <c r="K693" t="n">
        <v>0</v>
      </c>
      <c r="L693" t="n">
        <v>1</v>
      </c>
      <c r="M693" t="n">
        <v>0</v>
      </c>
      <c r="N693" t="n">
        <v>0</v>
      </c>
      <c r="O693" t="n">
        <v>0</v>
      </c>
      <c r="P693" t="n">
        <v>0</v>
      </c>
      <c r="Q693" t="n">
        <v>1</v>
      </c>
      <c r="R693" t="n">
        <v>0</v>
      </c>
      <c r="S693" t="n">
        <v>1</v>
      </c>
      <c r="T693" t="n">
        <v>1</v>
      </c>
      <c r="U693" t="n">
        <v>0</v>
      </c>
      <c r="V693" s="2" t="inlineStr">
        <is>
          <t>Ekticka</t>
        </is>
      </c>
      <c r="W693">
        <f>HYPERLINK("https://klasma.github.io/Logging_1266/artfynd/A 29129-2026 artfynd.xlsx", "A 29129-2026")</f>
        <v/>
      </c>
      <c r="X693">
        <f>HYPERLINK("https://klasma.github.io/Logging_1266/kartor/A 29129-2026 karta.png", "A 29129-2026")</f>
        <v/>
      </c>
      <c r="Y693">
        <f>HYPERLINK("https://klasma.github.io/Logging_1266/kartor_geotiff/A 29129-2026 georefererad karta.tif", "A 29129-2026")</f>
        <v/>
      </c>
      <c r="AA693">
        <f>HYPERLINK("https://klasma.github.io/Logging_1266/klagomål/A 29129-2026 FSC-klagomål.docx", "A 29129-2026")</f>
        <v/>
      </c>
      <c r="AB693">
        <f>HYPERLINK("https://klasma.github.io/Logging_1266/klagomålsmail/A 29129-2026 FSC-klagomål mail.docx", "A 29129-2026")</f>
        <v/>
      </c>
      <c r="AC693">
        <f>HYPERLINK("https://klasma.github.io/Logging_1266/tillsyn/A 29129-2026 tillsynsbegäran.docx", "A 29129-2026")</f>
        <v/>
      </c>
      <c r="AD693">
        <f>HYPERLINK("https://klasma.github.io/Logging_1266/tillsynsmail/A 29129-2026 tillsynsbegäran mail.docx", "A 29129-2026")</f>
        <v/>
      </c>
    </row>
    <row r="694" ht="15" customHeight="1">
      <c r="A694" t="inlineStr">
        <is>
          <t>A 22272-2024</t>
        </is>
      </c>
      <c r="B694" t="inlineStr">
        <is>
          <t>avverkningsanmälan</t>
        </is>
      </c>
      <c r="C694" t="inlineStr">
        <is>
          <t>Avverkning för annat ändamål</t>
        </is>
      </c>
      <c r="D694" s="1" t="n">
        <v>45446</v>
      </c>
      <c r="E694" s="1" t="n">
        <v>46312</v>
      </c>
      <c r="F694" t="inlineStr">
        <is>
          <t>SKÅNE LÄN</t>
        </is>
      </c>
      <c r="G694" t="inlineStr">
        <is>
          <t>KRISTIANSTAD</t>
        </is>
      </c>
      <c r="I694" t="n">
        <v>5.7</v>
      </c>
      <c r="J694" t="n">
        <v>1</v>
      </c>
      <c r="K694" t="n">
        <v>0</v>
      </c>
      <c r="L694" t="n">
        <v>0</v>
      </c>
      <c r="M694" t="n">
        <v>0</v>
      </c>
      <c r="N694" t="n">
        <v>0</v>
      </c>
      <c r="O694" t="n">
        <v>0</v>
      </c>
      <c r="P694" t="n">
        <v>0</v>
      </c>
      <c r="Q694" t="n">
        <v>0</v>
      </c>
      <c r="R694" t="n">
        <v>0</v>
      </c>
      <c r="S694" t="n">
        <v>1</v>
      </c>
      <c r="T694" t="n">
        <v>1</v>
      </c>
      <c r="U694" t="n">
        <v>0</v>
      </c>
      <c r="V694" s="2" t="inlineStr">
        <is>
          <t>Dubbelnycklar</t>
        </is>
      </c>
      <c r="W694">
        <f>HYPERLINK("https://klasma.github.io/Logging_1290/artfynd/A 22272-2024 artfynd.xlsx", "A 22272-2024")</f>
        <v/>
      </c>
      <c r="X694">
        <f>HYPERLINK("https://klasma.github.io/Logging_1290/kartor/A 22272-2024 karta.png", "A 22272-2024")</f>
        <v/>
      </c>
      <c r="Y694">
        <f>HYPERLINK("https://klasma.github.io/Logging_1290/kartor_geotiff/A 22272-2024 georefererad karta.tif", "A 22272-2024")</f>
        <v/>
      </c>
      <c r="AA694">
        <f>HYPERLINK("https://klasma.github.io/Logging_1290/klagomål/A 22272-2024 FSC-klagomål.docx", "A 22272-2024")</f>
        <v/>
      </c>
      <c r="AB694">
        <f>HYPERLINK("https://klasma.github.io/Logging_1290/klagomålsmail/A 22272-2024 FSC-klagomål mail.docx", "A 22272-2024")</f>
        <v/>
      </c>
      <c r="AC694">
        <f>HYPERLINK("https://klasma.github.io/Logging_1290/tillsyn/A 22272-2024 tillsynsbegäran.docx", "A 22272-2024")</f>
        <v/>
      </c>
      <c r="AD694">
        <f>HYPERLINK("https://klasma.github.io/Logging_1290/tillsynsmail/A 22272-2024 tillsynsbegäran mail.docx", "A 22272-2024")</f>
        <v/>
      </c>
    </row>
    <row r="695" ht="15" customHeight="1">
      <c r="A695" t="inlineStr">
        <is>
          <t>A 17907-2024</t>
        </is>
      </c>
      <c r="B695" t="inlineStr">
        <is>
          <t>avverkningsanmälan</t>
        </is>
      </c>
      <c r="C695" t="inlineStr">
        <is>
          <t>Föryngringsavverkning</t>
        </is>
      </c>
      <c r="D695" s="1" t="n">
        <v>45419</v>
      </c>
      <c r="E695" s="1" t="n">
        <v>46312</v>
      </c>
      <c r="F695" t="inlineStr">
        <is>
          <t>SKÅNE LÄN</t>
        </is>
      </c>
      <c r="G695" t="inlineStr">
        <is>
          <t>TOMELILLA</t>
        </is>
      </c>
      <c r="I695" t="n">
        <v>3.1</v>
      </c>
      <c r="J695" t="n">
        <v>0</v>
      </c>
      <c r="K695" t="n">
        <v>0</v>
      </c>
      <c r="L695" t="n">
        <v>0</v>
      </c>
      <c r="M695" t="n">
        <v>0</v>
      </c>
      <c r="N695" t="n">
        <v>0</v>
      </c>
      <c r="O695" t="n">
        <v>0</v>
      </c>
      <c r="P695" t="n">
        <v>0</v>
      </c>
      <c r="Q695" t="n">
        <v>0</v>
      </c>
      <c r="R695" t="n">
        <v>0</v>
      </c>
      <c r="S695" t="n">
        <v>1</v>
      </c>
      <c r="T695" t="n">
        <v>1</v>
      </c>
      <c r="U695" t="n">
        <v>1</v>
      </c>
      <c r="V695" s="2" t="inlineStr">
        <is>
          <t>Gulplister</t>
        </is>
      </c>
      <c r="W695">
        <f>HYPERLINK("https://klasma.github.io/Logging_1270/artfynd/A 17907-2024 artfynd.xlsx", "A 17907-2024")</f>
        <v/>
      </c>
      <c r="X695">
        <f>HYPERLINK("https://klasma.github.io/Logging_1270/kartor/A 17907-2024 karta.png", "A 17907-2024")</f>
        <v/>
      </c>
      <c r="Y695">
        <f>HYPERLINK("https://klasma.github.io/Logging_1270/kartor_geotiff/A 17907-2024 georefererad karta.tif", "A 17907-2024")</f>
        <v/>
      </c>
      <c r="AA695">
        <f>HYPERLINK("https://klasma.github.io/Logging_1270/klagomål/A 17907-2024 FSC-klagomål.docx", "A 17907-2024")</f>
        <v/>
      </c>
      <c r="AB695">
        <f>HYPERLINK("https://klasma.github.io/Logging_1270/klagomålsmail/A 17907-2024 FSC-klagomål mail.docx", "A 17907-2024")</f>
        <v/>
      </c>
      <c r="AC695">
        <f>HYPERLINK("https://klasma.github.io/Logging_1270/tillsyn/A 17907-2024 tillsynsbegäran.docx", "A 17907-2024")</f>
        <v/>
      </c>
      <c r="AD695">
        <f>HYPERLINK("https://klasma.github.io/Logging_1270/tillsynsmail/A 17907-2024 tillsynsbegäran mail.docx", "A 17907-2024")</f>
        <v/>
      </c>
    </row>
    <row r="696" ht="15" customHeight="1">
      <c r="A696" t="inlineStr">
        <is>
          <t>A 1510-2024</t>
        </is>
      </c>
      <c r="B696" t="inlineStr">
        <is>
          <t>avverkningsanmälan</t>
        </is>
      </c>
      <c r="C696" t="inlineStr">
        <is>
          <t>Föryngringsavverkning</t>
        </is>
      </c>
      <c r="D696" s="1" t="n">
        <v>45306</v>
      </c>
      <c r="E696" s="1" t="n">
        <v>46312</v>
      </c>
      <c r="F696" t="inlineStr">
        <is>
          <t>SKÅNE LÄN</t>
        </is>
      </c>
      <c r="G696" t="inlineStr">
        <is>
          <t>ESLÖV</t>
        </is>
      </c>
      <c r="I696" t="n">
        <v>3.7</v>
      </c>
      <c r="J696" t="n">
        <v>1</v>
      </c>
      <c r="K696" t="n">
        <v>0</v>
      </c>
      <c r="L696" t="n">
        <v>0</v>
      </c>
      <c r="M696" t="n">
        <v>0</v>
      </c>
      <c r="N696" t="n">
        <v>0</v>
      </c>
      <c r="O696" t="n">
        <v>0</v>
      </c>
      <c r="P696" t="n">
        <v>1</v>
      </c>
      <c r="Q696" t="n">
        <v>1</v>
      </c>
      <c r="R696" t="n">
        <v>0</v>
      </c>
      <c r="S696" t="n">
        <v>1</v>
      </c>
      <c r="T696" t="n">
        <v>1</v>
      </c>
      <c r="U696" t="n">
        <v>0</v>
      </c>
      <c r="V696" s="2" t="inlineStr">
        <is>
          <t>Svart stork</t>
        </is>
      </c>
      <c r="W696">
        <f>HYPERLINK("https://klasma.github.io/Logging_1285/artfynd/A 1510-2024 artfynd.xlsx", "A 1510-2024")</f>
        <v/>
      </c>
      <c r="X696">
        <f>HYPERLINK("https://klasma.github.io/Logging_1285/kartor/A 1510-2024 karta.png", "A 1510-2024")</f>
        <v/>
      </c>
      <c r="Y696">
        <f>HYPERLINK("https://klasma.github.io/Logging_1285/kartor_geotiff/A 1510-2024 georefererad karta.tif", "A 1510-2024")</f>
        <v/>
      </c>
      <c r="AA696">
        <f>HYPERLINK("https://klasma.github.io/Logging_1285/klagomål/A 1510-2024 FSC-klagomål.docx", "A 1510-2024")</f>
        <v/>
      </c>
      <c r="AB696">
        <f>HYPERLINK("https://klasma.github.io/Logging_1285/klagomålsmail/A 1510-2024 FSC-klagomål mail.docx", "A 1510-2024")</f>
        <v/>
      </c>
      <c r="AC696">
        <f>HYPERLINK("https://klasma.github.io/Logging_1285/tillsyn/A 1510-2024 tillsynsbegäran.docx", "A 1510-2024")</f>
        <v/>
      </c>
      <c r="AD696">
        <f>HYPERLINK("https://klasma.github.io/Logging_1285/tillsynsmail/A 1510-2024 tillsynsbegäran mail.docx", "A 1510-2024")</f>
        <v/>
      </c>
      <c r="AE696">
        <f>HYPERLINK("https://klasma.github.io/Logging_1285/fåglar/A 1510-2024 prioriterade fågelarter.docx", "A 1510-2024")</f>
        <v/>
      </c>
    </row>
    <row r="697" ht="15" customHeight="1">
      <c r="A697" t="inlineStr">
        <is>
          <t>A 52652-2023</t>
        </is>
      </c>
      <c r="B697" t="inlineStr">
        <is>
          <t>avverkningsanmälan</t>
        </is>
      </c>
      <c r="C697" t="inlineStr">
        <is>
          <t>Föryngringsavverkning</t>
        </is>
      </c>
      <c r="D697" s="1" t="n">
        <v>45225</v>
      </c>
      <c r="E697" s="1" t="n">
        <v>46312</v>
      </c>
      <c r="F697" t="inlineStr">
        <is>
          <t>SKÅNE LÄN</t>
        </is>
      </c>
      <c r="G697" t="inlineStr">
        <is>
          <t>ESLÖV</t>
        </is>
      </c>
      <c r="I697" t="n">
        <v>2.9</v>
      </c>
      <c r="J697" t="n">
        <v>1</v>
      </c>
      <c r="K697" t="n">
        <v>0</v>
      </c>
      <c r="L697" t="n">
        <v>0</v>
      </c>
      <c r="M697" t="n">
        <v>1</v>
      </c>
      <c r="N697" t="n">
        <v>0</v>
      </c>
      <c r="O697" t="n">
        <v>0</v>
      </c>
      <c r="P697" t="n">
        <v>0</v>
      </c>
      <c r="Q697" t="n">
        <v>1</v>
      </c>
      <c r="R697" t="n">
        <v>1</v>
      </c>
      <c r="S697" t="n">
        <v>1</v>
      </c>
      <c r="T697" t="n">
        <v>1</v>
      </c>
      <c r="U697" t="n">
        <v>0</v>
      </c>
      <c r="V697" s="2" t="inlineStr">
        <is>
          <t>Grönfläckig padda</t>
        </is>
      </c>
      <c r="W697">
        <f>HYPERLINK("https://klasma.github.io/Logging_1285/artfynd/A 52652-2023 artfynd.xlsx", "A 52652-2023")</f>
        <v/>
      </c>
      <c r="X697">
        <f>HYPERLINK("https://klasma.github.io/Logging_1285/kartor/A 52652-2023 karta.png", "A 52652-2023")</f>
        <v/>
      </c>
      <c r="Y697">
        <f>HYPERLINK("https://klasma.github.io/Logging_1285/kartor_geotiff/A 52652-2023 georefererad karta.tif", "A 52652-2023")</f>
        <v/>
      </c>
      <c r="AA697">
        <f>HYPERLINK("https://klasma.github.io/Logging_1285/klagomål/A 52652-2023 FSC-klagomål.docx", "A 52652-2023")</f>
        <v/>
      </c>
      <c r="AB697">
        <f>HYPERLINK("https://klasma.github.io/Logging_1285/klagomålsmail/A 52652-2023 FSC-klagomål mail.docx", "A 52652-2023")</f>
        <v/>
      </c>
      <c r="AC697">
        <f>HYPERLINK("https://klasma.github.io/Logging_1285/tillsyn/A 52652-2023 tillsynsbegäran.docx", "A 52652-2023")</f>
        <v/>
      </c>
      <c r="AD697">
        <f>HYPERLINK("https://klasma.github.io/Logging_1285/tillsynsmail/A 52652-2023 tillsynsbegäran mail.docx", "A 52652-2023")</f>
        <v/>
      </c>
    </row>
    <row r="698" ht="15" customHeight="1">
      <c r="A698" t="inlineStr">
        <is>
          <t>A 18713-2024</t>
        </is>
      </c>
      <c r="B698" t="inlineStr">
        <is>
          <t>avverkningsanmälan</t>
        </is>
      </c>
      <c r="C698" t="inlineStr">
        <is>
          <t>Föryngringsavverkning</t>
        </is>
      </c>
      <c r="D698" s="1" t="n">
        <v>45426</v>
      </c>
      <c r="E698" s="1" t="n">
        <v>46312</v>
      </c>
      <c r="F698" t="inlineStr">
        <is>
          <t>SKÅNE LÄN</t>
        </is>
      </c>
      <c r="G698" t="inlineStr">
        <is>
          <t>ESLÖV</t>
        </is>
      </c>
      <c r="I698" t="n">
        <v>4.1</v>
      </c>
      <c r="J698" t="n">
        <v>1</v>
      </c>
      <c r="K698" t="n">
        <v>0</v>
      </c>
      <c r="L698" t="n">
        <v>0</v>
      </c>
      <c r="M698" t="n">
        <v>1</v>
      </c>
      <c r="N698" t="n">
        <v>0</v>
      </c>
      <c r="O698" t="n">
        <v>0</v>
      </c>
      <c r="P698" t="n">
        <v>0</v>
      </c>
      <c r="Q698" t="n">
        <v>1</v>
      </c>
      <c r="R698" t="n">
        <v>1</v>
      </c>
      <c r="S698" t="n">
        <v>1</v>
      </c>
      <c r="T698" t="n">
        <v>1</v>
      </c>
      <c r="U698" t="n">
        <v>0</v>
      </c>
      <c r="V698" s="2" t="inlineStr">
        <is>
          <t>Gråtrut</t>
        </is>
      </c>
      <c r="W698">
        <f>HYPERLINK("https://klasma.github.io/Logging_1285/artfynd/A 18713-2024 artfynd.xlsx", "A 18713-2024")</f>
        <v/>
      </c>
      <c r="X698">
        <f>HYPERLINK("https://klasma.github.io/Logging_1285/kartor/A 18713-2024 karta.png", "A 18713-2024")</f>
        <v/>
      </c>
      <c r="Y698">
        <f>HYPERLINK("https://klasma.github.io/Logging_1285/kartor_geotiff/A 18713-2024 georefererad karta.tif", "A 18713-2024")</f>
        <v/>
      </c>
      <c r="AA698">
        <f>HYPERLINK("https://klasma.github.io/Logging_1285/klagomål/A 18713-2024 FSC-klagomål.docx", "A 18713-2024")</f>
        <v/>
      </c>
      <c r="AB698">
        <f>HYPERLINK("https://klasma.github.io/Logging_1285/klagomålsmail/A 18713-2024 FSC-klagomål mail.docx", "A 18713-2024")</f>
        <v/>
      </c>
      <c r="AC698">
        <f>HYPERLINK("https://klasma.github.io/Logging_1285/tillsyn/A 18713-2024 tillsynsbegäran.docx", "A 18713-2024")</f>
        <v/>
      </c>
      <c r="AD698">
        <f>HYPERLINK("https://klasma.github.io/Logging_1285/tillsynsmail/A 18713-2024 tillsynsbegäran mail.docx", "A 18713-2024")</f>
        <v/>
      </c>
    </row>
    <row r="699" ht="15" customHeight="1">
      <c r="A699" t="inlineStr">
        <is>
          <t>A 6634-2024</t>
        </is>
      </c>
      <c r="B699" t="inlineStr">
        <is>
          <t>avverkningsanmälan</t>
        </is>
      </c>
      <c r="C699" t="inlineStr">
        <is>
          <t>Föryngringsavverkning</t>
        </is>
      </c>
      <c r="D699" s="1" t="n">
        <v>45341</v>
      </c>
      <c r="E699" s="1" t="n">
        <v>46312</v>
      </c>
      <c r="F699" t="inlineStr">
        <is>
          <t>SKÅNE LÄN</t>
        </is>
      </c>
      <c r="G699" t="inlineStr">
        <is>
          <t>HÄSSLEHOLM</t>
        </is>
      </c>
      <c r="I699" t="n">
        <v>1.9</v>
      </c>
      <c r="J699" t="n">
        <v>0</v>
      </c>
      <c r="K699" t="n">
        <v>0</v>
      </c>
      <c r="L699" t="n">
        <v>0</v>
      </c>
      <c r="M699" t="n">
        <v>1</v>
      </c>
      <c r="N699" t="n">
        <v>0</v>
      </c>
      <c r="O699" t="n">
        <v>0</v>
      </c>
      <c r="P699" t="n">
        <v>0</v>
      </c>
      <c r="Q699" t="n">
        <v>1</v>
      </c>
      <c r="R699" t="n">
        <v>1</v>
      </c>
      <c r="S699" t="n">
        <v>1</v>
      </c>
      <c r="T699" t="n">
        <v>1</v>
      </c>
      <c r="U699" t="n">
        <v>0</v>
      </c>
      <c r="V699" s="2" t="inlineStr">
        <is>
          <t>Revig blodrot</t>
        </is>
      </c>
      <c r="W699">
        <f>HYPERLINK("https://klasma.github.io/Logging_1293/artfynd/A 6634-2024 artfynd.xlsx", "A 6634-2024")</f>
        <v/>
      </c>
      <c r="X699">
        <f>HYPERLINK("https://klasma.github.io/Logging_1293/kartor/A 6634-2024 karta.png", "A 6634-2024")</f>
        <v/>
      </c>
      <c r="Y699">
        <f>HYPERLINK("https://klasma.github.io/Logging_1293/kartor_geotiff/A 6634-2024 georefererad karta.tif", "A 6634-2024")</f>
        <v/>
      </c>
      <c r="AA699">
        <f>HYPERLINK("https://klasma.github.io/Logging_1293/klagomål/A 6634-2024 FSC-klagomål.docx", "A 6634-2024")</f>
        <v/>
      </c>
      <c r="AB699">
        <f>HYPERLINK("https://klasma.github.io/Logging_1293/klagomålsmail/A 6634-2024 FSC-klagomål mail.docx", "A 6634-2024")</f>
        <v/>
      </c>
      <c r="AC699">
        <f>HYPERLINK("https://klasma.github.io/Logging_1293/tillsyn/A 6634-2024 tillsynsbegäran.docx", "A 6634-2024")</f>
        <v/>
      </c>
      <c r="AD699">
        <f>HYPERLINK("https://klasma.github.io/Logging_1293/tillsynsmail/A 6634-2024 tillsynsbegäran mail.docx", "A 6634-2024")</f>
        <v/>
      </c>
    </row>
    <row r="700" ht="15" customHeight="1">
      <c r="A700" t="inlineStr">
        <is>
          <t>A 8169-2024</t>
        </is>
      </c>
      <c r="B700" t="inlineStr">
        <is>
          <t>avverkningsanmälan</t>
        </is>
      </c>
      <c r="C700" t="inlineStr">
        <is>
          <t>Föryngringsavverkning</t>
        </is>
      </c>
      <c r="D700" s="1" t="n">
        <v>45351</v>
      </c>
      <c r="E700" s="1" t="n">
        <v>46312</v>
      </c>
      <c r="F700" t="inlineStr">
        <is>
          <t>SKÅNE LÄN</t>
        </is>
      </c>
      <c r="G700" t="inlineStr">
        <is>
          <t>SVALÖV</t>
        </is>
      </c>
      <c r="I700" t="n">
        <v>3.1</v>
      </c>
      <c r="J700" t="n">
        <v>0</v>
      </c>
      <c r="K700" t="n">
        <v>0</v>
      </c>
      <c r="L700" t="n">
        <v>1</v>
      </c>
      <c r="M700" t="n">
        <v>0</v>
      </c>
      <c r="N700" t="n">
        <v>0</v>
      </c>
      <c r="O700" t="n">
        <v>0</v>
      </c>
      <c r="P700" t="n">
        <v>0</v>
      </c>
      <c r="Q700" t="n">
        <v>1</v>
      </c>
      <c r="R700" t="n">
        <v>0</v>
      </c>
      <c r="S700" t="n">
        <v>1</v>
      </c>
      <c r="T700" t="n">
        <v>1</v>
      </c>
      <c r="U700" t="n">
        <v>0</v>
      </c>
      <c r="V700" s="2" t="inlineStr">
        <is>
          <t>Mjukdån</t>
        </is>
      </c>
      <c r="W700">
        <f>HYPERLINK("https://klasma.github.io/Logging_1214/artfynd/A 8169-2024 artfynd.xlsx", "A 8169-2024")</f>
        <v/>
      </c>
      <c r="X700">
        <f>HYPERLINK("https://klasma.github.io/Logging_1214/kartor/A 8169-2024 karta.png", "A 8169-2024")</f>
        <v/>
      </c>
      <c r="Y700">
        <f>HYPERLINK("https://klasma.github.io/Logging_1214/kartor_geotiff/A 8169-2024 georefererad karta.tif", "A 8169-2024")</f>
        <v/>
      </c>
      <c r="AA700">
        <f>HYPERLINK("https://klasma.github.io/Logging_1214/klagomål/A 8169-2024 FSC-klagomål.docx", "A 8169-2024")</f>
        <v/>
      </c>
      <c r="AB700">
        <f>HYPERLINK("https://klasma.github.io/Logging_1214/klagomålsmail/A 8169-2024 FSC-klagomål mail.docx", "A 8169-2024")</f>
        <v/>
      </c>
      <c r="AC700">
        <f>HYPERLINK("https://klasma.github.io/Logging_1214/tillsyn/A 8169-2024 tillsynsbegäran.docx", "A 8169-2024")</f>
        <v/>
      </c>
      <c r="AD700">
        <f>HYPERLINK("https://klasma.github.io/Logging_1214/tillsynsmail/A 8169-2024 tillsynsbegäran mail.docx", "A 8169-2024")</f>
        <v/>
      </c>
    </row>
    <row r="701" ht="15" customHeight="1">
      <c r="A701" t="inlineStr">
        <is>
          <t>A 60925-2024</t>
        </is>
      </c>
      <c r="B701" t="inlineStr">
        <is>
          <t>avverkningsanmälan</t>
        </is>
      </c>
      <c r="C701" t="inlineStr">
        <is>
          <t>Föryngringsavverkning</t>
        </is>
      </c>
      <c r="D701" s="1" t="n">
        <v>45645</v>
      </c>
      <c r="E701" s="1" t="n">
        <v>46312</v>
      </c>
      <c r="F701" t="inlineStr">
        <is>
          <t>SKÅNE LÄN</t>
        </is>
      </c>
      <c r="G701" t="inlineStr">
        <is>
          <t>HÄSSLEHOLM</t>
        </is>
      </c>
      <c r="I701" t="n">
        <v>1.8</v>
      </c>
      <c r="J701" t="n">
        <v>0</v>
      </c>
      <c r="K701" t="n">
        <v>0</v>
      </c>
      <c r="L701" t="n">
        <v>0</v>
      </c>
      <c r="M701" t="n">
        <v>0</v>
      </c>
      <c r="N701" t="n">
        <v>1</v>
      </c>
      <c r="O701" t="n">
        <v>0</v>
      </c>
      <c r="P701" t="n">
        <v>0</v>
      </c>
      <c r="Q701" t="n">
        <v>1</v>
      </c>
      <c r="R701" t="n">
        <v>1</v>
      </c>
      <c r="S701" t="n">
        <v>1</v>
      </c>
      <c r="T701" t="n">
        <v>1</v>
      </c>
      <c r="U701" t="n">
        <v>0</v>
      </c>
      <c r="V701" s="2" t="inlineStr">
        <is>
          <t>Ask</t>
        </is>
      </c>
      <c r="W701">
        <f>HYPERLINK("https://klasma.github.io/Logging_1293/artfynd/A 60925-2024 artfynd.xlsx", "A 60925-2024")</f>
        <v/>
      </c>
      <c r="X701">
        <f>HYPERLINK("https://klasma.github.io/Logging_1293/kartor/A 60925-2024 karta.png", "A 60925-2024")</f>
        <v/>
      </c>
      <c r="Y701">
        <f>HYPERLINK("https://klasma.github.io/Logging_1293/kartor_geotiff/A 60925-2024 georefererad karta.tif", "A 60925-2024")</f>
        <v/>
      </c>
      <c r="AA701">
        <f>HYPERLINK("https://klasma.github.io/Logging_1293/klagomål/A 60925-2024 FSC-klagomål.docx", "A 60925-2024")</f>
        <v/>
      </c>
      <c r="AB701">
        <f>HYPERLINK("https://klasma.github.io/Logging_1293/klagomålsmail/A 60925-2024 FSC-klagomål mail.docx", "A 60925-2024")</f>
        <v/>
      </c>
      <c r="AC701">
        <f>HYPERLINK("https://klasma.github.io/Logging_1293/tillsyn/A 60925-2024 tillsynsbegäran.docx", "A 60925-2024")</f>
        <v/>
      </c>
      <c r="AD701">
        <f>HYPERLINK("https://klasma.github.io/Logging_1293/tillsynsmail/A 60925-2024 tillsynsbegäran mail.docx", "A 60925-2024")</f>
        <v/>
      </c>
    </row>
    <row r="702" ht="15" customHeight="1">
      <c r="A702" t="inlineStr">
        <is>
          <t>A 2194-2025</t>
        </is>
      </c>
      <c r="B702" t="inlineStr">
        <is>
          <t>avverkningsanmälan</t>
        </is>
      </c>
      <c r="C702" t="inlineStr">
        <is>
          <t>Föryngringsavverkning</t>
        </is>
      </c>
      <c r="D702" s="1" t="n">
        <v>45673</v>
      </c>
      <c r="E702" s="1" t="n">
        <v>46312</v>
      </c>
      <c r="F702" t="inlineStr">
        <is>
          <t>SKÅNE LÄN</t>
        </is>
      </c>
      <c r="G702" t="inlineStr">
        <is>
          <t>HÄSSLEHOLM</t>
        </is>
      </c>
      <c r="I702" t="n">
        <v>3.4</v>
      </c>
      <c r="J702" t="n">
        <v>1</v>
      </c>
      <c r="K702" t="n">
        <v>0</v>
      </c>
      <c r="L702" t="n">
        <v>0</v>
      </c>
      <c r="M702" t="n">
        <v>0</v>
      </c>
      <c r="N702" t="n">
        <v>0</v>
      </c>
      <c r="O702" t="n">
        <v>0</v>
      </c>
      <c r="P702" t="n">
        <v>0</v>
      </c>
      <c r="Q702" t="n">
        <v>0</v>
      </c>
      <c r="R702" t="n">
        <v>0</v>
      </c>
      <c r="S702" t="n">
        <v>1</v>
      </c>
      <c r="T702" t="n">
        <v>1</v>
      </c>
      <c r="U702" t="n">
        <v>0</v>
      </c>
      <c r="V702" s="2" t="inlineStr">
        <is>
          <t>Utter</t>
        </is>
      </c>
      <c r="W702">
        <f>HYPERLINK("https://klasma.github.io/Logging_1293/artfynd/A 2194-2025 artfynd.xlsx", "A 2194-2025")</f>
        <v/>
      </c>
      <c r="X702">
        <f>HYPERLINK("https://klasma.github.io/Logging_1293/kartor/A 2194-2025 karta.png", "A 2194-2025")</f>
        <v/>
      </c>
      <c r="Y702">
        <f>HYPERLINK("https://klasma.github.io/Logging_1293/kartor_geotiff/A 2194-2025 georefererad karta.tif", "A 2194-2025")</f>
        <v/>
      </c>
      <c r="AA702">
        <f>HYPERLINK("https://klasma.github.io/Logging_1293/klagomål/A 2194-2025 FSC-klagomål.docx", "A 2194-2025")</f>
        <v/>
      </c>
      <c r="AB702">
        <f>HYPERLINK("https://klasma.github.io/Logging_1293/klagomålsmail/A 2194-2025 FSC-klagomål mail.docx", "A 2194-2025")</f>
        <v/>
      </c>
      <c r="AC702">
        <f>HYPERLINK("https://klasma.github.io/Logging_1293/tillsyn/A 2194-2025 tillsynsbegäran.docx", "A 2194-2025")</f>
        <v/>
      </c>
      <c r="AD702">
        <f>HYPERLINK("https://klasma.github.io/Logging_1293/tillsynsmail/A 2194-2025 tillsynsbegäran mail.docx", "A 2194-2025")</f>
        <v/>
      </c>
    </row>
    <row r="703" ht="15" customHeight="1">
      <c r="A703" t="inlineStr">
        <is>
          <t>A 25054-2026</t>
        </is>
      </c>
      <c r="B703" t="inlineStr">
        <is>
          <t>avverkningsanmälan</t>
        </is>
      </c>
      <c r="C703" t="inlineStr">
        <is>
          <t>Föryngringsavverkning</t>
        </is>
      </c>
      <c r="D703" s="1" t="n">
        <v>46174</v>
      </c>
      <c r="E703" s="1" t="n">
        <v>46312</v>
      </c>
      <c r="F703" t="inlineStr">
        <is>
          <t>SKÅNE LÄN</t>
        </is>
      </c>
      <c r="G703" t="inlineStr">
        <is>
          <t>SVEDALA</t>
        </is>
      </c>
      <c r="I703" t="n">
        <v>3.8</v>
      </c>
      <c r="J703" t="n">
        <v>0</v>
      </c>
      <c r="K703" t="n">
        <v>1</v>
      </c>
      <c r="L703" t="n">
        <v>0</v>
      </c>
      <c r="M703" t="n">
        <v>0</v>
      </c>
      <c r="N703" t="n">
        <v>0</v>
      </c>
      <c r="O703" t="n">
        <v>0</v>
      </c>
      <c r="P703" t="n">
        <v>0</v>
      </c>
      <c r="Q703" t="n">
        <v>0</v>
      </c>
      <c r="R703" t="n">
        <v>0</v>
      </c>
      <c r="S703" t="n">
        <v>1</v>
      </c>
      <c r="T703" t="n">
        <v>1</v>
      </c>
      <c r="U703" t="n">
        <v>0</v>
      </c>
      <c r="V703" s="2" t="inlineStr">
        <is>
          <t>Fransig jordstjärna</t>
        </is>
      </c>
      <c r="W703">
        <f>HYPERLINK("https://klasma.github.io/Logging_1263/artfynd/A 25054-2026 artfynd.xlsx", "A 25054-2026")</f>
        <v/>
      </c>
      <c r="X703">
        <f>HYPERLINK("https://klasma.github.io/Logging_1263/kartor/A 25054-2026 karta.png", "A 25054-2026")</f>
        <v/>
      </c>
      <c r="Y703">
        <f>HYPERLINK("https://klasma.github.io/Logging_1263/kartor_geotiff/A 25054-2026 georefererad karta.tif", "A 25054-2026")</f>
        <v/>
      </c>
      <c r="AA703">
        <f>HYPERLINK("https://klasma.github.io/Logging_1263/klagomål/A 25054-2026 FSC-klagomål.docx", "A 25054-2026")</f>
        <v/>
      </c>
      <c r="AB703">
        <f>HYPERLINK("https://klasma.github.io/Logging_1263/klagomålsmail/A 25054-2026 FSC-klagomål mail.docx", "A 25054-2026")</f>
        <v/>
      </c>
      <c r="AC703">
        <f>HYPERLINK("https://klasma.github.io/Logging_1263/tillsyn/A 25054-2026 tillsynsbegäran.docx", "A 25054-2026")</f>
        <v/>
      </c>
      <c r="AD703">
        <f>HYPERLINK("https://klasma.github.io/Logging_1263/tillsynsmail/A 25054-2026 tillsynsbegäran mail.docx", "A 25054-2026")</f>
        <v/>
      </c>
    </row>
    <row r="704" ht="15" customHeight="1">
      <c r="A704" t="inlineStr">
        <is>
          <t>A 48926-2024</t>
        </is>
      </c>
      <c r="B704" t="inlineStr">
        <is>
          <t>avverkningsanmälan</t>
        </is>
      </c>
      <c r="C704" t="inlineStr">
        <is>
          <t>Föryngringsavverkning</t>
        </is>
      </c>
      <c r="D704" s="1" t="n">
        <v>45594</v>
      </c>
      <c r="E704" s="1" t="n">
        <v>46312</v>
      </c>
      <c r="F704" t="inlineStr">
        <is>
          <t>SKÅNE LÄN</t>
        </is>
      </c>
      <c r="G704" t="inlineStr">
        <is>
          <t>HÖÖR</t>
        </is>
      </c>
      <c r="I704" t="n">
        <v>10.8</v>
      </c>
      <c r="J704" t="n">
        <v>0</v>
      </c>
      <c r="K704" t="n">
        <v>0</v>
      </c>
      <c r="L704" t="n">
        <v>0</v>
      </c>
      <c r="M704" t="n">
        <v>1</v>
      </c>
      <c r="N704" t="n">
        <v>0</v>
      </c>
      <c r="O704" t="n">
        <v>0</v>
      </c>
      <c r="P704" t="n">
        <v>0</v>
      </c>
      <c r="Q704" t="n">
        <v>1</v>
      </c>
      <c r="R704" t="n">
        <v>1</v>
      </c>
      <c r="S704" t="n">
        <v>1</v>
      </c>
      <c r="T704" t="n">
        <v>1</v>
      </c>
      <c r="U704" t="n">
        <v>0</v>
      </c>
      <c r="V704" s="2" t="inlineStr">
        <is>
          <t>Småvänderot</t>
        </is>
      </c>
      <c r="W704">
        <f>HYPERLINK("https://klasma.github.io/Logging_1267/artfynd/A 48926-2024 artfynd.xlsx", "A 48926-2024")</f>
        <v/>
      </c>
      <c r="X704">
        <f>HYPERLINK("https://klasma.github.io/Logging_1267/kartor/A 48926-2024 karta.png", "A 48926-2024")</f>
        <v/>
      </c>
      <c r="Y704">
        <f>HYPERLINK("https://klasma.github.io/Logging_1267/kartor_geotiff/A 48926-2024 georefererad karta.tif", "A 48926-2024")</f>
        <v/>
      </c>
      <c r="AA704">
        <f>HYPERLINK("https://klasma.github.io/Logging_1267/klagomål/A 48926-2024 FSC-klagomål.docx", "A 48926-2024")</f>
        <v/>
      </c>
      <c r="AB704">
        <f>HYPERLINK("https://klasma.github.io/Logging_1267/klagomålsmail/A 48926-2024 FSC-klagomål mail.docx", "A 48926-2024")</f>
        <v/>
      </c>
      <c r="AC704">
        <f>HYPERLINK("https://klasma.github.io/Logging_1267/tillsyn/A 48926-2024 tillsynsbegäran.docx", "A 48926-2024")</f>
        <v/>
      </c>
      <c r="AD704">
        <f>HYPERLINK("https://klasma.github.io/Logging_1267/tillsynsmail/A 48926-2024 tillsynsbegäran mail.docx", "A 48926-2024")</f>
        <v/>
      </c>
    </row>
    <row r="705" ht="15" customHeight="1">
      <c r="A705" t="inlineStr">
        <is>
          <t>A 42218-2026</t>
        </is>
      </c>
      <c r="B705" t="inlineStr">
        <is>
          <t>avverkningsanmälan</t>
        </is>
      </c>
      <c r="C705" t="inlineStr">
        <is>
          <t>Föryngringsavverkning</t>
        </is>
      </c>
      <c r="D705" s="1" t="n">
        <v>46306</v>
      </c>
      <c r="E705" s="1" t="n">
        <v>46312</v>
      </c>
      <c r="F705" t="inlineStr">
        <is>
          <t>SKÅNE LÄN</t>
        </is>
      </c>
      <c r="G705" t="inlineStr">
        <is>
          <t>SVEDALA</t>
        </is>
      </c>
      <c r="I705" t="n">
        <v>0.9</v>
      </c>
      <c r="J705" t="n">
        <v>1</v>
      </c>
      <c r="K705" t="n">
        <v>0</v>
      </c>
      <c r="L705" t="n">
        <v>0</v>
      </c>
      <c r="M705" t="n">
        <v>1</v>
      </c>
      <c r="N705" t="n">
        <v>0</v>
      </c>
      <c r="O705" t="n">
        <v>0</v>
      </c>
      <c r="P705" t="n">
        <v>0</v>
      </c>
      <c r="Q705" t="n">
        <v>1</v>
      </c>
      <c r="R705" t="n">
        <v>1</v>
      </c>
      <c r="S705" t="n">
        <v>1</v>
      </c>
      <c r="T705" t="n">
        <v>1</v>
      </c>
      <c r="U705" t="n">
        <v>0</v>
      </c>
      <c r="V705" s="2" t="inlineStr">
        <is>
          <t>Buskvicker</t>
        </is>
      </c>
      <c r="W705">
        <f>HYPERLINK("https://klasma.github.io/Logging_1263/artfynd/A 42218-2026 artfynd.xlsx", "A 42218-2026")</f>
        <v/>
      </c>
      <c r="X705">
        <f>HYPERLINK("https://klasma.github.io/Logging_1263/kartor/A 42218-2026 karta.png", "A 42218-2026")</f>
        <v/>
      </c>
      <c r="Y705">
        <f>HYPERLINK("https://klasma.github.io/Logging_1263/kartor_geotiff/A 42218-2026 georefererad karta.tif", "A 42218-2026")</f>
        <v/>
      </c>
      <c r="AA705">
        <f>HYPERLINK("https://klasma.github.io/Logging_1263/klagomål/A 42218-2026 FSC-klagomål.docx", "A 42218-2026")</f>
        <v/>
      </c>
      <c r="AB705">
        <f>HYPERLINK("https://klasma.github.io/Logging_1263/klagomålsmail/A 42218-2026 FSC-klagomål mail.docx", "A 42218-2026")</f>
        <v/>
      </c>
      <c r="AC705">
        <f>HYPERLINK("https://klasma.github.io/Logging_1263/tillsyn/A 42218-2026 tillsynsbegäran.docx", "A 42218-2026")</f>
        <v/>
      </c>
      <c r="AD705">
        <f>HYPERLINK("https://klasma.github.io/Logging_1263/tillsynsmail/A 42218-2026 tillsynsbegäran mail.docx", "A 42218-2026")</f>
        <v/>
      </c>
    </row>
    <row r="706" ht="15" customHeight="1">
      <c r="A706" t="inlineStr">
        <is>
          <t>A 42735-2024</t>
        </is>
      </c>
      <c r="B706" t="inlineStr">
        <is>
          <t>avverkningsanmälan</t>
        </is>
      </c>
      <c r="C706" t="inlineStr">
        <is>
          <t>Föryngringsavverkning</t>
        </is>
      </c>
      <c r="D706" s="1" t="n">
        <v>45566</v>
      </c>
      <c r="E706" s="1" t="n">
        <v>46312</v>
      </c>
      <c r="F706" t="inlineStr">
        <is>
          <t>SKÅNE LÄN</t>
        </is>
      </c>
      <c r="G706" t="inlineStr">
        <is>
          <t>HÄSSLEHOLM</t>
        </is>
      </c>
      <c r="I706" t="n">
        <v>3.7</v>
      </c>
      <c r="J706" t="n">
        <v>1</v>
      </c>
      <c r="K706" t="n">
        <v>0</v>
      </c>
      <c r="L706" t="n">
        <v>0</v>
      </c>
      <c r="M706" t="n">
        <v>0</v>
      </c>
      <c r="N706" t="n">
        <v>0</v>
      </c>
      <c r="O706" t="n">
        <v>0</v>
      </c>
      <c r="P706" t="n">
        <v>0</v>
      </c>
      <c r="Q706" t="n">
        <v>0</v>
      </c>
      <c r="R706" t="n">
        <v>0</v>
      </c>
      <c r="S706" t="n">
        <v>1</v>
      </c>
      <c r="T706" t="n">
        <v>1</v>
      </c>
      <c r="U706" t="n">
        <v>0</v>
      </c>
      <c r="V706" s="2" t="inlineStr">
        <is>
          <t>Revlummer</t>
        </is>
      </c>
      <c r="W706">
        <f>HYPERLINK("https://klasma.github.io/Logging_1293/artfynd/A 42735-2024 artfynd.xlsx", "A 42735-2024")</f>
        <v/>
      </c>
      <c r="X706">
        <f>HYPERLINK("https://klasma.github.io/Logging_1293/kartor/A 42735-2024 karta.png", "A 42735-2024")</f>
        <v/>
      </c>
      <c r="Y706">
        <f>HYPERLINK("https://klasma.github.io/Logging_1293/kartor_geotiff/A 42735-2024 georefererad karta.tif", "A 42735-2024")</f>
        <v/>
      </c>
      <c r="AA706">
        <f>HYPERLINK("https://klasma.github.io/Logging_1293/klagomål/A 42735-2024 FSC-klagomål.docx", "A 42735-2024")</f>
        <v/>
      </c>
      <c r="AB706">
        <f>HYPERLINK("https://klasma.github.io/Logging_1293/klagomålsmail/A 42735-2024 FSC-klagomål mail.docx", "A 42735-2024")</f>
        <v/>
      </c>
      <c r="AC706">
        <f>HYPERLINK("https://klasma.github.io/Logging_1293/tillsyn/A 42735-2024 tillsynsbegäran.docx", "A 42735-2024")</f>
        <v/>
      </c>
      <c r="AD706">
        <f>HYPERLINK("https://klasma.github.io/Logging_1293/tillsynsmail/A 42735-2024 tillsynsbegäran mail.docx", "A 42735-2024")</f>
        <v/>
      </c>
    </row>
    <row r="707" ht="15" customHeight="1">
      <c r="A707" t="inlineStr">
        <is>
          <t>A 58641-2022</t>
        </is>
      </c>
      <c r="B707" t="inlineStr">
        <is>
          <t>avverkningsanmälan</t>
        </is>
      </c>
      <c r="C707" t="inlineStr">
        <is>
          <t>Föryngringsavverkning</t>
        </is>
      </c>
      <c r="D707" s="1" t="n">
        <v>44902</v>
      </c>
      <c r="E707" s="1" t="n">
        <v>46312</v>
      </c>
      <c r="F707" t="inlineStr">
        <is>
          <t>SKÅNE LÄN</t>
        </is>
      </c>
      <c r="G707" t="inlineStr">
        <is>
          <t>OSBY</t>
        </is>
      </c>
      <c r="I707" t="n">
        <v>1.2</v>
      </c>
      <c r="J707" t="n">
        <v>0</v>
      </c>
      <c r="K707" t="n">
        <v>0</v>
      </c>
      <c r="L707" t="n">
        <v>0</v>
      </c>
      <c r="M707" t="n">
        <v>0</v>
      </c>
      <c r="N707" t="n">
        <v>1</v>
      </c>
      <c r="O707" t="n">
        <v>0</v>
      </c>
      <c r="P707" t="n">
        <v>0</v>
      </c>
      <c r="Q707" t="n">
        <v>1</v>
      </c>
      <c r="R707" t="n">
        <v>1</v>
      </c>
      <c r="S707" t="n">
        <v>1</v>
      </c>
      <c r="T707" t="n">
        <v>2</v>
      </c>
      <c r="U707" t="n">
        <v>0</v>
      </c>
      <c r="V707" s="2" t="inlineStr">
        <is>
          <t>Ask</t>
        </is>
      </c>
      <c r="W707">
        <f>HYPERLINK("https://klasma.github.io/Logging_1273/artfynd/A 58641-2022 artfynd.xlsx", "A 58641-2022")</f>
        <v/>
      </c>
      <c r="X707">
        <f>HYPERLINK("https://klasma.github.io/Logging_1273/kartor/A 58641-2022 karta.png", "A 58641-2022")</f>
        <v/>
      </c>
      <c r="Y707">
        <f>HYPERLINK("https://klasma.github.io/Logging_1273/kartor_geotiff/A 58641-2022 georefererad karta.tif", "A 58641-2022")</f>
        <v/>
      </c>
      <c r="AA707">
        <f>HYPERLINK("https://klasma.github.io/Logging_1273/klagomål/A 58641-2022 FSC-klagomål.docx", "A 58641-2022")</f>
        <v/>
      </c>
      <c r="AB707">
        <f>HYPERLINK("https://klasma.github.io/Logging_1273/klagomålsmail/A 58641-2022 FSC-klagomål mail.docx", "A 58641-2022")</f>
        <v/>
      </c>
      <c r="AC707">
        <f>HYPERLINK("https://klasma.github.io/Logging_1273/tillsyn/A 58641-2022 tillsynsbegäran.docx", "A 58641-2022")</f>
        <v/>
      </c>
      <c r="AD707">
        <f>HYPERLINK("https://klasma.github.io/Logging_1273/tillsynsmail/A 58641-2022 tillsynsbegäran mail.docx", "A 58641-2022")</f>
        <v/>
      </c>
    </row>
    <row r="708" ht="15" customHeight="1">
      <c r="A708" t="inlineStr">
        <is>
          <t>A 24985-2025</t>
        </is>
      </c>
      <c r="B708" t="inlineStr">
        <is>
          <t>avverkningsanmälan</t>
        </is>
      </c>
      <c r="C708" t="inlineStr">
        <is>
          <t>Föryngringsavverkning</t>
        </is>
      </c>
      <c r="D708" s="1" t="n">
        <v>45799</v>
      </c>
      <c r="E708" s="1" t="n">
        <v>46312</v>
      </c>
      <c r="F708" t="inlineStr">
        <is>
          <t>SKÅNE LÄN</t>
        </is>
      </c>
      <c r="G708" t="inlineStr">
        <is>
          <t>HÄSSLEHOLM</t>
        </is>
      </c>
      <c r="I708" t="n">
        <v>2.3</v>
      </c>
      <c r="J708" t="n">
        <v>1</v>
      </c>
      <c r="K708" t="n">
        <v>0</v>
      </c>
      <c r="L708" t="n">
        <v>1</v>
      </c>
      <c r="M708" t="n">
        <v>0</v>
      </c>
      <c r="N708" t="n">
        <v>0</v>
      </c>
      <c r="O708" t="n">
        <v>0</v>
      </c>
      <c r="P708" t="n">
        <v>0</v>
      </c>
      <c r="Q708" t="n">
        <v>1</v>
      </c>
      <c r="R708" t="n">
        <v>0</v>
      </c>
      <c r="S708" t="n">
        <v>1</v>
      </c>
      <c r="T708" t="n">
        <v>1</v>
      </c>
      <c r="U708" t="n">
        <v>0</v>
      </c>
      <c r="V708" s="2" t="inlineStr">
        <is>
          <t>Enkelbeckasin</t>
        </is>
      </c>
      <c r="W708">
        <f>HYPERLINK("https://klasma.github.io/Logging_1293/artfynd/A 24985-2025 artfynd.xlsx", "A 24985-2025")</f>
        <v/>
      </c>
      <c r="X708">
        <f>HYPERLINK("https://klasma.github.io/Logging_1293/kartor/A 24985-2025 karta.png", "A 24985-2025")</f>
        <v/>
      </c>
      <c r="Y708">
        <f>HYPERLINK("https://klasma.github.io/Logging_1293/kartor_geotiff/A 24985-2025 georefererad karta.tif", "A 24985-2025")</f>
        <v/>
      </c>
      <c r="AA708">
        <f>HYPERLINK("https://klasma.github.io/Logging_1293/klagomål/A 24985-2025 FSC-klagomål.docx", "A 24985-2025")</f>
        <v/>
      </c>
      <c r="AB708">
        <f>HYPERLINK("https://klasma.github.io/Logging_1293/klagomålsmail/A 24985-2025 FSC-klagomål mail.docx", "A 24985-2025")</f>
        <v/>
      </c>
      <c r="AC708">
        <f>HYPERLINK("https://klasma.github.io/Logging_1293/tillsyn/A 24985-2025 tillsynsbegäran.docx", "A 24985-2025")</f>
        <v/>
      </c>
      <c r="AD708">
        <f>HYPERLINK("https://klasma.github.io/Logging_1293/tillsynsmail/A 24985-2025 tillsynsbegäran mail.docx", "A 24985-2025")</f>
        <v/>
      </c>
      <c r="AE708">
        <f>HYPERLINK("https://klasma.github.io/Logging_1293/fåglar/A 24985-2025 prioriterade fågelarter.docx", "A 24985-2025")</f>
        <v/>
      </c>
    </row>
    <row r="709" ht="15" customHeight="1">
      <c r="A709" t="inlineStr">
        <is>
          <t>A 24809-2025</t>
        </is>
      </c>
      <c r="B709" t="inlineStr">
        <is>
          <t>avverkningsanmälan</t>
        </is>
      </c>
      <c r="C709" t="inlineStr">
        <is>
          <t>Föryngringsavverkning</t>
        </is>
      </c>
      <c r="D709" s="1" t="n">
        <v>45799</v>
      </c>
      <c r="E709" s="1" t="n">
        <v>46312</v>
      </c>
      <c r="F709" t="inlineStr">
        <is>
          <t>SKÅNE LÄN</t>
        </is>
      </c>
      <c r="G709" t="inlineStr">
        <is>
          <t>ESLÖV</t>
        </is>
      </c>
      <c r="I709" t="n">
        <v>1.4</v>
      </c>
      <c r="J709" t="n">
        <v>1</v>
      </c>
      <c r="K709" t="n">
        <v>0</v>
      </c>
      <c r="L709" t="n">
        <v>0</v>
      </c>
      <c r="M709" t="n">
        <v>0</v>
      </c>
      <c r="N709" t="n">
        <v>0</v>
      </c>
      <c r="O709" t="n">
        <v>0</v>
      </c>
      <c r="P709" t="n">
        <v>0</v>
      </c>
      <c r="Q709" t="n">
        <v>0</v>
      </c>
      <c r="R709" t="n">
        <v>0</v>
      </c>
      <c r="S709" t="n">
        <v>1</v>
      </c>
      <c r="T709" t="n">
        <v>1</v>
      </c>
      <c r="U709" t="n">
        <v>0</v>
      </c>
      <c r="V709" s="2" t="inlineStr">
        <is>
          <t>Spillkråka</t>
        </is>
      </c>
      <c r="W709">
        <f>HYPERLINK("https://klasma.github.io/Logging_1285/artfynd/A 24809-2025 artfynd.xlsx", "A 24809-2025")</f>
        <v/>
      </c>
      <c r="X709">
        <f>HYPERLINK("https://klasma.github.io/Logging_1285/kartor/A 24809-2025 karta.png", "A 24809-2025")</f>
        <v/>
      </c>
      <c r="Y709">
        <f>HYPERLINK("https://klasma.github.io/Logging_1285/kartor_geotiff/A 24809-2025 georefererad karta.tif", "A 24809-2025")</f>
        <v/>
      </c>
      <c r="AA709">
        <f>HYPERLINK("https://klasma.github.io/Logging_1285/klagomål/A 24809-2025 FSC-klagomål.docx", "A 24809-2025")</f>
        <v/>
      </c>
      <c r="AB709">
        <f>HYPERLINK("https://klasma.github.io/Logging_1285/klagomålsmail/A 24809-2025 FSC-klagomål mail.docx", "A 24809-2025")</f>
        <v/>
      </c>
      <c r="AC709">
        <f>HYPERLINK("https://klasma.github.io/Logging_1285/tillsyn/A 24809-2025 tillsynsbegäran.docx", "A 24809-2025")</f>
        <v/>
      </c>
      <c r="AD709">
        <f>HYPERLINK("https://klasma.github.io/Logging_1285/tillsynsmail/A 24809-2025 tillsynsbegäran mail.docx", "A 24809-2025")</f>
        <v/>
      </c>
      <c r="AE709">
        <f>HYPERLINK("https://klasma.github.io/Logging_1285/fåglar/A 24809-2025 prioriterade fågelarter.docx", "A 24809-2025")</f>
        <v/>
      </c>
    </row>
    <row r="710" ht="15" customHeight="1">
      <c r="A710" t="inlineStr">
        <is>
          <t>A 25479-2025</t>
        </is>
      </c>
      <c r="B710" t="inlineStr">
        <is>
          <t>avverkningsanmälan</t>
        </is>
      </c>
      <c r="C710" t="inlineStr">
        <is>
          <t>Avverkning för annat ändamål</t>
        </is>
      </c>
      <c r="D710" s="1" t="n">
        <v>45802</v>
      </c>
      <c r="E710" s="1" t="n">
        <v>46312</v>
      </c>
      <c r="F710" t="inlineStr">
        <is>
          <t>SKÅNE LÄN</t>
        </is>
      </c>
      <c r="G710" t="inlineStr">
        <is>
          <t>HÖRBY</t>
        </is>
      </c>
      <c r="I710" t="n">
        <v>0.7</v>
      </c>
      <c r="J710" t="n">
        <v>0</v>
      </c>
      <c r="K710" t="n">
        <v>1</v>
      </c>
      <c r="L710" t="n">
        <v>0</v>
      </c>
      <c r="M710" t="n">
        <v>0</v>
      </c>
      <c r="N710" t="n">
        <v>0</v>
      </c>
      <c r="O710" t="n">
        <v>0</v>
      </c>
      <c r="P710" t="n">
        <v>0</v>
      </c>
      <c r="Q710" t="n">
        <v>0</v>
      </c>
      <c r="R710" t="n">
        <v>0</v>
      </c>
      <c r="S710" t="n">
        <v>1</v>
      </c>
      <c r="T710" t="n">
        <v>1</v>
      </c>
      <c r="U710" t="n">
        <v>0</v>
      </c>
      <c r="V710" s="2" t="inlineStr">
        <is>
          <t>Lundvårlök</t>
        </is>
      </c>
      <c r="W710">
        <f>HYPERLINK("https://klasma.github.io/Logging_1266/artfynd/A 25479-2025 artfynd.xlsx", "A 25479-2025")</f>
        <v/>
      </c>
      <c r="X710">
        <f>HYPERLINK("https://klasma.github.io/Logging_1266/kartor/A 25479-2025 karta.png", "A 25479-2025")</f>
        <v/>
      </c>
      <c r="Y710">
        <f>HYPERLINK("https://klasma.github.io/Logging_1266/kartor_geotiff/A 25479-2025 georefererad karta.tif", "A 25479-2025")</f>
        <v/>
      </c>
      <c r="AA710">
        <f>HYPERLINK("https://klasma.github.io/Logging_1266/klagomål/A 25479-2025 FSC-klagomål.docx", "A 25479-2025")</f>
        <v/>
      </c>
      <c r="AB710">
        <f>HYPERLINK("https://klasma.github.io/Logging_1266/klagomålsmail/A 25479-2025 FSC-klagomål mail.docx", "A 25479-2025")</f>
        <v/>
      </c>
      <c r="AC710">
        <f>HYPERLINK("https://klasma.github.io/Logging_1266/tillsyn/A 25479-2025 tillsynsbegäran.docx", "A 25479-2025")</f>
        <v/>
      </c>
      <c r="AD710">
        <f>HYPERLINK("https://klasma.github.io/Logging_1266/tillsynsmail/A 25479-2025 tillsynsbegäran mail.docx", "A 25479-2025")</f>
        <v/>
      </c>
    </row>
    <row r="711" ht="15" customHeight="1">
      <c r="A711" t="inlineStr">
        <is>
          <t>A 42777-2026</t>
        </is>
      </c>
      <c r="B711" t="inlineStr">
        <is>
          <t>avverkningsanmälan</t>
        </is>
      </c>
      <c r="C711" t="inlineStr">
        <is>
          <t>Föryngringsavverkning</t>
        </is>
      </c>
      <c r="D711" s="1" t="n">
        <v>46309</v>
      </c>
      <c r="E711" s="1" t="n">
        <v>46312</v>
      </c>
      <c r="F711" t="inlineStr">
        <is>
          <t>SKÅNE LÄN</t>
        </is>
      </c>
      <c r="G711" t="inlineStr">
        <is>
          <t>HÄSSLEHOLM</t>
        </is>
      </c>
      <c r="I711" t="n">
        <v>0.7</v>
      </c>
      <c r="J711" t="n">
        <v>1</v>
      </c>
      <c r="K711" t="n">
        <v>0</v>
      </c>
      <c r="L711" t="n">
        <v>0</v>
      </c>
      <c r="M711" t="n">
        <v>0</v>
      </c>
      <c r="N711" t="n">
        <v>0</v>
      </c>
      <c r="O711" t="n">
        <v>0</v>
      </c>
      <c r="P711" t="n">
        <v>0</v>
      </c>
      <c r="Q711" t="n">
        <v>0</v>
      </c>
      <c r="R711" t="n">
        <v>0</v>
      </c>
      <c r="S711" t="n">
        <v>1</v>
      </c>
      <c r="T711" t="n">
        <v>1</v>
      </c>
      <c r="U711" t="n">
        <v>0</v>
      </c>
      <c r="V711" s="2" t="inlineStr">
        <is>
          <t>Kungsfågel</t>
        </is>
      </c>
      <c r="W711">
        <f>HYPERLINK("https://klasma.github.io/Logging_1293/artfynd/A 42777-2026 artfynd.xlsx", "A 42777-2026")</f>
        <v/>
      </c>
      <c r="X711">
        <f>HYPERLINK("https://klasma.github.io/Logging_1293/kartor/A 42777-2026 karta.png", "A 42777-2026")</f>
        <v/>
      </c>
      <c r="Y711">
        <f>HYPERLINK("https://klasma.github.io/Logging_1293/kartor_geotiff/A 42777-2026 georefererad karta.tif", "A 42777-2026")</f>
        <v/>
      </c>
      <c r="AA711">
        <f>HYPERLINK("https://klasma.github.io/Logging_1293/klagomål/A 42777-2026 FSC-klagomål.docx", "A 42777-2026")</f>
        <v/>
      </c>
      <c r="AB711">
        <f>HYPERLINK("https://klasma.github.io/Logging_1293/klagomålsmail/A 42777-2026 FSC-klagomål mail.docx", "A 42777-2026")</f>
        <v/>
      </c>
      <c r="AC711">
        <f>HYPERLINK("https://klasma.github.io/Logging_1293/tillsyn/A 42777-2026 tillsynsbegäran.docx", "A 42777-2026")</f>
        <v/>
      </c>
      <c r="AD711">
        <f>HYPERLINK("https://klasma.github.io/Logging_1293/tillsynsmail/A 42777-2026 tillsynsbegäran mail.docx", "A 42777-2026")</f>
        <v/>
      </c>
    </row>
    <row r="712" ht="15" customHeight="1">
      <c r="A712" t="inlineStr">
        <is>
          <t>A 44580-2023</t>
        </is>
      </c>
      <c r="B712" t="inlineStr">
        <is>
          <t>avverkningsanmälan</t>
        </is>
      </c>
      <c r="C712" t="inlineStr">
        <is>
          <t>Föryngringsavverkning</t>
        </is>
      </c>
      <c r="D712" s="1" t="n">
        <v>45189</v>
      </c>
      <c r="E712" s="1" t="n">
        <v>46312</v>
      </c>
      <c r="F712" t="inlineStr">
        <is>
          <t>SKÅNE LÄN</t>
        </is>
      </c>
      <c r="G712" t="inlineStr">
        <is>
          <t>SJÖBO</t>
        </is>
      </c>
      <c r="H712" t="inlineStr">
        <is>
          <t>Kommuner</t>
        </is>
      </c>
      <c r="I712" t="n">
        <v>6.4</v>
      </c>
      <c r="J712" t="n">
        <v>1</v>
      </c>
      <c r="K712" t="n">
        <v>0</v>
      </c>
      <c r="L712" t="n">
        <v>0</v>
      </c>
      <c r="M712" t="n">
        <v>1</v>
      </c>
      <c r="N712" t="n">
        <v>0</v>
      </c>
      <c r="O712" t="n">
        <v>0</v>
      </c>
      <c r="P712" t="n">
        <v>0</v>
      </c>
      <c r="Q712" t="n">
        <v>1</v>
      </c>
      <c r="R712" t="n">
        <v>1</v>
      </c>
      <c r="S712" t="n">
        <v>1</v>
      </c>
      <c r="T712" t="n">
        <v>1</v>
      </c>
      <c r="U712" t="n">
        <v>1</v>
      </c>
      <c r="V712" s="2" t="inlineStr">
        <is>
          <t>Hedblomster</t>
        </is>
      </c>
      <c r="W712">
        <f>HYPERLINK("https://klasma.github.io/Logging_1265/artfynd/A 44580-2023 artfynd.xlsx", "A 44580-2023")</f>
        <v/>
      </c>
      <c r="X712">
        <f>HYPERLINK("https://klasma.github.io/Logging_1265/kartor/A 44580-2023 karta.png", "A 44580-2023")</f>
        <v/>
      </c>
      <c r="Y712">
        <f>HYPERLINK("https://klasma.github.io/Logging_1265/kartor_geotiff/A 44580-2023 georefererad karta.tif", "A 44580-2023")</f>
        <v/>
      </c>
      <c r="AA712">
        <f>HYPERLINK("https://klasma.github.io/Logging_1265/klagomål/A 44580-2023 FSC-klagomål.docx", "A 44580-2023")</f>
        <v/>
      </c>
      <c r="AB712">
        <f>HYPERLINK("https://klasma.github.io/Logging_1265/klagomålsmail/A 44580-2023 FSC-klagomål mail.docx", "A 44580-2023")</f>
        <v/>
      </c>
      <c r="AC712">
        <f>HYPERLINK("https://klasma.github.io/Logging_1265/tillsyn/A 44580-2023 tillsynsbegäran.docx", "A 44580-2023")</f>
        <v/>
      </c>
      <c r="AD712">
        <f>HYPERLINK("https://klasma.github.io/Logging_1265/tillsynsmail/A 44580-2023 tillsynsbegäran mail.docx", "A 44580-2023")</f>
        <v/>
      </c>
    </row>
    <row r="713" ht="15" customHeight="1">
      <c r="A713" t="inlineStr">
        <is>
          <t>A 26509-2025</t>
        </is>
      </c>
      <c r="B713" t="inlineStr">
        <is>
          <t>avverkningsanmälan</t>
        </is>
      </c>
      <c r="C713" t="inlineStr">
        <is>
          <t>Föryngringsavverkning</t>
        </is>
      </c>
      <c r="D713" s="1" t="n">
        <v>45807</v>
      </c>
      <c r="E713" s="1" t="n">
        <v>46312</v>
      </c>
      <c r="F713" t="inlineStr">
        <is>
          <t>SKÅNE LÄN</t>
        </is>
      </c>
      <c r="G713" t="inlineStr">
        <is>
          <t>ÖSTRA GÖINGE</t>
        </is>
      </c>
      <c r="I713" t="n">
        <v>0.4</v>
      </c>
      <c r="J713" t="n">
        <v>0</v>
      </c>
      <c r="K713" t="n">
        <v>1</v>
      </c>
      <c r="L713" t="n">
        <v>0</v>
      </c>
      <c r="M713" t="n">
        <v>0</v>
      </c>
      <c r="N713" t="n">
        <v>0</v>
      </c>
      <c r="O713" t="n">
        <v>0</v>
      </c>
      <c r="P713" t="n">
        <v>0</v>
      </c>
      <c r="Q713" t="n">
        <v>0</v>
      </c>
      <c r="R713" t="n">
        <v>0</v>
      </c>
      <c r="S713" t="n">
        <v>1</v>
      </c>
      <c r="T713" t="n">
        <v>1</v>
      </c>
      <c r="U713" t="n">
        <v>1</v>
      </c>
      <c r="V713" s="2" t="inlineStr">
        <is>
          <t>Tibast</t>
        </is>
      </c>
      <c r="W713">
        <f>HYPERLINK("https://klasma.github.io/Logging_1256/artfynd/A 26509-2025 artfynd.xlsx", "A 26509-2025")</f>
        <v/>
      </c>
      <c r="X713">
        <f>HYPERLINK("https://klasma.github.io/Logging_1256/kartor/A 26509-2025 karta.png", "A 26509-2025")</f>
        <v/>
      </c>
      <c r="Y713">
        <f>HYPERLINK("https://klasma.github.io/Logging_1256/kartor_geotiff/A 26509-2025 georefererad karta.tif", "A 26509-2025")</f>
        <v/>
      </c>
      <c r="AA713">
        <f>HYPERLINK("https://klasma.github.io/Logging_1256/klagomål/A 26509-2025 FSC-klagomål.docx", "A 26509-2025")</f>
        <v/>
      </c>
      <c r="AB713">
        <f>HYPERLINK("https://klasma.github.io/Logging_1256/klagomålsmail/A 26509-2025 FSC-klagomål mail.docx", "A 26509-2025")</f>
        <v/>
      </c>
      <c r="AC713">
        <f>HYPERLINK("https://klasma.github.io/Logging_1256/tillsyn/A 26509-2025 tillsynsbegäran.docx", "A 26509-2025")</f>
        <v/>
      </c>
      <c r="AD713">
        <f>HYPERLINK("https://klasma.github.io/Logging_1256/tillsynsmail/A 26509-2025 tillsynsbegäran mail.docx", "A 26509-2025")</f>
        <v/>
      </c>
    </row>
    <row r="714" ht="15" customHeight="1">
      <c r="A714" t="inlineStr">
        <is>
          <t>A 27234-2025</t>
        </is>
      </c>
      <c r="B714" t="inlineStr">
        <is>
          <t>avverkningsanmälan</t>
        </is>
      </c>
      <c r="C714" t="inlineStr">
        <is>
          <t>Föryngringsavverkning</t>
        </is>
      </c>
      <c r="D714" s="1" t="n">
        <v>45812</v>
      </c>
      <c r="E714" s="1" t="n">
        <v>46312</v>
      </c>
      <c r="F714" t="inlineStr">
        <is>
          <t>SKÅNE LÄN</t>
        </is>
      </c>
      <c r="G714" t="inlineStr">
        <is>
          <t>KRISTIANSTAD</t>
        </is>
      </c>
      <c r="I714" t="n">
        <v>1.5</v>
      </c>
      <c r="J714" t="n">
        <v>0</v>
      </c>
      <c r="K714" t="n">
        <v>0</v>
      </c>
      <c r="L714" t="n">
        <v>0</v>
      </c>
      <c r="M714" t="n">
        <v>1</v>
      </c>
      <c r="N714" t="n">
        <v>0</v>
      </c>
      <c r="O714" t="n">
        <v>0</v>
      </c>
      <c r="P714" t="n">
        <v>0</v>
      </c>
      <c r="Q714" t="n">
        <v>1</v>
      </c>
      <c r="R714" t="n">
        <v>1</v>
      </c>
      <c r="S714" t="n">
        <v>1</v>
      </c>
      <c r="T714" t="n">
        <v>1</v>
      </c>
      <c r="U714" t="n">
        <v>0</v>
      </c>
      <c r="V714" s="2" t="inlineStr">
        <is>
          <t>Småvänderot</t>
        </is>
      </c>
      <c r="W714">
        <f>HYPERLINK("https://klasma.github.io/Logging_1290/artfynd/A 27234-2025 artfynd.xlsx", "A 27234-2025")</f>
        <v/>
      </c>
      <c r="X714">
        <f>HYPERLINK("https://klasma.github.io/Logging_1290/kartor/A 27234-2025 karta.png", "A 27234-2025")</f>
        <v/>
      </c>
      <c r="Y714">
        <f>HYPERLINK("https://klasma.github.io/Logging_1290/kartor_geotiff/A 27234-2025 georefererad karta.tif", "A 27234-2025")</f>
        <v/>
      </c>
      <c r="AA714">
        <f>HYPERLINK("https://klasma.github.io/Logging_1290/klagomål/A 27234-2025 FSC-klagomål.docx", "A 27234-2025")</f>
        <v/>
      </c>
      <c r="AB714">
        <f>HYPERLINK("https://klasma.github.io/Logging_1290/klagomålsmail/A 27234-2025 FSC-klagomål mail.docx", "A 27234-2025")</f>
        <v/>
      </c>
      <c r="AC714">
        <f>HYPERLINK("https://klasma.github.io/Logging_1290/tillsyn/A 27234-2025 tillsynsbegäran.docx", "A 27234-2025")</f>
        <v/>
      </c>
      <c r="AD714">
        <f>HYPERLINK("https://klasma.github.io/Logging_1290/tillsynsmail/A 27234-2025 tillsynsbegäran mail.docx", "A 27234-2025")</f>
        <v/>
      </c>
    </row>
    <row r="715" ht="15" customHeight="1">
      <c r="A715" t="inlineStr">
        <is>
          <t>A 3765-2026</t>
        </is>
      </c>
      <c r="B715" t="inlineStr">
        <is>
          <t>avverkningsanmälan</t>
        </is>
      </c>
      <c r="C715" t="inlineStr">
        <is>
          <t>Föryngringsavverkning</t>
        </is>
      </c>
      <c r="D715" s="1" t="n">
        <v>46043</v>
      </c>
      <c r="E715" s="1" t="n">
        <v>46312</v>
      </c>
      <c r="F715" t="inlineStr">
        <is>
          <t>SKÅNE LÄN</t>
        </is>
      </c>
      <c r="G715" t="inlineStr">
        <is>
          <t>SJÖBO</t>
        </is>
      </c>
      <c r="I715" t="n">
        <v>5.6</v>
      </c>
      <c r="J715" t="n">
        <v>0</v>
      </c>
      <c r="K715" t="n">
        <v>0</v>
      </c>
      <c r="L715" t="n">
        <v>0</v>
      </c>
      <c r="M715" t="n">
        <v>1</v>
      </c>
      <c r="N715" t="n">
        <v>0</v>
      </c>
      <c r="O715" t="n">
        <v>0</v>
      </c>
      <c r="P715" t="n">
        <v>0</v>
      </c>
      <c r="Q715" t="n">
        <v>1</v>
      </c>
      <c r="R715" t="n">
        <v>1</v>
      </c>
      <c r="S715" t="n">
        <v>1</v>
      </c>
      <c r="T715" t="n">
        <v>1</v>
      </c>
      <c r="U715" t="n">
        <v>1</v>
      </c>
      <c r="V715" s="2" t="inlineStr">
        <is>
          <t>Fläcklungört</t>
        </is>
      </c>
      <c r="W715">
        <f>HYPERLINK("https://klasma.github.io/Logging_1265/artfynd/A 3765-2026 artfynd.xlsx", "A 3765-2026")</f>
        <v/>
      </c>
      <c r="X715">
        <f>HYPERLINK("https://klasma.github.io/Logging_1265/kartor/A 3765-2026 karta.png", "A 3765-2026")</f>
        <v/>
      </c>
      <c r="Y715">
        <f>HYPERLINK("https://klasma.github.io/Logging_1265/kartor_geotiff/A 3765-2026 georefererad karta.tif", "A 3765-2026")</f>
        <v/>
      </c>
      <c r="AA715">
        <f>HYPERLINK("https://klasma.github.io/Logging_1265/klagomål/A 3765-2026 FSC-klagomål.docx", "A 3765-2026")</f>
        <v/>
      </c>
      <c r="AB715">
        <f>HYPERLINK("https://klasma.github.io/Logging_1265/klagomålsmail/A 3765-2026 FSC-klagomål mail.docx", "A 3765-2026")</f>
        <v/>
      </c>
      <c r="AC715">
        <f>HYPERLINK("https://klasma.github.io/Logging_1265/tillsyn/A 3765-2026 tillsynsbegäran.docx", "A 3765-2026")</f>
        <v/>
      </c>
      <c r="AD715">
        <f>HYPERLINK("https://klasma.github.io/Logging_1265/tillsynsmail/A 3765-2026 tillsynsbegäran mail.docx", "A 3765-2026")</f>
        <v/>
      </c>
    </row>
    <row r="716" ht="15" customHeight="1">
      <c r="A716" t="inlineStr">
        <is>
          <t>A 27934-2025</t>
        </is>
      </c>
      <c r="B716" t="inlineStr">
        <is>
          <t>avverkningsanmälan</t>
        </is>
      </c>
      <c r="C716" t="inlineStr">
        <is>
          <t>Föryngringsavverkning</t>
        </is>
      </c>
      <c r="D716" s="1" t="n">
        <v>45817</v>
      </c>
      <c r="E716" s="1" t="n">
        <v>46312</v>
      </c>
      <c r="F716" t="inlineStr">
        <is>
          <t>SKÅNE LÄN</t>
        </is>
      </c>
      <c r="G716" t="inlineStr">
        <is>
          <t>HÄSSLEHOLM</t>
        </is>
      </c>
      <c r="I716" t="n">
        <v>0.7</v>
      </c>
      <c r="J716" t="n">
        <v>0</v>
      </c>
      <c r="K716" t="n">
        <v>0</v>
      </c>
      <c r="L716" t="n">
        <v>0</v>
      </c>
      <c r="M716" t="n">
        <v>0</v>
      </c>
      <c r="N716" t="n">
        <v>0</v>
      </c>
      <c r="O716" t="n">
        <v>0</v>
      </c>
      <c r="P716" t="n">
        <v>0</v>
      </c>
      <c r="Q716" t="n">
        <v>0</v>
      </c>
      <c r="R716" t="n">
        <v>0</v>
      </c>
      <c r="S716" t="n">
        <v>1</v>
      </c>
      <c r="T716" t="n">
        <v>1</v>
      </c>
      <c r="U716" t="n">
        <v>1</v>
      </c>
      <c r="V716" s="2" t="inlineStr">
        <is>
          <t>Missne</t>
        </is>
      </c>
      <c r="W716">
        <f>HYPERLINK("https://klasma.github.io/Logging_1293/artfynd/A 27934-2025 artfynd.xlsx", "A 27934-2025")</f>
        <v/>
      </c>
      <c r="X716">
        <f>HYPERLINK("https://klasma.github.io/Logging_1293/kartor/A 27934-2025 karta.png", "A 27934-2025")</f>
        <v/>
      </c>
      <c r="Y716">
        <f>HYPERLINK("https://klasma.github.io/Logging_1293/kartor_geotiff/A 27934-2025 georefererad karta.tif", "A 27934-2025")</f>
        <v/>
      </c>
      <c r="AA716">
        <f>HYPERLINK("https://klasma.github.io/Logging_1293/klagomål/A 27934-2025 FSC-klagomål.docx", "A 27934-2025")</f>
        <v/>
      </c>
      <c r="AB716">
        <f>HYPERLINK("https://klasma.github.io/Logging_1293/klagomålsmail/A 27934-2025 FSC-klagomål mail.docx", "A 27934-2025")</f>
        <v/>
      </c>
      <c r="AC716">
        <f>HYPERLINK("https://klasma.github.io/Logging_1293/tillsyn/A 27934-2025 tillsynsbegäran.docx", "A 27934-2025")</f>
        <v/>
      </c>
      <c r="AD716">
        <f>HYPERLINK("https://klasma.github.io/Logging_1293/tillsynsmail/A 27934-2025 tillsynsbegäran mail.docx", "A 27934-2025")</f>
        <v/>
      </c>
    </row>
    <row r="717" ht="15" customHeight="1">
      <c r="A717" t="inlineStr">
        <is>
          <t>A 42881-2026</t>
        </is>
      </c>
      <c r="B717" t="inlineStr">
        <is>
          <t>avverkningsanmälan</t>
        </is>
      </c>
      <c r="C717" t="inlineStr">
        <is>
          <t>Föryngringsavverkning</t>
        </is>
      </c>
      <c r="D717" s="1" t="n">
        <v>46310</v>
      </c>
      <c r="E717" s="1" t="n">
        <v>46312</v>
      </c>
      <c r="F717" t="inlineStr">
        <is>
          <t>SKÅNE LÄN</t>
        </is>
      </c>
      <c r="G717" t="inlineStr">
        <is>
          <t>HÄSSLEHOLM</t>
        </is>
      </c>
      <c r="I717" t="n">
        <v>2.4</v>
      </c>
      <c r="J717" t="n">
        <v>1</v>
      </c>
      <c r="K717" t="n">
        <v>0</v>
      </c>
      <c r="L717" t="n">
        <v>0</v>
      </c>
      <c r="M717" t="n">
        <v>0</v>
      </c>
      <c r="N717" t="n">
        <v>0</v>
      </c>
      <c r="O717" t="n">
        <v>0</v>
      </c>
      <c r="P717" t="n">
        <v>0</v>
      </c>
      <c r="Q717" t="n">
        <v>0</v>
      </c>
      <c r="R717" t="n">
        <v>0</v>
      </c>
      <c r="S717" t="n">
        <v>1</v>
      </c>
      <c r="T717" t="n">
        <v>1</v>
      </c>
      <c r="U717" t="n">
        <v>0</v>
      </c>
      <c r="V717" s="2" t="inlineStr">
        <is>
          <t>Kungsfågel</t>
        </is>
      </c>
      <c r="W717">
        <f>HYPERLINK("https://klasma.github.io/Logging_1293/artfynd/A 42881-2026 artfynd.xlsx", "A 42881-2026")</f>
        <v/>
      </c>
      <c r="X717">
        <f>HYPERLINK("https://klasma.github.io/Logging_1293/kartor/A 42881-2026 karta.png", "A 42881-2026")</f>
        <v/>
      </c>
      <c r="Y717">
        <f>HYPERLINK("https://klasma.github.io/Logging_1293/kartor_geotiff/A 42881-2026 georefererad karta.tif", "A 42881-2026")</f>
        <v/>
      </c>
      <c r="AA717">
        <f>HYPERLINK("https://klasma.github.io/Logging_1293/klagomål/A 42881-2026 FSC-klagomål.docx", "A 42881-2026")</f>
        <v/>
      </c>
      <c r="AB717">
        <f>HYPERLINK("https://klasma.github.io/Logging_1293/klagomålsmail/A 42881-2026 FSC-klagomål mail.docx", "A 42881-2026")</f>
        <v/>
      </c>
      <c r="AC717">
        <f>HYPERLINK("https://klasma.github.io/Logging_1293/tillsyn/A 42881-2026 tillsynsbegäran.docx", "A 42881-2026")</f>
        <v/>
      </c>
      <c r="AD717">
        <f>HYPERLINK("https://klasma.github.io/Logging_1293/tillsynsmail/A 42881-2026 tillsynsbegäran mail.docx", "A 42881-2026")</f>
        <v/>
      </c>
    </row>
    <row r="718" ht="15" customHeight="1">
      <c r="A718" t="inlineStr">
        <is>
          <t>A 46487-2024</t>
        </is>
      </c>
      <c r="B718" t="inlineStr">
        <is>
          <t>avverkningsanmälan</t>
        </is>
      </c>
      <c r="C718" t="inlineStr">
        <is>
          <t>Föryngringsavverkning</t>
        </is>
      </c>
      <c r="D718" s="1" t="n">
        <v>45582</v>
      </c>
      <c r="E718" s="1" t="n">
        <v>46312</v>
      </c>
      <c r="F718" t="inlineStr">
        <is>
          <t>SKÅNE LÄN</t>
        </is>
      </c>
      <c r="G718" t="inlineStr">
        <is>
          <t>ÄNGELHOLM</t>
        </is>
      </c>
      <c r="I718" t="n">
        <v>5.8</v>
      </c>
      <c r="J718" t="n">
        <v>1</v>
      </c>
      <c r="K718" t="n">
        <v>0</v>
      </c>
      <c r="L718" t="n">
        <v>0</v>
      </c>
      <c r="M718" t="n">
        <v>0</v>
      </c>
      <c r="N718" t="n">
        <v>0</v>
      </c>
      <c r="O718" t="n">
        <v>0</v>
      </c>
      <c r="P718" t="n">
        <v>0</v>
      </c>
      <c r="Q718" t="n">
        <v>0</v>
      </c>
      <c r="R718" t="n">
        <v>0</v>
      </c>
      <c r="S718" t="n">
        <v>1</v>
      </c>
      <c r="T718" t="n">
        <v>1</v>
      </c>
      <c r="U718" t="n">
        <v>1</v>
      </c>
      <c r="V718" s="2" t="inlineStr">
        <is>
          <t>Lopplummer (aggregat)</t>
        </is>
      </c>
      <c r="W718">
        <f>HYPERLINK("https://klasma.github.io/Logging_1292/artfynd/A 46487-2024 artfynd.xlsx", "A 46487-2024")</f>
        <v/>
      </c>
      <c r="X718">
        <f>HYPERLINK("https://klasma.github.io/Logging_1292/kartor/A 46487-2024 karta.png", "A 46487-2024")</f>
        <v/>
      </c>
      <c r="Y718">
        <f>HYPERLINK("https://klasma.github.io/Logging_1292/kartor_geotiff/A 46487-2024 georefererad karta.tif", "A 46487-2024")</f>
        <v/>
      </c>
      <c r="AA718">
        <f>HYPERLINK("https://klasma.github.io/Logging_1292/klagomål/A 46487-2024 FSC-klagomål.docx", "A 46487-2024")</f>
        <v/>
      </c>
      <c r="AB718">
        <f>HYPERLINK("https://klasma.github.io/Logging_1292/klagomålsmail/A 46487-2024 FSC-klagomål mail.docx", "A 46487-2024")</f>
        <v/>
      </c>
      <c r="AC718">
        <f>HYPERLINK("https://klasma.github.io/Logging_1292/tillsyn/A 46487-2024 tillsynsbegäran.docx", "A 46487-2024")</f>
        <v/>
      </c>
      <c r="AD718">
        <f>HYPERLINK("https://klasma.github.io/Logging_1292/tillsynsmail/A 46487-2024 tillsynsbegäran mail.docx", "A 46487-2024")</f>
        <v/>
      </c>
    </row>
    <row r="719" ht="15" customHeight="1">
      <c r="A719" t="inlineStr">
        <is>
          <t>A 3401-2024</t>
        </is>
      </c>
      <c r="B719" t="inlineStr">
        <is>
          <t>avverkningsanmälan</t>
        </is>
      </c>
      <c r="C719" t="inlineStr">
        <is>
          <t>Föryngringsavverkning</t>
        </is>
      </c>
      <c r="D719" s="1" t="n">
        <v>45318</v>
      </c>
      <c r="E719" s="1" t="n">
        <v>46312</v>
      </c>
      <c r="F719" t="inlineStr">
        <is>
          <t>SKÅNE LÄN</t>
        </is>
      </c>
      <c r="G719" t="inlineStr">
        <is>
          <t>SIMRISHAMN</t>
        </is>
      </c>
      <c r="I719" t="n">
        <v>6.8</v>
      </c>
      <c r="J719" t="n">
        <v>0</v>
      </c>
      <c r="K719" t="n">
        <v>0</v>
      </c>
      <c r="L719" t="n">
        <v>1</v>
      </c>
      <c r="M719" t="n">
        <v>0</v>
      </c>
      <c r="N719" t="n">
        <v>0</v>
      </c>
      <c r="O719" t="n">
        <v>0</v>
      </c>
      <c r="P719" t="n">
        <v>0</v>
      </c>
      <c r="Q719" t="n">
        <v>1</v>
      </c>
      <c r="R719" t="n">
        <v>0</v>
      </c>
      <c r="S719" t="n">
        <v>1</v>
      </c>
      <c r="T719" t="n">
        <v>1</v>
      </c>
      <c r="U719" t="n">
        <v>1</v>
      </c>
      <c r="V719" s="2" t="inlineStr">
        <is>
          <t>Borsttåg</t>
        </is>
      </c>
      <c r="W719">
        <f>HYPERLINK("https://klasma.github.io/Logging_1291/artfynd/A 3401-2024 artfynd.xlsx", "A 3401-2024")</f>
        <v/>
      </c>
      <c r="X719">
        <f>HYPERLINK("https://klasma.github.io/Logging_1291/kartor/A 3401-2024 karta.png", "A 3401-2024")</f>
        <v/>
      </c>
      <c r="Y719">
        <f>HYPERLINK("https://klasma.github.io/Logging_1291/kartor_geotiff/A 3401-2024 georefererad karta.tif", "A 3401-2024")</f>
        <v/>
      </c>
      <c r="AA719">
        <f>HYPERLINK("https://klasma.github.io/Logging_1291/klagomål/A 3401-2024 FSC-klagomål.docx", "A 3401-2024")</f>
        <v/>
      </c>
      <c r="AB719">
        <f>HYPERLINK("https://klasma.github.io/Logging_1291/klagomålsmail/A 3401-2024 FSC-klagomål mail.docx", "A 3401-2024")</f>
        <v/>
      </c>
      <c r="AC719">
        <f>HYPERLINK("https://klasma.github.io/Logging_1291/tillsyn/A 3401-2024 tillsynsbegäran.docx", "A 3401-2024")</f>
        <v/>
      </c>
      <c r="AD719">
        <f>HYPERLINK("https://klasma.github.io/Logging_1291/tillsynsmail/A 3401-2024 tillsynsbegäran mail.docx", "A 3401-2024")</f>
        <v/>
      </c>
    </row>
    <row r="720" ht="15" customHeight="1">
      <c r="A720" t="inlineStr">
        <is>
          <t>A 24421-2026</t>
        </is>
      </c>
      <c r="B720" t="inlineStr">
        <is>
          <t>avverkningsanmälan</t>
        </is>
      </c>
      <c r="C720" t="inlineStr">
        <is>
          <t>Föryngringsavverkning</t>
        </is>
      </c>
      <c r="D720" s="1" t="n">
        <v>46169</v>
      </c>
      <c r="E720" s="1" t="n">
        <v>46312</v>
      </c>
      <c r="F720" t="inlineStr">
        <is>
          <t>SKÅNE LÄN</t>
        </is>
      </c>
      <c r="G720" t="inlineStr">
        <is>
          <t>SJÖBO</t>
        </is>
      </c>
      <c r="I720" t="n">
        <v>3</v>
      </c>
      <c r="J720" t="n">
        <v>0</v>
      </c>
      <c r="K720" t="n">
        <v>0</v>
      </c>
      <c r="L720" t="n">
        <v>0</v>
      </c>
      <c r="M720" t="n">
        <v>1</v>
      </c>
      <c r="N720" t="n">
        <v>0</v>
      </c>
      <c r="O720" t="n">
        <v>0</v>
      </c>
      <c r="P720" t="n">
        <v>0</v>
      </c>
      <c r="Q720" t="n">
        <v>1</v>
      </c>
      <c r="R720" t="n">
        <v>1</v>
      </c>
      <c r="S720" t="n">
        <v>1</v>
      </c>
      <c r="T720" t="n">
        <v>1</v>
      </c>
      <c r="U720" t="n">
        <v>0</v>
      </c>
      <c r="V720" s="2" t="inlineStr">
        <is>
          <t>Skogskorn</t>
        </is>
      </c>
      <c r="W720">
        <f>HYPERLINK("https://klasma.github.io/Logging_1265/artfynd/A 24421-2026 artfynd.xlsx", "A 24421-2026")</f>
        <v/>
      </c>
      <c r="X720">
        <f>HYPERLINK("https://klasma.github.io/Logging_1265/kartor/A 24421-2026 karta.png", "A 24421-2026")</f>
        <v/>
      </c>
      <c r="Y720">
        <f>HYPERLINK("https://klasma.github.io/Logging_1265/kartor_geotiff/A 24421-2026 georefererad karta.tif", "A 24421-2026")</f>
        <v/>
      </c>
      <c r="AA720">
        <f>HYPERLINK("https://klasma.github.io/Logging_1265/klagomål/A 24421-2026 FSC-klagomål.docx", "A 24421-2026")</f>
        <v/>
      </c>
      <c r="AB720">
        <f>HYPERLINK("https://klasma.github.io/Logging_1265/klagomålsmail/A 24421-2026 FSC-klagomål mail.docx", "A 24421-2026")</f>
        <v/>
      </c>
      <c r="AC720">
        <f>HYPERLINK("https://klasma.github.io/Logging_1265/tillsyn/A 24421-2026 tillsynsbegäran.docx", "A 24421-2026")</f>
        <v/>
      </c>
      <c r="AD720">
        <f>HYPERLINK("https://klasma.github.io/Logging_1265/tillsynsmail/A 24421-2026 tillsynsbegäran mail.docx", "A 24421-2026")</f>
        <v/>
      </c>
    </row>
    <row r="721" ht="15" customHeight="1">
      <c r="A721" t="inlineStr">
        <is>
          <t>A 30520-2026</t>
        </is>
      </c>
      <c r="B721" t="inlineStr">
        <is>
          <t>avverkningsanmälan</t>
        </is>
      </c>
      <c r="C721" t="inlineStr">
        <is>
          <t>Föryngringsavverkning</t>
        </is>
      </c>
      <c r="D721" s="1" t="n">
        <v>46210</v>
      </c>
      <c r="E721" s="1" t="n">
        <v>46312</v>
      </c>
      <c r="F721" t="inlineStr">
        <is>
          <t>SKÅNE LÄN</t>
        </is>
      </c>
      <c r="G721" t="inlineStr">
        <is>
          <t>KLIPPAN</t>
        </is>
      </c>
      <c r="H721" t="inlineStr">
        <is>
          <t>Övriga Aktiebolag</t>
        </is>
      </c>
      <c r="I721" t="n">
        <v>7.3</v>
      </c>
      <c r="J721" t="n">
        <v>1</v>
      </c>
      <c r="K721" t="n">
        <v>0</v>
      </c>
      <c r="L721" t="n">
        <v>1</v>
      </c>
      <c r="M721" t="n">
        <v>0</v>
      </c>
      <c r="N721" t="n">
        <v>0</v>
      </c>
      <c r="O721" t="n">
        <v>0</v>
      </c>
      <c r="P721" t="n">
        <v>0</v>
      </c>
      <c r="Q721" t="n">
        <v>1</v>
      </c>
      <c r="R721" t="n">
        <v>0</v>
      </c>
      <c r="S721" t="n">
        <v>1</v>
      </c>
      <c r="T721" t="n">
        <v>1</v>
      </c>
      <c r="U721" t="n">
        <v>1</v>
      </c>
      <c r="V721" s="2" t="inlineStr">
        <is>
          <t>Entita</t>
        </is>
      </c>
      <c r="W721">
        <f>HYPERLINK("https://klasma.github.io/Logging_1276/artfynd/A 30520-2026 artfynd.xlsx", "A 30520-2026")</f>
        <v/>
      </c>
      <c r="X721">
        <f>HYPERLINK("https://klasma.github.io/Logging_1276/kartor/A 30520-2026 karta.png", "A 30520-2026")</f>
        <v/>
      </c>
      <c r="Y721">
        <f>HYPERLINK("https://klasma.github.io/Logging_1276/kartor_geotiff/A 30520-2026 georefererad karta.tif", "A 30520-2026")</f>
        <v/>
      </c>
      <c r="AA721">
        <f>HYPERLINK("https://klasma.github.io/Logging_1276/klagomål/A 30520-2026 FSC-klagomål.docx", "A 30520-2026")</f>
        <v/>
      </c>
      <c r="AB721">
        <f>HYPERLINK("https://klasma.github.io/Logging_1276/klagomålsmail/A 30520-2026 FSC-klagomål mail.docx", "A 30520-2026")</f>
        <v/>
      </c>
      <c r="AC721">
        <f>HYPERLINK("https://klasma.github.io/Logging_1276/tillsyn/A 30520-2026 tillsynsbegäran.docx", "A 30520-2026")</f>
        <v/>
      </c>
      <c r="AD721">
        <f>HYPERLINK("https://klasma.github.io/Logging_1276/tillsynsmail/A 30520-2026 tillsynsbegäran mail.docx", "A 30520-2026")</f>
        <v/>
      </c>
      <c r="AE721">
        <f>HYPERLINK("https://klasma.github.io/Logging_1276/fåglar/A 30520-2026 prioriterade fågelarter.docx", "A 30520-2026")</f>
        <v/>
      </c>
    </row>
    <row r="722" ht="15" customHeight="1">
      <c r="A722" t="inlineStr">
        <is>
          <t>A 40493-2026</t>
        </is>
      </c>
      <c r="B722" t="inlineStr">
        <is>
          <t>avverkningsanmälan</t>
        </is>
      </c>
      <c r="C722" t="inlineStr">
        <is>
          <t>Föryngringsavverkning</t>
        </is>
      </c>
      <c r="D722" s="1" t="n">
        <v>46295</v>
      </c>
      <c r="E722" s="1" t="n">
        <v>46312</v>
      </c>
      <c r="F722" t="inlineStr">
        <is>
          <t>SKÅNE LÄN</t>
        </is>
      </c>
      <c r="G722" t="inlineStr">
        <is>
          <t>HÖÖR</t>
        </is>
      </c>
      <c r="I722" t="n">
        <v>2.8</v>
      </c>
      <c r="J722" t="n">
        <v>0</v>
      </c>
      <c r="K722" t="n">
        <v>1</v>
      </c>
      <c r="L722" t="n">
        <v>0</v>
      </c>
      <c r="M722" t="n">
        <v>0</v>
      </c>
      <c r="N722" t="n">
        <v>0</v>
      </c>
      <c r="O722" t="n">
        <v>0</v>
      </c>
      <c r="P722" t="n">
        <v>0</v>
      </c>
      <c r="Q722" t="n">
        <v>0</v>
      </c>
      <c r="R722" t="n">
        <v>0</v>
      </c>
      <c r="S722" t="n">
        <v>1</v>
      </c>
      <c r="T722" t="n">
        <v>1</v>
      </c>
      <c r="U722" t="n">
        <v>0</v>
      </c>
      <c r="V722" s="2" t="inlineStr">
        <is>
          <t>Kransrams</t>
        </is>
      </c>
      <c r="W722">
        <f>HYPERLINK("https://klasma.github.io/Logging_1267/artfynd/A 40493-2026 artfynd.xlsx", "A 40493-2026")</f>
        <v/>
      </c>
      <c r="X722">
        <f>HYPERLINK("https://klasma.github.io/Logging_1267/kartor/A 40493-2026 karta.png", "A 40493-2026")</f>
        <v/>
      </c>
      <c r="Y722">
        <f>HYPERLINK("https://klasma.github.io/Logging_1267/kartor_geotiff/A 40493-2026 georefererad karta.tif", "A 40493-2026")</f>
        <v/>
      </c>
      <c r="AA722">
        <f>HYPERLINK("https://klasma.github.io/Logging_1267/klagomål/A 40493-2026 FSC-klagomål.docx", "A 40493-2026")</f>
        <v/>
      </c>
      <c r="AB722">
        <f>HYPERLINK("https://klasma.github.io/Logging_1267/klagomålsmail/A 40493-2026 FSC-klagomål mail.docx", "A 40493-2026")</f>
        <v/>
      </c>
      <c r="AC722">
        <f>HYPERLINK("https://klasma.github.io/Logging_1267/tillsyn/A 40493-2026 tillsynsbegäran.docx", "A 40493-2026")</f>
        <v/>
      </c>
      <c r="AD722">
        <f>HYPERLINK("https://klasma.github.io/Logging_1267/tillsynsmail/A 40493-2026 tillsynsbegäran mail.docx", "A 40493-2026")</f>
        <v/>
      </c>
    </row>
    <row r="723" ht="15" customHeight="1">
      <c r="A723" t="inlineStr">
        <is>
          <t>A 31599-2026</t>
        </is>
      </c>
      <c r="B723" t="inlineStr">
        <is>
          <t>avverkningsanmälan</t>
        </is>
      </c>
      <c r="C723" t="inlineStr">
        <is>
          <t>Föryngringsavverkning</t>
        </is>
      </c>
      <c r="D723" s="1" t="n">
        <v>46224</v>
      </c>
      <c r="E723" s="1" t="n">
        <v>46312</v>
      </c>
      <c r="F723" t="inlineStr">
        <is>
          <t>SKÅNE LÄN</t>
        </is>
      </c>
      <c r="G723" t="inlineStr">
        <is>
          <t>ÄNGELHOLM</t>
        </is>
      </c>
      <c r="I723" t="n">
        <v>1.7</v>
      </c>
      <c r="J723" t="n">
        <v>1</v>
      </c>
      <c r="K723" t="n">
        <v>1</v>
      </c>
      <c r="L723" t="n">
        <v>0</v>
      </c>
      <c r="M723" t="n">
        <v>0</v>
      </c>
      <c r="N723" t="n">
        <v>0</v>
      </c>
      <c r="O723" t="n">
        <v>0</v>
      </c>
      <c r="P723" t="n">
        <v>0</v>
      </c>
      <c r="Q723" t="n">
        <v>0</v>
      </c>
      <c r="R723" t="n">
        <v>0</v>
      </c>
      <c r="S723" t="n">
        <v>1</v>
      </c>
      <c r="T723" t="n">
        <v>3</v>
      </c>
      <c r="U723" t="n">
        <v>2</v>
      </c>
      <c r="V723" s="2" t="inlineStr">
        <is>
          <t>Ekoxe</t>
        </is>
      </c>
      <c r="W723">
        <f>HYPERLINK("https://klasma.github.io/Logging_1292/artfynd/A 31599-2026 artfynd.xlsx", "A 31599-2026")</f>
        <v/>
      </c>
      <c r="X723">
        <f>HYPERLINK("https://klasma.github.io/Logging_1292/kartor/A 31599-2026 karta.png", "A 31599-2026")</f>
        <v/>
      </c>
      <c r="Y723">
        <f>HYPERLINK("https://klasma.github.io/Logging_1292/kartor_geotiff/A 31599-2026 georefererad karta.tif", "A 31599-2026")</f>
        <v/>
      </c>
      <c r="AA723">
        <f>HYPERLINK("https://klasma.github.io/Logging_1292/klagomål/A 31599-2026 FSC-klagomål.docx", "A 31599-2026")</f>
        <v/>
      </c>
      <c r="AB723">
        <f>HYPERLINK("https://klasma.github.io/Logging_1292/klagomålsmail/A 31599-2026 FSC-klagomål mail.docx", "A 31599-2026")</f>
        <v/>
      </c>
      <c r="AC723">
        <f>HYPERLINK("https://klasma.github.io/Logging_1292/tillsyn/A 31599-2026 tillsynsbegäran.docx", "A 31599-2026")</f>
        <v/>
      </c>
      <c r="AD723">
        <f>HYPERLINK("https://klasma.github.io/Logging_1292/tillsynsmail/A 31599-2026 tillsynsbegäran mail.docx", "A 31599-2026")</f>
        <v/>
      </c>
    </row>
    <row r="724" ht="15" customHeight="1">
      <c r="A724" t="inlineStr">
        <is>
          <t>A 32219-2025</t>
        </is>
      </c>
      <c r="B724" t="inlineStr">
        <is>
          <t>avverkningsanmälan</t>
        </is>
      </c>
      <c r="C724" t="inlineStr">
        <is>
          <t>Föryngringsavverkning</t>
        </is>
      </c>
      <c r="D724" s="1" t="n">
        <v>45835</v>
      </c>
      <c r="E724" s="1" t="n">
        <v>46312</v>
      </c>
      <c r="F724" t="inlineStr">
        <is>
          <t>SKÅNE LÄN</t>
        </is>
      </c>
      <c r="G724" t="inlineStr">
        <is>
          <t>KRISTIANSTAD</t>
        </is>
      </c>
      <c r="I724" t="n">
        <v>2.6</v>
      </c>
      <c r="J724" t="n">
        <v>1</v>
      </c>
      <c r="K724" t="n">
        <v>0</v>
      </c>
      <c r="L724" t="n">
        <v>1</v>
      </c>
      <c r="M724" t="n">
        <v>0</v>
      </c>
      <c r="N724" t="n">
        <v>0</v>
      </c>
      <c r="O724" t="n">
        <v>0</v>
      </c>
      <c r="P724" t="n">
        <v>0</v>
      </c>
      <c r="Q724" t="n">
        <v>1</v>
      </c>
      <c r="R724" t="n">
        <v>0</v>
      </c>
      <c r="S724" t="n">
        <v>1</v>
      </c>
      <c r="T724" t="n">
        <v>1</v>
      </c>
      <c r="U724" t="n">
        <v>1</v>
      </c>
      <c r="V724" s="2" t="inlineStr">
        <is>
          <t>Ägretthäger</t>
        </is>
      </c>
      <c r="W724">
        <f>HYPERLINK("https://klasma.github.io/Logging_1290/artfynd/A 32219-2025 artfynd.xlsx", "A 32219-2025")</f>
        <v/>
      </c>
      <c r="X724">
        <f>HYPERLINK("https://klasma.github.io/Logging_1290/kartor/A 32219-2025 karta.png", "A 32219-2025")</f>
        <v/>
      </c>
      <c r="Y724">
        <f>HYPERLINK("https://klasma.github.io/Logging_1290/kartor_geotiff/A 32219-2025 georefererad karta.tif", "A 32219-2025")</f>
        <v/>
      </c>
      <c r="AA724">
        <f>HYPERLINK("https://klasma.github.io/Logging_1290/klagomål/A 32219-2025 FSC-klagomål.docx", "A 32219-2025")</f>
        <v/>
      </c>
      <c r="AB724">
        <f>HYPERLINK("https://klasma.github.io/Logging_1290/klagomålsmail/A 32219-2025 FSC-klagomål mail.docx", "A 32219-2025")</f>
        <v/>
      </c>
      <c r="AC724">
        <f>HYPERLINK("https://klasma.github.io/Logging_1290/tillsyn/A 32219-2025 tillsynsbegäran.docx", "A 32219-2025")</f>
        <v/>
      </c>
      <c r="AD724">
        <f>HYPERLINK("https://klasma.github.io/Logging_1290/tillsynsmail/A 32219-2025 tillsynsbegäran mail.docx", "A 32219-2025")</f>
        <v/>
      </c>
      <c r="AE724">
        <f>HYPERLINK("https://klasma.github.io/Logging_1290/fåglar/A 32219-2025 prioriterade fågelarter.docx", "A 32219-2025")</f>
        <v/>
      </c>
    </row>
    <row r="725" ht="15" customHeight="1">
      <c r="A725" t="inlineStr">
        <is>
          <t>A 31678-2025</t>
        </is>
      </c>
      <c r="B725" t="inlineStr">
        <is>
          <t>avverkningsanmälan</t>
        </is>
      </c>
      <c r="C725" t="inlineStr">
        <is>
          <t>Föryngringsavverkning</t>
        </is>
      </c>
      <c r="D725" s="1" t="n">
        <v>45834</v>
      </c>
      <c r="E725" s="1" t="n">
        <v>46312</v>
      </c>
      <c r="F725" t="inlineStr">
        <is>
          <t>SKÅNE LÄN</t>
        </is>
      </c>
      <c r="G725" t="inlineStr">
        <is>
          <t>SJÖBO</t>
        </is>
      </c>
      <c r="I725" t="n">
        <v>3.5</v>
      </c>
      <c r="J725" t="n">
        <v>1</v>
      </c>
      <c r="K725" t="n">
        <v>0</v>
      </c>
      <c r="L725" t="n">
        <v>0</v>
      </c>
      <c r="M725" t="n">
        <v>1</v>
      </c>
      <c r="N725" t="n">
        <v>0</v>
      </c>
      <c r="O725" t="n">
        <v>0</v>
      </c>
      <c r="P725" t="n">
        <v>0</v>
      </c>
      <c r="Q725" t="n">
        <v>1</v>
      </c>
      <c r="R725" t="n">
        <v>1</v>
      </c>
      <c r="S725" t="n">
        <v>1</v>
      </c>
      <c r="T725" t="n">
        <v>1</v>
      </c>
      <c r="U725" t="n">
        <v>0</v>
      </c>
      <c r="V725" s="2" t="inlineStr">
        <is>
          <t>Hedblomster</t>
        </is>
      </c>
      <c r="W725">
        <f>HYPERLINK("https://klasma.github.io/Logging_1265/artfynd/A 31678-2025 artfynd.xlsx", "A 31678-2025")</f>
        <v/>
      </c>
      <c r="X725">
        <f>HYPERLINK("https://klasma.github.io/Logging_1265/kartor/A 31678-2025 karta.png", "A 31678-2025")</f>
        <v/>
      </c>
      <c r="Y725">
        <f>HYPERLINK("https://klasma.github.io/Logging_1265/kartor_geotiff/A 31678-2025 georefererad karta.tif", "A 31678-2025")</f>
        <v/>
      </c>
      <c r="AA725">
        <f>HYPERLINK("https://klasma.github.io/Logging_1265/klagomål/A 31678-2025 FSC-klagomål.docx", "A 31678-2025")</f>
        <v/>
      </c>
      <c r="AB725">
        <f>HYPERLINK("https://klasma.github.io/Logging_1265/klagomålsmail/A 31678-2025 FSC-klagomål mail.docx", "A 31678-2025")</f>
        <v/>
      </c>
      <c r="AC725">
        <f>HYPERLINK("https://klasma.github.io/Logging_1265/tillsyn/A 31678-2025 tillsynsbegäran.docx", "A 31678-2025")</f>
        <v/>
      </c>
      <c r="AD725">
        <f>HYPERLINK("https://klasma.github.io/Logging_1265/tillsynsmail/A 31678-2025 tillsynsbegäran mail.docx", "A 31678-2025")</f>
        <v/>
      </c>
    </row>
    <row r="726" ht="15" customHeight="1">
      <c r="A726" t="inlineStr">
        <is>
          <t>A 6261-2024</t>
        </is>
      </c>
      <c r="B726" t="inlineStr">
        <is>
          <t>avverkningsanmälan</t>
        </is>
      </c>
      <c r="C726" t="inlineStr">
        <is>
          <t>Föryngringsavverkning</t>
        </is>
      </c>
      <c r="D726" s="1" t="n">
        <v>45337</v>
      </c>
      <c r="E726" s="1" t="n">
        <v>46312</v>
      </c>
      <c r="F726" t="inlineStr">
        <is>
          <t>SKÅNE LÄN</t>
        </is>
      </c>
      <c r="G726" t="inlineStr">
        <is>
          <t>TOMELILLA</t>
        </is>
      </c>
      <c r="I726" t="n">
        <v>12.6</v>
      </c>
      <c r="J726" t="n">
        <v>0</v>
      </c>
      <c r="K726" t="n">
        <v>1</v>
      </c>
      <c r="L726" t="n">
        <v>0</v>
      </c>
      <c r="M726" t="n">
        <v>0</v>
      </c>
      <c r="N726" t="n">
        <v>0</v>
      </c>
      <c r="O726" t="n">
        <v>0</v>
      </c>
      <c r="P726" t="n">
        <v>0</v>
      </c>
      <c r="Q726" t="n">
        <v>0</v>
      </c>
      <c r="R726" t="n">
        <v>0</v>
      </c>
      <c r="S726" t="n">
        <v>1</v>
      </c>
      <c r="T726" t="n">
        <v>1</v>
      </c>
      <c r="U726" t="n">
        <v>1</v>
      </c>
      <c r="V726" s="2" t="inlineStr">
        <is>
          <t>Blodticka</t>
        </is>
      </c>
      <c r="W726">
        <f>HYPERLINK("https://klasma.github.io/Logging_1270/artfynd/A 6261-2024 artfynd.xlsx", "A 6261-2024")</f>
        <v/>
      </c>
      <c r="X726">
        <f>HYPERLINK("https://klasma.github.io/Logging_1270/kartor/A 6261-2024 karta.png", "A 6261-2024")</f>
        <v/>
      </c>
      <c r="Y726">
        <f>HYPERLINK("https://klasma.github.io/Logging_1270/kartor_geotiff/A 6261-2024 georefererad karta.tif", "A 6261-2024")</f>
        <v/>
      </c>
      <c r="AA726">
        <f>HYPERLINK("https://klasma.github.io/Logging_1270/klagomål/A 6261-2024 FSC-klagomål.docx", "A 6261-2024")</f>
        <v/>
      </c>
      <c r="AB726">
        <f>HYPERLINK("https://klasma.github.io/Logging_1270/klagomålsmail/A 6261-2024 FSC-klagomål mail.docx", "A 6261-2024")</f>
        <v/>
      </c>
      <c r="AC726">
        <f>HYPERLINK("https://klasma.github.io/Logging_1270/tillsyn/A 6261-2024 tillsynsbegäran.docx", "A 6261-2024")</f>
        <v/>
      </c>
      <c r="AD726">
        <f>HYPERLINK("https://klasma.github.io/Logging_1270/tillsynsmail/A 6261-2024 tillsynsbegäran mail.docx", "A 6261-2024")</f>
        <v/>
      </c>
    </row>
    <row r="727" ht="15" customHeight="1">
      <c r="A727" t="inlineStr">
        <is>
          <t>A 29649-2025</t>
        </is>
      </c>
      <c r="B727" t="inlineStr">
        <is>
          <t>avverkningsanmälan</t>
        </is>
      </c>
      <c r="C727" t="inlineStr">
        <is>
          <t>Föryngringsavverkning</t>
        </is>
      </c>
      <c r="D727" s="1" t="n">
        <v>45825</v>
      </c>
      <c r="E727" s="1" t="n">
        <v>46312</v>
      </c>
      <c r="F727" t="inlineStr">
        <is>
          <t>SKÅNE LÄN</t>
        </is>
      </c>
      <c r="G727" t="inlineStr">
        <is>
          <t>HÄSSLEHOLM</t>
        </is>
      </c>
      <c r="I727" t="n">
        <v>2.6</v>
      </c>
      <c r="J727" t="n">
        <v>0</v>
      </c>
      <c r="K727" t="n">
        <v>1</v>
      </c>
      <c r="L727" t="n">
        <v>0</v>
      </c>
      <c r="M727" t="n">
        <v>0</v>
      </c>
      <c r="N727" t="n">
        <v>0</v>
      </c>
      <c r="O727" t="n">
        <v>0</v>
      </c>
      <c r="P727" t="n">
        <v>0</v>
      </c>
      <c r="Q727" t="n">
        <v>0</v>
      </c>
      <c r="R727" t="n">
        <v>0</v>
      </c>
      <c r="S727" t="n">
        <v>1</v>
      </c>
      <c r="T727" t="n">
        <v>1</v>
      </c>
      <c r="U727" t="n">
        <v>0</v>
      </c>
      <c r="V727" s="2" t="inlineStr">
        <is>
          <t>Tibast</t>
        </is>
      </c>
      <c r="W727">
        <f>HYPERLINK("https://klasma.github.io/Logging_1293/artfynd/A 29649-2025 artfynd.xlsx", "A 29649-2025")</f>
        <v/>
      </c>
      <c r="X727">
        <f>HYPERLINK("https://klasma.github.io/Logging_1293/kartor/A 29649-2025 karta.png", "A 29649-2025")</f>
        <v/>
      </c>
      <c r="Y727">
        <f>HYPERLINK("https://klasma.github.io/Logging_1293/kartor_geotiff/A 29649-2025 georefererad karta.tif", "A 29649-2025")</f>
        <v/>
      </c>
      <c r="AA727">
        <f>HYPERLINK("https://klasma.github.io/Logging_1293/klagomål/A 29649-2025 FSC-klagomål.docx", "A 29649-2025")</f>
        <v/>
      </c>
      <c r="AB727">
        <f>HYPERLINK("https://klasma.github.io/Logging_1293/klagomålsmail/A 29649-2025 FSC-klagomål mail.docx", "A 29649-2025")</f>
        <v/>
      </c>
      <c r="AC727">
        <f>HYPERLINK("https://klasma.github.io/Logging_1293/tillsyn/A 29649-2025 tillsynsbegäran.docx", "A 29649-2025")</f>
        <v/>
      </c>
      <c r="AD727">
        <f>HYPERLINK("https://klasma.github.io/Logging_1293/tillsynsmail/A 29649-2025 tillsynsbegäran mail.docx", "A 29649-2025")</f>
        <v/>
      </c>
    </row>
    <row r="728" ht="15" customHeight="1">
      <c r="A728" t="inlineStr">
        <is>
          <t>A 9769-2024</t>
        </is>
      </c>
      <c r="B728" t="inlineStr">
        <is>
          <t>avverkningsanmälan</t>
        </is>
      </c>
      <c r="C728" t="inlineStr">
        <is>
          <t>Föryngringsavverkning</t>
        </is>
      </c>
      <c r="D728" s="1" t="n">
        <v>45362</v>
      </c>
      <c r="E728" s="1" t="n">
        <v>46312</v>
      </c>
      <c r="F728" t="inlineStr">
        <is>
          <t>SKÅNE LÄN</t>
        </is>
      </c>
      <c r="G728" t="inlineStr">
        <is>
          <t>ÖSTRA GÖINGE</t>
        </is>
      </c>
      <c r="I728" t="n">
        <v>2.3</v>
      </c>
      <c r="J728" t="n">
        <v>0</v>
      </c>
      <c r="K728" t="n">
        <v>0</v>
      </c>
      <c r="L728" t="n">
        <v>1</v>
      </c>
      <c r="M728" t="n">
        <v>0</v>
      </c>
      <c r="N728" t="n">
        <v>0</v>
      </c>
      <c r="O728" t="n">
        <v>0</v>
      </c>
      <c r="P728" t="n">
        <v>0</v>
      </c>
      <c r="Q728" t="n">
        <v>1</v>
      </c>
      <c r="R728" t="n">
        <v>0</v>
      </c>
      <c r="S728" t="n">
        <v>1</v>
      </c>
      <c r="T728" t="n">
        <v>1</v>
      </c>
      <c r="U728" t="n">
        <v>0</v>
      </c>
      <c r="V728" s="2" t="inlineStr">
        <is>
          <t>Gullpudra</t>
        </is>
      </c>
      <c r="W728">
        <f>HYPERLINK("https://klasma.github.io/Logging_1256/artfynd/A 9769-2024 artfynd.xlsx", "A 9769-2024")</f>
        <v/>
      </c>
      <c r="X728">
        <f>HYPERLINK("https://klasma.github.io/Logging_1256/kartor/A 9769-2024 karta.png", "A 9769-2024")</f>
        <v/>
      </c>
      <c r="Y728">
        <f>HYPERLINK("https://klasma.github.io/Logging_1256/kartor_geotiff/A 9769-2024 georefererad karta.tif", "A 9769-2024")</f>
        <v/>
      </c>
      <c r="AA728">
        <f>HYPERLINK("https://klasma.github.io/Logging_1256/klagomål/A 9769-2024 FSC-klagomål.docx", "A 9769-2024")</f>
        <v/>
      </c>
      <c r="AB728">
        <f>HYPERLINK("https://klasma.github.io/Logging_1256/klagomålsmail/A 9769-2024 FSC-klagomål mail.docx", "A 9769-2024")</f>
        <v/>
      </c>
      <c r="AC728">
        <f>HYPERLINK("https://klasma.github.io/Logging_1256/tillsyn/A 9769-2024 tillsynsbegäran.docx", "A 9769-2024")</f>
        <v/>
      </c>
      <c r="AD728">
        <f>HYPERLINK("https://klasma.github.io/Logging_1256/tillsynsmail/A 9769-2024 tillsynsbegäran mail.docx", "A 9769-2024")</f>
        <v/>
      </c>
    </row>
    <row r="729" ht="15" customHeight="1">
      <c r="A729" t="inlineStr">
        <is>
          <t>A 35258-2024</t>
        </is>
      </c>
      <c r="B729" t="inlineStr">
        <is>
          <t>avverkningsanmälan</t>
        </is>
      </c>
      <c r="C729" t="inlineStr">
        <is>
          <t>Avverkning för annat ändamål</t>
        </is>
      </c>
      <c r="D729" s="1" t="n">
        <v>45530</v>
      </c>
      <c r="E729" s="1" t="n">
        <v>46312</v>
      </c>
      <c r="F729" t="inlineStr">
        <is>
          <t>SKÅNE LÄN</t>
        </is>
      </c>
      <c r="G729" t="inlineStr">
        <is>
          <t>SJÖBO</t>
        </is>
      </c>
      <c r="I729" t="n">
        <v>16.6</v>
      </c>
      <c r="J729" t="n">
        <v>0</v>
      </c>
      <c r="K729" t="n">
        <v>0</v>
      </c>
      <c r="L729" t="n">
        <v>0</v>
      </c>
      <c r="M729" t="n">
        <v>0</v>
      </c>
      <c r="N729" t="n">
        <v>1</v>
      </c>
      <c r="O729" t="n">
        <v>0</v>
      </c>
      <c r="P729" t="n">
        <v>0</v>
      </c>
      <c r="Q729" t="n">
        <v>1</v>
      </c>
      <c r="R729" t="n">
        <v>1</v>
      </c>
      <c r="S729" t="n">
        <v>1</v>
      </c>
      <c r="T729" t="n">
        <v>13</v>
      </c>
      <c r="U729" t="n">
        <v>0</v>
      </c>
      <c r="V729" s="2" t="inlineStr">
        <is>
          <t>Ask</t>
        </is>
      </c>
      <c r="W729">
        <f>HYPERLINK("https://klasma.github.io/Logging_1265/artfynd/A 35258-2024 artfynd.xlsx", "A 35258-2024")</f>
        <v/>
      </c>
      <c r="X729">
        <f>HYPERLINK("https://klasma.github.io/Logging_1265/kartor/A 35258-2024 karta.png", "A 35258-2024")</f>
        <v/>
      </c>
      <c r="Y729">
        <f>HYPERLINK("https://klasma.github.io/Logging_1265/kartor_geotiff/A 35258-2024 georefererad karta.tif", "A 35258-2024")</f>
        <v/>
      </c>
      <c r="AA729">
        <f>HYPERLINK("https://klasma.github.io/Logging_1265/klagomål/A 35258-2024 FSC-klagomål.docx", "A 35258-2024")</f>
        <v/>
      </c>
      <c r="AB729">
        <f>HYPERLINK("https://klasma.github.io/Logging_1265/klagomålsmail/A 35258-2024 FSC-klagomål mail.docx", "A 35258-2024")</f>
        <v/>
      </c>
      <c r="AC729">
        <f>HYPERLINK("https://klasma.github.io/Logging_1265/tillsyn/A 35258-2024 tillsynsbegäran.docx", "A 35258-2024")</f>
        <v/>
      </c>
      <c r="AD729">
        <f>HYPERLINK("https://klasma.github.io/Logging_1265/tillsynsmail/A 35258-2024 tillsynsbegäran mail.docx", "A 35258-2024")</f>
        <v/>
      </c>
    </row>
    <row r="730" ht="15" customHeight="1">
      <c r="A730" t="inlineStr">
        <is>
          <t>A 16783-2025</t>
        </is>
      </c>
      <c r="B730" t="inlineStr">
        <is>
          <t>avverkningsanmälan</t>
        </is>
      </c>
      <c r="C730" t="inlineStr">
        <is>
          <t>Föryngringsavverkning</t>
        </is>
      </c>
      <c r="D730" s="1" t="n">
        <v>45754</v>
      </c>
      <c r="E730" s="1" t="n">
        <v>46312</v>
      </c>
      <c r="F730" t="inlineStr">
        <is>
          <t>SKÅNE LÄN</t>
        </is>
      </c>
      <c r="G730" t="inlineStr">
        <is>
          <t>KRISTIANSTAD</t>
        </is>
      </c>
      <c r="I730" t="n">
        <v>20.2</v>
      </c>
      <c r="J730" t="n">
        <v>0</v>
      </c>
      <c r="K730" t="n">
        <v>0</v>
      </c>
      <c r="L730" t="n">
        <v>1</v>
      </c>
      <c r="M730" t="n">
        <v>0</v>
      </c>
      <c r="N730" t="n">
        <v>0</v>
      </c>
      <c r="O730" t="n">
        <v>0</v>
      </c>
      <c r="P730" t="n">
        <v>0</v>
      </c>
      <c r="Q730" t="n">
        <v>1</v>
      </c>
      <c r="R730" t="n">
        <v>0</v>
      </c>
      <c r="S730" t="n">
        <v>1</v>
      </c>
      <c r="T730" t="n">
        <v>1</v>
      </c>
      <c r="U730" t="n">
        <v>0</v>
      </c>
      <c r="V730" s="2" t="inlineStr">
        <is>
          <t>Öring</t>
        </is>
      </c>
      <c r="W730">
        <f>HYPERLINK("https://klasma.github.io/Logging_1290/artfynd/A 16783-2025 artfynd.xlsx", "A 16783-2025")</f>
        <v/>
      </c>
      <c r="X730">
        <f>HYPERLINK("https://klasma.github.io/Logging_1290/kartor/A 16783-2025 karta.png", "A 16783-2025")</f>
        <v/>
      </c>
      <c r="Y730">
        <f>HYPERLINK("https://klasma.github.io/Logging_1290/kartor_geotiff/A 16783-2025 georefererad karta.tif", "A 16783-2025")</f>
        <v/>
      </c>
      <c r="AA730">
        <f>HYPERLINK("https://klasma.github.io/Logging_1290/klagomål/A 16783-2025 FSC-klagomål.docx", "A 16783-2025")</f>
        <v/>
      </c>
      <c r="AB730">
        <f>HYPERLINK("https://klasma.github.io/Logging_1290/klagomålsmail/A 16783-2025 FSC-klagomål mail.docx", "A 16783-2025")</f>
        <v/>
      </c>
      <c r="AC730">
        <f>HYPERLINK("https://klasma.github.io/Logging_1290/tillsyn/A 16783-2025 tillsynsbegäran.docx", "A 16783-2025")</f>
        <v/>
      </c>
      <c r="AD730">
        <f>HYPERLINK("https://klasma.github.io/Logging_1290/tillsynsmail/A 16783-2025 tillsynsbegäran mail.docx", "A 16783-2025")</f>
        <v/>
      </c>
    </row>
    <row r="731" ht="15" customHeight="1">
      <c r="A731" t="inlineStr">
        <is>
          <t>A 4746-2025</t>
        </is>
      </c>
      <c r="B731" t="inlineStr">
        <is>
          <t>avverkningsanmälan</t>
        </is>
      </c>
      <c r="C731" t="inlineStr">
        <is>
          <t>Föryngringsavverkning</t>
        </is>
      </c>
      <c r="D731" s="1" t="n">
        <v>45688</v>
      </c>
      <c r="E731" s="1" t="n">
        <v>46312</v>
      </c>
      <c r="F731" t="inlineStr">
        <is>
          <t>SKÅNE LÄN</t>
        </is>
      </c>
      <c r="G731" t="inlineStr">
        <is>
          <t>LUND</t>
        </is>
      </c>
      <c r="I731" t="n">
        <v>1.1</v>
      </c>
      <c r="J731" t="n">
        <v>1</v>
      </c>
      <c r="K731" t="n">
        <v>0</v>
      </c>
      <c r="L731" t="n">
        <v>0</v>
      </c>
      <c r="M731" t="n">
        <v>0</v>
      </c>
      <c r="N731" t="n">
        <v>0</v>
      </c>
      <c r="O731" t="n">
        <v>0</v>
      </c>
      <c r="P731" t="n">
        <v>0</v>
      </c>
      <c r="Q731" t="n">
        <v>0</v>
      </c>
      <c r="R731" t="n">
        <v>0</v>
      </c>
      <c r="S731" t="n">
        <v>1</v>
      </c>
      <c r="T731" t="n">
        <v>1</v>
      </c>
      <c r="U731" t="n">
        <v>0</v>
      </c>
      <c r="V731" s="2" t="inlineStr">
        <is>
          <t>Svartvit flugsnappare</t>
        </is>
      </c>
      <c r="W731">
        <f>HYPERLINK("https://klasma.github.io/Logging_1281/artfynd/A 4746-2025 artfynd.xlsx", "A 4746-2025")</f>
        <v/>
      </c>
      <c r="X731">
        <f>HYPERLINK("https://klasma.github.io/Logging_1281/kartor/A 4746-2025 karta.png", "A 4746-2025")</f>
        <v/>
      </c>
      <c r="Y731">
        <f>HYPERLINK("https://klasma.github.io/Logging_1281/kartor_geotiff/A 4746-2025 georefererad karta.tif", "A 4746-2025")</f>
        <v/>
      </c>
      <c r="AA731">
        <f>HYPERLINK("https://klasma.github.io/Logging_1281/klagomål/A 4746-2025 FSC-klagomål.docx", "A 4746-2025")</f>
        <v/>
      </c>
      <c r="AB731">
        <f>HYPERLINK("https://klasma.github.io/Logging_1281/klagomålsmail/A 4746-2025 FSC-klagomål mail.docx", "A 4746-2025")</f>
        <v/>
      </c>
      <c r="AC731">
        <f>HYPERLINK("https://klasma.github.io/Logging_1281/tillsyn/A 4746-2025 tillsynsbegäran.docx", "A 4746-2025")</f>
        <v/>
      </c>
      <c r="AD731">
        <f>HYPERLINK("https://klasma.github.io/Logging_1281/tillsynsmail/A 4746-2025 tillsynsbegäran mail.docx", "A 4746-2025")</f>
        <v/>
      </c>
    </row>
    <row r="732" ht="15" customHeight="1">
      <c r="A732" t="inlineStr">
        <is>
          <t>A 34344-2025</t>
        </is>
      </c>
      <c r="B732" t="inlineStr">
        <is>
          <t>avverkningsanmälan</t>
        </is>
      </c>
      <c r="C732" t="inlineStr">
        <is>
          <t>Föryngringsavverkning</t>
        </is>
      </c>
      <c r="D732" s="1" t="n">
        <v>45846</v>
      </c>
      <c r="E732" s="1" t="n">
        <v>46312</v>
      </c>
      <c r="F732" t="inlineStr">
        <is>
          <t>SKÅNE LÄN</t>
        </is>
      </c>
      <c r="G732" t="inlineStr">
        <is>
          <t>ÖSTRA GÖINGE</t>
        </is>
      </c>
      <c r="I732" t="n">
        <v>1.5</v>
      </c>
      <c r="J732" t="n">
        <v>1</v>
      </c>
      <c r="K732" t="n">
        <v>0</v>
      </c>
      <c r="L732" t="n">
        <v>0</v>
      </c>
      <c r="M732" t="n">
        <v>0</v>
      </c>
      <c r="N732" t="n">
        <v>0</v>
      </c>
      <c r="O732" t="n">
        <v>0</v>
      </c>
      <c r="P732" t="n">
        <v>0</v>
      </c>
      <c r="Q732" t="n">
        <v>0</v>
      </c>
      <c r="R732" t="n">
        <v>0</v>
      </c>
      <c r="S732" t="n">
        <v>1</v>
      </c>
      <c r="T732" t="n">
        <v>1</v>
      </c>
      <c r="U732" t="n">
        <v>1</v>
      </c>
      <c r="V732" s="2" t="inlineStr">
        <is>
          <t>Huggorm</t>
        </is>
      </c>
      <c r="W732">
        <f>HYPERLINK("https://klasma.github.io/Logging_1256/artfynd/A 34344-2025 artfynd.xlsx", "A 34344-2025")</f>
        <v/>
      </c>
      <c r="X732">
        <f>HYPERLINK("https://klasma.github.io/Logging_1256/kartor/A 34344-2025 karta.png", "A 34344-2025")</f>
        <v/>
      </c>
      <c r="Y732">
        <f>HYPERLINK("https://klasma.github.io/Logging_1256/kartor_geotiff/A 34344-2025 georefererad karta.tif", "A 34344-2025")</f>
        <v/>
      </c>
      <c r="AA732">
        <f>HYPERLINK("https://klasma.github.io/Logging_1256/klagomål/A 34344-2025 FSC-klagomål.docx", "A 34344-2025")</f>
        <v/>
      </c>
      <c r="AB732">
        <f>HYPERLINK("https://klasma.github.io/Logging_1256/klagomålsmail/A 34344-2025 FSC-klagomål mail.docx", "A 34344-2025")</f>
        <v/>
      </c>
      <c r="AC732">
        <f>HYPERLINK("https://klasma.github.io/Logging_1256/tillsyn/A 34344-2025 tillsynsbegäran.docx", "A 34344-2025")</f>
        <v/>
      </c>
      <c r="AD732">
        <f>HYPERLINK("https://klasma.github.io/Logging_1256/tillsynsmail/A 34344-2025 tillsynsbegäran mail.docx", "A 34344-2025")</f>
        <v/>
      </c>
    </row>
    <row r="733" ht="15" customHeight="1">
      <c r="A733" t="inlineStr">
        <is>
          <t>A 35454-2025</t>
        </is>
      </c>
      <c r="B733" t="inlineStr">
        <is>
          <t>avverkningsanmälan</t>
        </is>
      </c>
      <c r="C733" t="inlineStr">
        <is>
          <t>Avverkning för annat ändamål</t>
        </is>
      </c>
      <c r="D733" s="1" t="n">
        <v>45855</v>
      </c>
      <c r="E733" s="1" t="n">
        <v>46312</v>
      </c>
      <c r="F733" t="inlineStr">
        <is>
          <t>SKÅNE LÄN</t>
        </is>
      </c>
      <c r="G733" t="inlineStr">
        <is>
          <t>SJÖBO</t>
        </is>
      </c>
      <c r="I733" t="n">
        <v>2.3</v>
      </c>
      <c r="J733" t="n">
        <v>1</v>
      </c>
      <c r="K733" t="n">
        <v>0</v>
      </c>
      <c r="L733" t="n">
        <v>0</v>
      </c>
      <c r="M733" t="n">
        <v>1</v>
      </c>
      <c r="N733" t="n">
        <v>0</v>
      </c>
      <c r="O733" t="n">
        <v>0</v>
      </c>
      <c r="P733" t="n">
        <v>0</v>
      </c>
      <c r="Q733" t="n">
        <v>1</v>
      </c>
      <c r="R733" t="n">
        <v>1</v>
      </c>
      <c r="S733" t="n">
        <v>1</v>
      </c>
      <c r="T733" t="n">
        <v>1</v>
      </c>
      <c r="U733" t="n">
        <v>0</v>
      </c>
      <c r="V733" s="2" t="inlineStr">
        <is>
          <t>Backsippa</t>
        </is>
      </c>
      <c r="W733">
        <f>HYPERLINK("https://klasma.github.io/Logging_1265/artfynd/A 35454-2025 artfynd.xlsx", "A 35454-2025")</f>
        <v/>
      </c>
      <c r="X733">
        <f>HYPERLINK("https://klasma.github.io/Logging_1265/kartor/A 35454-2025 karta.png", "A 35454-2025")</f>
        <v/>
      </c>
      <c r="Y733">
        <f>HYPERLINK("https://klasma.github.io/Logging_1265/kartor_geotiff/A 35454-2025 georefererad karta.tif", "A 35454-2025")</f>
        <v/>
      </c>
      <c r="AA733">
        <f>HYPERLINK("https://klasma.github.io/Logging_1265/klagomål/A 35454-2025 FSC-klagomål.docx", "A 35454-2025")</f>
        <v/>
      </c>
      <c r="AB733">
        <f>HYPERLINK("https://klasma.github.io/Logging_1265/klagomålsmail/A 35454-2025 FSC-klagomål mail.docx", "A 35454-2025")</f>
        <v/>
      </c>
      <c r="AC733">
        <f>HYPERLINK("https://klasma.github.io/Logging_1265/tillsyn/A 35454-2025 tillsynsbegäran.docx", "A 35454-2025")</f>
        <v/>
      </c>
      <c r="AD733">
        <f>HYPERLINK("https://klasma.github.io/Logging_1265/tillsynsmail/A 35454-2025 tillsynsbegäran mail.docx", "A 35454-2025")</f>
        <v/>
      </c>
    </row>
    <row r="734" ht="15" customHeight="1">
      <c r="A734" t="inlineStr">
        <is>
          <t>A 26958-2025</t>
        </is>
      </c>
      <c r="B734" t="inlineStr">
        <is>
          <t>avverkningsanmälan</t>
        </is>
      </c>
      <c r="C734" t="inlineStr">
        <is>
          <t>Föryngringsavverkning</t>
        </is>
      </c>
      <c r="D734" s="1" t="n">
        <v>45811</v>
      </c>
      <c r="E734" s="1" t="n">
        <v>46312</v>
      </c>
      <c r="F734" t="inlineStr">
        <is>
          <t>SKÅNE LÄN</t>
        </is>
      </c>
      <c r="G734" t="inlineStr">
        <is>
          <t>TOMELILLA</t>
        </is>
      </c>
      <c r="I734" t="n">
        <v>2.9</v>
      </c>
      <c r="J734" t="n">
        <v>0</v>
      </c>
      <c r="K734" t="n">
        <v>1</v>
      </c>
      <c r="L734" t="n">
        <v>0</v>
      </c>
      <c r="M734" t="n">
        <v>0</v>
      </c>
      <c r="N734" t="n">
        <v>0</v>
      </c>
      <c r="O734" t="n">
        <v>0</v>
      </c>
      <c r="P734" t="n">
        <v>0</v>
      </c>
      <c r="Q734" t="n">
        <v>0</v>
      </c>
      <c r="R734" t="n">
        <v>0</v>
      </c>
      <c r="S734" t="n">
        <v>1</v>
      </c>
      <c r="T734" t="n">
        <v>1</v>
      </c>
      <c r="U734" t="n">
        <v>0</v>
      </c>
      <c r="V734" s="2" t="inlineStr">
        <is>
          <t>Murgröna</t>
        </is>
      </c>
      <c r="W734">
        <f>HYPERLINK("https://klasma.github.io/Logging_1270/artfynd/A 26958-2025 artfynd.xlsx", "A 26958-2025")</f>
        <v/>
      </c>
      <c r="X734">
        <f>HYPERLINK("https://klasma.github.io/Logging_1270/kartor/A 26958-2025 karta.png", "A 26958-2025")</f>
        <v/>
      </c>
      <c r="Y734">
        <f>HYPERLINK("https://klasma.github.io/Logging_1270/kartor_geotiff/A 26958-2025 georefererad karta.tif", "A 26958-2025")</f>
        <v/>
      </c>
      <c r="AA734">
        <f>HYPERLINK("https://klasma.github.io/Logging_1270/klagomål/A 26958-2025 FSC-klagomål.docx", "A 26958-2025")</f>
        <v/>
      </c>
      <c r="AB734">
        <f>HYPERLINK("https://klasma.github.io/Logging_1270/klagomålsmail/A 26958-2025 FSC-klagomål mail.docx", "A 26958-2025")</f>
        <v/>
      </c>
      <c r="AC734">
        <f>HYPERLINK("https://klasma.github.io/Logging_1270/tillsyn/A 26958-2025 tillsynsbegäran.docx", "A 26958-2025")</f>
        <v/>
      </c>
      <c r="AD734">
        <f>HYPERLINK("https://klasma.github.io/Logging_1270/tillsynsmail/A 26958-2025 tillsynsbegäran mail.docx", "A 26958-2025")</f>
        <v/>
      </c>
    </row>
    <row r="735" ht="15" customHeight="1">
      <c r="A735" t="inlineStr">
        <is>
          <t>A 36362-2025</t>
        </is>
      </c>
      <c r="B735" t="inlineStr">
        <is>
          <t>avverkningsanmälan</t>
        </is>
      </c>
      <c r="C735" t="inlineStr">
        <is>
          <t>Föryngringsavverkning</t>
        </is>
      </c>
      <c r="D735" s="1" t="n">
        <v>45868</v>
      </c>
      <c r="E735" s="1" t="n">
        <v>46312</v>
      </c>
      <c r="F735" t="inlineStr">
        <is>
          <t>SKÅNE LÄN</t>
        </is>
      </c>
      <c r="G735" t="inlineStr">
        <is>
          <t>HÖRBY</t>
        </is>
      </c>
      <c r="I735" t="n">
        <v>3.7</v>
      </c>
      <c r="J735" t="n">
        <v>0</v>
      </c>
      <c r="K735" t="n">
        <v>1</v>
      </c>
      <c r="L735" t="n">
        <v>0</v>
      </c>
      <c r="M735" t="n">
        <v>0</v>
      </c>
      <c r="N735" t="n">
        <v>0</v>
      </c>
      <c r="O735" t="n">
        <v>0</v>
      </c>
      <c r="P735" t="n">
        <v>0</v>
      </c>
      <c r="Q735" t="n">
        <v>0</v>
      </c>
      <c r="R735" t="n">
        <v>0</v>
      </c>
      <c r="S735" t="n">
        <v>1</v>
      </c>
      <c r="T735" t="n">
        <v>1</v>
      </c>
      <c r="U735" t="n">
        <v>1</v>
      </c>
      <c r="V735" s="2" t="inlineStr">
        <is>
          <t>Blomkålssvamp</t>
        </is>
      </c>
      <c r="W735">
        <f>HYPERLINK("https://klasma.github.io/Logging_1266/artfynd/A 36362-2025 artfynd.xlsx", "A 36362-2025")</f>
        <v/>
      </c>
      <c r="X735">
        <f>HYPERLINK("https://klasma.github.io/Logging_1266/kartor/A 36362-2025 karta.png", "A 36362-2025")</f>
        <v/>
      </c>
      <c r="Y735">
        <f>HYPERLINK("https://klasma.github.io/Logging_1266/kartor_geotiff/A 36362-2025 georefererad karta.tif", "A 36362-2025")</f>
        <v/>
      </c>
      <c r="AA735">
        <f>HYPERLINK("https://klasma.github.io/Logging_1266/klagomål/A 36362-2025 FSC-klagomål.docx", "A 36362-2025")</f>
        <v/>
      </c>
      <c r="AB735">
        <f>HYPERLINK("https://klasma.github.io/Logging_1266/klagomålsmail/A 36362-2025 FSC-klagomål mail.docx", "A 36362-2025")</f>
        <v/>
      </c>
      <c r="AC735">
        <f>HYPERLINK("https://klasma.github.io/Logging_1266/tillsyn/A 36362-2025 tillsynsbegäran.docx", "A 36362-2025")</f>
        <v/>
      </c>
      <c r="AD735">
        <f>HYPERLINK("https://klasma.github.io/Logging_1266/tillsynsmail/A 36362-2025 tillsynsbegäran mail.docx", "A 36362-2025")</f>
        <v/>
      </c>
    </row>
    <row r="736" ht="15" customHeight="1">
      <c r="A736" t="inlineStr">
        <is>
          <t>A 32101-2024</t>
        </is>
      </c>
      <c r="B736" t="inlineStr">
        <is>
          <t>avverkningsanmälan</t>
        </is>
      </c>
      <c r="C736" t="inlineStr">
        <is>
          <t>Föryngringsavverkning</t>
        </is>
      </c>
      <c r="D736" s="1" t="n">
        <v>45511</v>
      </c>
      <c r="E736" s="1" t="n">
        <v>46312</v>
      </c>
      <c r="F736" t="inlineStr">
        <is>
          <t>SKÅNE LÄN</t>
        </is>
      </c>
      <c r="G736" t="inlineStr">
        <is>
          <t>KRISTIANSTAD</t>
        </is>
      </c>
      <c r="I736" t="n">
        <v>6.6</v>
      </c>
      <c r="J736" t="n">
        <v>1</v>
      </c>
      <c r="K736" t="n">
        <v>1</v>
      </c>
      <c r="L736" t="n">
        <v>0</v>
      </c>
      <c r="M736" t="n">
        <v>0</v>
      </c>
      <c r="N736" t="n">
        <v>0</v>
      </c>
      <c r="O736" t="n">
        <v>0</v>
      </c>
      <c r="P736" t="n">
        <v>0</v>
      </c>
      <c r="Q736" t="n">
        <v>0</v>
      </c>
      <c r="R736" t="n">
        <v>0</v>
      </c>
      <c r="S736" t="n">
        <v>1</v>
      </c>
      <c r="T736" t="n">
        <v>1</v>
      </c>
      <c r="U736" t="n">
        <v>1</v>
      </c>
      <c r="V736" s="2" t="inlineStr">
        <is>
          <t>Skogsknipprot</t>
        </is>
      </c>
      <c r="W736">
        <f>HYPERLINK("https://klasma.github.io/Logging_1290/artfynd/A 32101-2024 artfynd.xlsx", "A 32101-2024")</f>
        <v/>
      </c>
      <c r="X736">
        <f>HYPERLINK("https://klasma.github.io/Logging_1290/kartor/A 32101-2024 karta.png", "A 32101-2024")</f>
        <v/>
      </c>
      <c r="Y736">
        <f>HYPERLINK("https://klasma.github.io/Logging_1290/kartor_geotiff/A 32101-2024 georefererad karta.tif", "A 32101-2024")</f>
        <v/>
      </c>
      <c r="AA736">
        <f>HYPERLINK("https://klasma.github.io/Logging_1290/klagomål/A 32101-2024 FSC-klagomål.docx", "A 32101-2024")</f>
        <v/>
      </c>
      <c r="AB736">
        <f>HYPERLINK("https://klasma.github.io/Logging_1290/klagomålsmail/A 32101-2024 FSC-klagomål mail.docx", "A 32101-2024")</f>
        <v/>
      </c>
      <c r="AC736">
        <f>HYPERLINK("https://klasma.github.io/Logging_1290/tillsyn/A 32101-2024 tillsynsbegäran.docx", "A 32101-2024")</f>
        <v/>
      </c>
      <c r="AD736">
        <f>HYPERLINK("https://klasma.github.io/Logging_1290/tillsynsmail/A 32101-2024 tillsynsbegäran mail.docx", "A 32101-2024")</f>
        <v/>
      </c>
    </row>
    <row r="737" ht="15" customHeight="1">
      <c r="A737" t="inlineStr">
        <is>
          <t>S 2020-2023</t>
        </is>
      </c>
      <c r="B737" t="inlineStr">
        <is>
          <t>samrådsanmälan</t>
        </is>
      </c>
      <c r="C737" t="inlineStr">
        <is>
          <t>Askåterföring</t>
        </is>
      </c>
      <c r="D737" s="1" t="n">
        <v>45089</v>
      </c>
      <c r="E737" s="1" t="n">
        <v>46312</v>
      </c>
      <c r="F737" t="inlineStr">
        <is>
          <t>SKÅNE LÄN</t>
        </is>
      </c>
      <c r="G737" t="inlineStr">
        <is>
          <t>HÖRBY</t>
        </is>
      </c>
      <c r="I737" t="n">
        <v>16.1</v>
      </c>
      <c r="J737" t="n">
        <v>0</v>
      </c>
      <c r="K737" t="n">
        <v>1</v>
      </c>
      <c r="L737" t="n">
        <v>0</v>
      </c>
      <c r="M737" t="n">
        <v>0</v>
      </c>
      <c r="N737" t="n">
        <v>0</v>
      </c>
      <c r="O737" t="n">
        <v>0</v>
      </c>
      <c r="P737" t="n">
        <v>0</v>
      </c>
      <c r="Q737" t="n">
        <v>0</v>
      </c>
      <c r="R737" t="n">
        <v>0</v>
      </c>
      <c r="S737" t="n">
        <v>1</v>
      </c>
      <c r="T737" t="n">
        <v>1</v>
      </c>
      <c r="U737" t="n">
        <v>0</v>
      </c>
      <c r="V737" s="2" t="inlineStr">
        <is>
          <t>Kambräken</t>
        </is>
      </c>
      <c r="W737">
        <f>HYPERLINK("https://klasma.github.io/Logging_1266/artfynd/S 2020-2023 artfynd.xlsx", "S 2020-2023")</f>
        <v/>
      </c>
      <c r="X737">
        <f>HYPERLINK("https://klasma.github.io/Logging_1266/kartor/S 2020-2023 karta.png", "S 2020-2023")</f>
        <v/>
      </c>
      <c r="Y737">
        <f>HYPERLINK("https://klasma.github.io/Logging_1266/kartor_geotiff/S 2020-2023 georefererad karta.tif", "S 2020-2023")</f>
        <v/>
      </c>
      <c r="AA737">
        <f>HYPERLINK("https://klasma.github.io/Logging_1266/klagomål/S 2020-2023 FSC-klagomål.docx", "S 2020-2023")</f>
        <v/>
      </c>
      <c r="AB737">
        <f>HYPERLINK("https://klasma.github.io/Logging_1266/klagomålsmail/S 2020-2023 FSC-klagomål mail.docx", "S 2020-2023")</f>
        <v/>
      </c>
      <c r="AC737">
        <f>HYPERLINK("https://klasma.github.io/Logging_1266/tillsyn/S 2020-2023 tillsynsbegäran.docx", "S 2020-2023")</f>
        <v/>
      </c>
      <c r="AD737">
        <f>HYPERLINK("https://klasma.github.io/Logging_1266/tillsynsmail/S 2020-2023 tillsynsbegäran mail.docx", "S 2020-2023")</f>
        <v/>
      </c>
    </row>
    <row r="738" ht="15" customHeight="1">
      <c r="A738" t="inlineStr">
        <is>
          <t>S 8915-2021</t>
        </is>
      </c>
      <c r="B738" t="inlineStr">
        <is>
          <t>samrådsanmälan</t>
        </is>
      </c>
      <c r="C738" t="inlineStr">
        <is>
          <t>Askåterföring</t>
        </is>
      </c>
      <c r="D738" s="1" t="n">
        <v>44504</v>
      </c>
      <c r="E738" s="1" t="n">
        <v>46312</v>
      </c>
      <c r="F738" t="inlineStr">
        <is>
          <t>SKÅNE LÄN</t>
        </is>
      </c>
      <c r="G738" t="inlineStr">
        <is>
          <t>HÖÖR</t>
        </is>
      </c>
      <c r="I738" t="n">
        <v>37.2</v>
      </c>
      <c r="J738" t="n">
        <v>1</v>
      </c>
      <c r="K738" t="n">
        <v>0</v>
      </c>
      <c r="L738" t="n">
        <v>0</v>
      </c>
      <c r="M738" t="n">
        <v>0</v>
      </c>
      <c r="N738" t="n">
        <v>0</v>
      </c>
      <c r="O738" t="n">
        <v>0</v>
      </c>
      <c r="P738" t="n">
        <v>0</v>
      </c>
      <c r="Q738" t="n">
        <v>0</v>
      </c>
      <c r="R738" t="n">
        <v>0</v>
      </c>
      <c r="S738" t="n">
        <v>1</v>
      </c>
      <c r="T738" t="n">
        <v>1</v>
      </c>
      <c r="U738" t="n">
        <v>0</v>
      </c>
      <c r="V738" s="2" t="inlineStr">
        <is>
          <t>Revlummer</t>
        </is>
      </c>
      <c r="W738">
        <f>HYPERLINK("https://klasma.github.io/Logging_1267/artfynd/S 8915-2021 artfynd.xlsx", "S 8915-2021")</f>
        <v/>
      </c>
      <c r="X738">
        <f>HYPERLINK("https://klasma.github.io/Logging_1267/kartor/S 8915-2021 karta.png", "S 8915-2021")</f>
        <v/>
      </c>
      <c r="Y738">
        <f>HYPERLINK("https://klasma.github.io/Logging_1267/kartor_geotiff/S 8915-2021 georefererad karta.tif", "S 8915-2021")</f>
        <v/>
      </c>
      <c r="AA738">
        <f>HYPERLINK("https://klasma.github.io/Logging_1267/klagomål/S 8915-2021 FSC-klagomål.docx", "S 8915-2021")</f>
        <v/>
      </c>
      <c r="AB738">
        <f>HYPERLINK("https://klasma.github.io/Logging_1267/klagomålsmail/S 8915-2021 FSC-klagomål mail.docx", "S 8915-2021")</f>
        <v/>
      </c>
      <c r="AC738">
        <f>HYPERLINK("https://klasma.github.io/Logging_1267/tillsyn/S 8915-2021 tillsynsbegäran.docx", "S 8915-2021")</f>
        <v/>
      </c>
      <c r="AD738">
        <f>HYPERLINK("https://klasma.github.io/Logging_1267/tillsynsmail/S 8915-2021 tillsynsbegäran mail.docx", "S 8915-2021")</f>
        <v/>
      </c>
    </row>
    <row r="739" ht="15" customHeight="1">
      <c r="A739" t="inlineStr">
        <is>
          <t>S 1961-2023</t>
        </is>
      </c>
      <c r="B739" t="inlineStr">
        <is>
          <t>samrådsanmälan</t>
        </is>
      </c>
      <c r="C739" t="inlineStr">
        <is>
          <t>Askåterföring</t>
        </is>
      </c>
      <c r="D739" s="1" t="n">
        <v>45084</v>
      </c>
      <c r="E739" s="1" t="n">
        <v>46312</v>
      </c>
      <c r="F739" t="inlineStr">
        <is>
          <t>SKÅNE LÄN</t>
        </is>
      </c>
      <c r="G739" t="inlineStr">
        <is>
          <t>ÄNGELHOLM</t>
        </is>
      </c>
      <c r="I739" t="n">
        <v>27</v>
      </c>
      <c r="J739" t="n">
        <v>1</v>
      </c>
      <c r="K739" t="n">
        <v>0</v>
      </c>
      <c r="L739" t="n">
        <v>0</v>
      </c>
      <c r="M739" t="n">
        <v>0</v>
      </c>
      <c r="N739" t="n">
        <v>0</v>
      </c>
      <c r="O739" t="n">
        <v>0</v>
      </c>
      <c r="P739" t="n">
        <v>0</v>
      </c>
      <c r="Q739" t="n">
        <v>0</v>
      </c>
      <c r="R739" t="n">
        <v>0</v>
      </c>
      <c r="S739" t="n">
        <v>1</v>
      </c>
      <c r="T739" t="n">
        <v>1</v>
      </c>
      <c r="U739" t="n">
        <v>0</v>
      </c>
      <c r="V739" s="2" t="inlineStr">
        <is>
          <t>Huggorm</t>
        </is>
      </c>
      <c r="W739">
        <f>HYPERLINK("https://klasma.github.io/Logging_1292/artfynd/S 1961-2023 artfynd.xlsx", "S 1961-2023")</f>
        <v/>
      </c>
      <c r="X739">
        <f>HYPERLINK("https://klasma.github.io/Logging_1292/kartor/S 1961-2023 karta.png", "S 1961-2023")</f>
        <v/>
      </c>
      <c r="Y739">
        <f>HYPERLINK("https://klasma.github.io/Logging_1292/kartor_geotiff/S 1961-2023 georefererad karta.tif", "S 1961-2023")</f>
        <v/>
      </c>
      <c r="AA739">
        <f>HYPERLINK("https://klasma.github.io/Logging_1292/klagomål/S 1961-2023 FSC-klagomål.docx", "S 1961-2023")</f>
        <v/>
      </c>
      <c r="AB739">
        <f>HYPERLINK("https://klasma.github.io/Logging_1292/klagomålsmail/S 1961-2023 FSC-klagomål mail.docx", "S 1961-2023")</f>
        <v/>
      </c>
      <c r="AC739">
        <f>HYPERLINK("https://klasma.github.io/Logging_1292/tillsyn/S 1961-2023 tillsynsbegäran.docx", "S 1961-2023")</f>
        <v/>
      </c>
      <c r="AD739">
        <f>HYPERLINK("https://klasma.github.io/Logging_1292/tillsynsmail/S 1961-2023 tillsynsbegäran mail.docx", "S 1961-2023")</f>
        <v/>
      </c>
    </row>
    <row r="740" ht="15" customHeight="1">
      <c r="A740" t="inlineStr">
        <is>
          <t>S 1818-2022</t>
        </is>
      </c>
      <c r="B740" t="inlineStr">
        <is>
          <t>samrådsanmälan</t>
        </is>
      </c>
      <c r="C740" t="inlineStr">
        <is>
          <t>Askåterföring</t>
        </is>
      </c>
      <c r="D740" s="1" t="n">
        <v>44657</v>
      </c>
      <c r="E740" s="1" t="n">
        <v>46312</v>
      </c>
      <c r="F740" t="inlineStr">
        <is>
          <t>SKÅNE LÄN</t>
        </is>
      </c>
      <c r="G740" t="inlineStr">
        <is>
          <t>HÄSSLEHOLM</t>
        </is>
      </c>
      <c r="I740" t="n">
        <v>21.7</v>
      </c>
      <c r="J740" t="n">
        <v>0</v>
      </c>
      <c r="K740" t="n">
        <v>0</v>
      </c>
      <c r="L740" t="n">
        <v>0</v>
      </c>
      <c r="M740" t="n">
        <v>1</v>
      </c>
      <c r="N740" t="n">
        <v>0</v>
      </c>
      <c r="O740" t="n">
        <v>0</v>
      </c>
      <c r="P740" t="n">
        <v>0</v>
      </c>
      <c r="Q740" t="n">
        <v>1</v>
      </c>
      <c r="R740" t="n">
        <v>1</v>
      </c>
      <c r="S740" t="n">
        <v>1</v>
      </c>
      <c r="T740" t="n">
        <v>1</v>
      </c>
      <c r="U740" t="n">
        <v>1</v>
      </c>
      <c r="V740" s="2" t="inlineStr">
        <is>
          <t>Igelkott</t>
        </is>
      </c>
      <c r="W740">
        <f>HYPERLINK("https://klasma.github.io/Logging_1293/artfynd/S 1818-2022 artfynd.xlsx", "S 1818-2022")</f>
        <v/>
      </c>
      <c r="X740">
        <f>HYPERLINK("https://klasma.github.io/Logging_1293/kartor/S 1818-2022 karta.png", "S 1818-2022")</f>
        <v/>
      </c>
      <c r="Y740">
        <f>HYPERLINK("https://klasma.github.io/Logging_1293/kartor_geotiff/S 1818-2022 georefererad karta.tif", "S 1818-2022")</f>
        <v/>
      </c>
      <c r="AA740">
        <f>HYPERLINK("https://klasma.github.io/Logging_1293/klagomål/S 1818-2022 FSC-klagomål.docx", "S 1818-2022")</f>
        <v/>
      </c>
      <c r="AB740">
        <f>HYPERLINK("https://klasma.github.io/Logging_1293/klagomålsmail/S 1818-2022 FSC-klagomål mail.docx", "S 1818-2022")</f>
        <v/>
      </c>
      <c r="AC740">
        <f>HYPERLINK("https://klasma.github.io/Logging_1293/tillsyn/S 1818-2022 tillsynsbegäran.docx", "S 1818-2022")</f>
        <v/>
      </c>
      <c r="AD740">
        <f>HYPERLINK("https://klasma.github.io/Logging_1293/tillsynsmail/S 1818-2022 tillsynsbegäran mail.docx", "S 1818-2022")</f>
        <v/>
      </c>
    </row>
    <row r="741" ht="15" customHeight="1">
      <c r="A741" t="inlineStr">
        <is>
          <t>S 4512-2023</t>
        </is>
      </c>
      <c r="B741" t="inlineStr">
        <is>
          <t>samrådsanmälan</t>
        </is>
      </c>
      <c r="C741" t="inlineStr">
        <is>
          <t>Annan skogsbruksåtgärd</t>
        </is>
      </c>
      <c r="D741" s="1" t="n">
        <v>45274</v>
      </c>
      <c r="E741" s="1" t="n">
        <v>46312</v>
      </c>
      <c r="F741" t="inlineStr">
        <is>
          <t>SKÅNE LÄN</t>
        </is>
      </c>
      <c r="G741" t="inlineStr">
        <is>
          <t>KRISTIANSTAD</t>
        </is>
      </c>
      <c r="I741" t="n">
        <v>0.8</v>
      </c>
      <c r="J741" t="n">
        <v>0</v>
      </c>
      <c r="K741" t="n">
        <v>0</v>
      </c>
      <c r="L741" t="n">
        <v>0</v>
      </c>
      <c r="M741" t="n">
        <v>0</v>
      </c>
      <c r="N741" t="n">
        <v>1</v>
      </c>
      <c r="O741" t="n">
        <v>0</v>
      </c>
      <c r="P741" t="n">
        <v>0</v>
      </c>
      <c r="Q741" t="n">
        <v>1</v>
      </c>
      <c r="R741" t="n">
        <v>1</v>
      </c>
      <c r="S741" t="n">
        <v>1</v>
      </c>
      <c r="T741" t="n">
        <v>1</v>
      </c>
      <c r="U741" t="n">
        <v>0</v>
      </c>
      <c r="V741" s="2" t="inlineStr">
        <is>
          <t>Skogsalm</t>
        </is>
      </c>
      <c r="W741">
        <f>HYPERLINK("https://klasma.github.io/Logging_1290/artfynd/S 4512-2023 artfynd.xlsx", "S 4512-2023")</f>
        <v/>
      </c>
      <c r="X741">
        <f>HYPERLINK("https://klasma.github.io/Logging_1290/kartor/S 4512-2023 karta.png", "S 4512-2023")</f>
        <v/>
      </c>
      <c r="Y741">
        <f>HYPERLINK("https://klasma.github.io/Logging_1290/kartor_geotiff/S 4512-2023 georefererad karta.tif", "S 4512-2023")</f>
        <v/>
      </c>
      <c r="AA741">
        <f>HYPERLINK("https://klasma.github.io/Logging_1290/klagomål/S 4512-2023 FSC-klagomål.docx", "S 4512-2023")</f>
        <v/>
      </c>
      <c r="AB741">
        <f>HYPERLINK("https://klasma.github.io/Logging_1290/klagomålsmail/S 4512-2023 FSC-klagomål mail.docx", "S 4512-2023")</f>
        <v/>
      </c>
      <c r="AC741">
        <f>HYPERLINK("https://klasma.github.io/Logging_1290/tillsyn/S 4512-2023 tillsynsbegäran.docx", "S 4512-2023")</f>
        <v/>
      </c>
      <c r="AD741">
        <f>HYPERLINK("https://klasma.github.io/Logging_1290/tillsynsmail/S 4512-2023 tillsynsbegäran mail.docx", "S 4512-2023")</f>
        <v/>
      </c>
    </row>
    <row r="742" ht="15" customHeight="1">
      <c r="A742" t="inlineStr">
        <is>
          <t>S 841-2023</t>
        </is>
      </c>
      <c r="B742" t="inlineStr">
        <is>
          <t>samrådsanmälan</t>
        </is>
      </c>
      <c r="C742" t="inlineStr">
        <is>
          <t>Askåterföring</t>
        </is>
      </c>
      <c r="D742" s="1" t="n">
        <v>44992</v>
      </c>
      <c r="E742" s="1" t="n">
        <v>46312</v>
      </c>
      <c r="F742" t="inlineStr">
        <is>
          <t>SKÅNE LÄN</t>
        </is>
      </c>
      <c r="G742" t="inlineStr">
        <is>
          <t>KLIPPAN</t>
        </is>
      </c>
      <c r="I742" t="n">
        <v>23.9</v>
      </c>
      <c r="J742" t="n">
        <v>0</v>
      </c>
      <c r="K742" t="n">
        <v>0</v>
      </c>
      <c r="L742" t="n">
        <v>0</v>
      </c>
      <c r="M742" t="n">
        <v>1</v>
      </c>
      <c r="N742" t="n">
        <v>0</v>
      </c>
      <c r="O742" t="n">
        <v>0</v>
      </c>
      <c r="P742" t="n">
        <v>0</v>
      </c>
      <c r="Q742" t="n">
        <v>1</v>
      </c>
      <c r="R742" t="n">
        <v>1</v>
      </c>
      <c r="S742" t="n">
        <v>1</v>
      </c>
      <c r="T742" t="n">
        <v>1</v>
      </c>
      <c r="U742" t="n">
        <v>1</v>
      </c>
      <c r="V742" s="2" t="inlineStr">
        <is>
          <t>Igelkott</t>
        </is>
      </c>
      <c r="W742">
        <f>HYPERLINK("https://klasma.github.io/Logging_1276/artfynd/S 841-2023 artfynd.xlsx", "S 841-2023")</f>
        <v/>
      </c>
      <c r="X742">
        <f>HYPERLINK("https://klasma.github.io/Logging_1276/kartor/S 841-2023 karta.png", "S 841-2023")</f>
        <v/>
      </c>
      <c r="Y742">
        <f>HYPERLINK("https://klasma.github.io/Logging_1276/kartor_geotiff/S 841-2023 georefererad karta.tif", "S 841-2023")</f>
        <v/>
      </c>
      <c r="AA742">
        <f>HYPERLINK("https://klasma.github.io/Logging_1276/klagomål/S 841-2023 FSC-klagomål.docx", "S 841-2023")</f>
        <v/>
      </c>
      <c r="AB742">
        <f>HYPERLINK("https://klasma.github.io/Logging_1276/klagomålsmail/S 841-2023 FSC-klagomål mail.docx", "S 841-2023")</f>
        <v/>
      </c>
      <c r="AC742">
        <f>HYPERLINK("https://klasma.github.io/Logging_1276/tillsyn/S 841-2023 tillsynsbegäran.docx", "S 841-2023")</f>
        <v/>
      </c>
      <c r="AD742">
        <f>HYPERLINK("https://klasma.github.io/Logging_1276/tillsynsmail/S 841-2023 tillsynsbegäran mail.docx", "S 841-2023")</f>
        <v/>
      </c>
    </row>
    <row r="743" ht="15" customHeight="1">
      <c r="A743" t="inlineStr">
        <is>
          <t>S 641-2023</t>
        </is>
      </c>
      <c r="B743" t="inlineStr">
        <is>
          <t>samrådsanmälan</t>
        </is>
      </c>
      <c r="C743" t="inlineStr">
        <is>
          <t>Askåterföring</t>
        </is>
      </c>
      <c r="D743" s="1" t="n">
        <v>44973</v>
      </c>
      <c r="E743" s="1" t="n">
        <v>46312</v>
      </c>
      <c r="F743" t="inlineStr">
        <is>
          <t>SKÅNE LÄN</t>
        </is>
      </c>
      <c r="G743" t="inlineStr">
        <is>
          <t>ÖSTRA GÖINGE</t>
        </is>
      </c>
      <c r="I743" t="n">
        <v>33.7</v>
      </c>
      <c r="J743" t="n">
        <v>0</v>
      </c>
      <c r="K743" t="n">
        <v>0</v>
      </c>
      <c r="L743" t="n">
        <v>0</v>
      </c>
      <c r="M743" t="n">
        <v>1</v>
      </c>
      <c r="N743" t="n">
        <v>0</v>
      </c>
      <c r="O743" t="n">
        <v>0</v>
      </c>
      <c r="P743" t="n">
        <v>0</v>
      </c>
      <c r="Q743" t="n">
        <v>1</v>
      </c>
      <c r="R743" t="n">
        <v>1</v>
      </c>
      <c r="S743" t="n">
        <v>1</v>
      </c>
      <c r="T743" t="n">
        <v>1</v>
      </c>
      <c r="U743" t="n">
        <v>1</v>
      </c>
      <c r="V743" s="2" t="inlineStr">
        <is>
          <t>Igelkott</t>
        </is>
      </c>
      <c r="W743">
        <f>HYPERLINK("https://klasma.github.io/Logging_1256/artfynd/S 641-2023 artfynd.xlsx", "S 641-2023")</f>
        <v/>
      </c>
      <c r="X743">
        <f>HYPERLINK("https://klasma.github.io/Logging_1256/kartor/S 641-2023 karta.png", "S 641-2023")</f>
        <v/>
      </c>
      <c r="Y743">
        <f>HYPERLINK("https://klasma.github.io/Logging_1256/kartor_geotiff/S 641-2023 georefererad karta.tif", "S 641-2023")</f>
        <v/>
      </c>
      <c r="AA743">
        <f>HYPERLINK("https://klasma.github.io/Logging_1256/klagomål/S 641-2023 FSC-klagomål.docx", "S 641-2023")</f>
        <v/>
      </c>
      <c r="AB743">
        <f>HYPERLINK("https://klasma.github.io/Logging_1256/klagomålsmail/S 641-2023 FSC-klagomål mail.docx", "S 641-2023")</f>
        <v/>
      </c>
      <c r="AC743">
        <f>HYPERLINK("https://klasma.github.io/Logging_1256/tillsyn/S 641-2023 tillsynsbegäran.docx", "S 641-2023")</f>
        <v/>
      </c>
      <c r="AD743">
        <f>HYPERLINK("https://klasma.github.io/Logging_1256/tillsynsmail/S 641-2023 tillsynsbegäran mail.docx", "S 641-2023")</f>
        <v/>
      </c>
    </row>
    <row r="744" ht="15" customHeight="1">
      <c r="A744" t="inlineStr">
        <is>
          <t>S 53-2024</t>
        </is>
      </c>
      <c r="B744" t="inlineStr">
        <is>
          <t>samrådsanmälan</t>
        </is>
      </c>
      <c r="C744" t="inlineStr">
        <is>
          <t>Askåterföring</t>
        </is>
      </c>
      <c r="D744" s="1" t="n">
        <v>45295</v>
      </c>
      <c r="E744" s="1" t="n">
        <v>46312</v>
      </c>
      <c r="F744" t="inlineStr">
        <is>
          <t>SKÅNE LÄN</t>
        </is>
      </c>
      <c r="G744" t="inlineStr">
        <is>
          <t>KRISTIANSTAD</t>
        </is>
      </c>
      <c r="I744" t="n">
        <v>11.9</v>
      </c>
      <c r="J744" t="n">
        <v>0</v>
      </c>
      <c r="K744" t="n">
        <v>0</v>
      </c>
      <c r="L744" t="n">
        <v>0</v>
      </c>
      <c r="M744" t="n">
        <v>1</v>
      </c>
      <c r="N744" t="n">
        <v>0</v>
      </c>
      <c r="O744" t="n">
        <v>0</v>
      </c>
      <c r="P744" t="n">
        <v>0</v>
      </c>
      <c r="Q744" t="n">
        <v>1</v>
      </c>
      <c r="R744" t="n">
        <v>1</v>
      </c>
      <c r="S744" t="n">
        <v>1</v>
      </c>
      <c r="T744" t="n">
        <v>1</v>
      </c>
      <c r="U744" t="n">
        <v>1</v>
      </c>
      <c r="V744" s="2" t="inlineStr">
        <is>
          <t>Småvänderot</t>
        </is>
      </c>
      <c r="W744">
        <f>HYPERLINK("https://klasma.github.io/Logging_1290/artfynd/S 53-2024 artfynd.xlsx", "S 53-2024")</f>
        <v/>
      </c>
      <c r="X744">
        <f>HYPERLINK("https://klasma.github.io/Logging_1290/kartor/S 53-2024 karta.png", "S 53-2024")</f>
        <v/>
      </c>
      <c r="Y744">
        <f>HYPERLINK("https://klasma.github.io/Logging_1290/kartor_geotiff/S 53-2024 georefererad karta.tif", "S 53-2024")</f>
        <v/>
      </c>
      <c r="AA744">
        <f>HYPERLINK("https://klasma.github.io/Logging_1290/klagomål/S 53-2024 FSC-klagomål.docx", "S 53-2024")</f>
        <v/>
      </c>
      <c r="AB744">
        <f>HYPERLINK("https://klasma.github.io/Logging_1290/klagomålsmail/S 53-2024 FSC-klagomål mail.docx", "S 53-2024")</f>
        <v/>
      </c>
      <c r="AC744">
        <f>HYPERLINK("https://klasma.github.io/Logging_1290/tillsyn/S 53-2024 tillsynsbegäran.docx", "S 53-2024")</f>
        <v/>
      </c>
      <c r="AD744">
        <f>HYPERLINK("https://klasma.github.io/Logging_1290/tillsynsmail/S 53-2024 tillsynsbegäran mail.docx", "S 53-2024")</f>
        <v/>
      </c>
    </row>
    <row r="745" ht="15" customHeight="1">
      <c r="A745" t="inlineStr">
        <is>
          <t>S 5996-2022</t>
        </is>
      </c>
      <c r="B745" t="inlineStr">
        <is>
          <t>samrådsanmälan</t>
        </is>
      </c>
      <c r="C745" t="inlineStr">
        <is>
          <t>Askåterföring</t>
        </is>
      </c>
      <c r="D745" s="1" t="n">
        <v>44859</v>
      </c>
      <c r="E745" s="1" t="n">
        <v>46312</v>
      </c>
      <c r="F745" t="inlineStr">
        <is>
          <t>SKÅNE LÄN</t>
        </is>
      </c>
      <c r="G745" t="inlineStr">
        <is>
          <t>HÄSSLEHOLM</t>
        </is>
      </c>
      <c r="H745" t="inlineStr">
        <is>
          <t>Övriga Aktiebolag</t>
        </is>
      </c>
      <c r="I745" t="n">
        <v>72</v>
      </c>
      <c r="J745" t="n">
        <v>0</v>
      </c>
      <c r="K745" t="n">
        <v>0</v>
      </c>
      <c r="L745" t="n">
        <v>0</v>
      </c>
      <c r="M745" t="n">
        <v>1</v>
      </c>
      <c r="N745" t="n">
        <v>0</v>
      </c>
      <c r="O745" t="n">
        <v>0</v>
      </c>
      <c r="P745" t="n">
        <v>0</v>
      </c>
      <c r="Q745" t="n">
        <v>1</v>
      </c>
      <c r="R745" t="n">
        <v>1</v>
      </c>
      <c r="S745" t="n">
        <v>1</v>
      </c>
      <c r="T745" t="n">
        <v>1</v>
      </c>
      <c r="U745" t="n">
        <v>0</v>
      </c>
      <c r="V745" s="2" t="inlineStr">
        <is>
          <t>Revig blodrot</t>
        </is>
      </c>
      <c r="W745">
        <f>HYPERLINK("https://klasma.github.io/Logging_1293/artfynd/S 5996-2022 artfynd.xlsx", "S 5996-2022")</f>
        <v/>
      </c>
      <c r="X745">
        <f>HYPERLINK("https://klasma.github.io/Logging_1293/kartor/S 5996-2022 karta.png", "S 5996-2022")</f>
        <v/>
      </c>
      <c r="Y745">
        <f>HYPERLINK("https://klasma.github.io/Logging_1293/kartor_geotiff/S 5996-2022 georefererad karta.tif", "S 5996-2022")</f>
        <v/>
      </c>
      <c r="AA745">
        <f>HYPERLINK("https://klasma.github.io/Logging_1293/klagomål/S 5996-2022 FSC-klagomål.docx", "S 5996-2022")</f>
        <v/>
      </c>
      <c r="AB745">
        <f>HYPERLINK("https://klasma.github.io/Logging_1293/klagomålsmail/S 5996-2022 FSC-klagomål mail.docx", "S 5996-2022")</f>
        <v/>
      </c>
      <c r="AC745">
        <f>HYPERLINK("https://klasma.github.io/Logging_1293/tillsyn/S 5996-2022 tillsynsbegäran.docx", "S 5996-2022")</f>
        <v/>
      </c>
      <c r="AD745">
        <f>HYPERLINK("https://klasma.github.io/Logging_1293/tillsynsmail/S 5996-2022 tillsynsbegäran mail.docx", "S 5996-2022")</f>
        <v/>
      </c>
    </row>
    <row r="746" ht="15" customHeight="1">
      <c r="A746" t="inlineStr">
        <is>
          <t>S 4468-2023</t>
        </is>
      </c>
      <c r="B746" t="inlineStr">
        <is>
          <t>samrådsanmälan</t>
        </is>
      </c>
      <c r="C746" t="inlineStr">
        <is>
          <t>Askåterföring</t>
        </is>
      </c>
      <c r="D746" s="1" t="n">
        <v>45272</v>
      </c>
      <c r="E746" s="1" t="n">
        <v>46312</v>
      </c>
      <c r="F746" t="inlineStr">
        <is>
          <t>SKÅNE LÄN</t>
        </is>
      </c>
      <c r="G746" t="inlineStr">
        <is>
          <t>OSBY</t>
        </is>
      </c>
      <c r="I746" t="n">
        <v>15.8</v>
      </c>
      <c r="J746" t="n">
        <v>0</v>
      </c>
      <c r="K746" t="n">
        <v>0</v>
      </c>
      <c r="L746" t="n">
        <v>0</v>
      </c>
      <c r="M746" t="n">
        <v>0</v>
      </c>
      <c r="N746" t="n">
        <v>1</v>
      </c>
      <c r="O746" t="n">
        <v>0</v>
      </c>
      <c r="P746" t="n">
        <v>0</v>
      </c>
      <c r="Q746" t="n">
        <v>1</v>
      </c>
      <c r="R746" t="n">
        <v>1</v>
      </c>
      <c r="S746" t="n">
        <v>1</v>
      </c>
      <c r="T746" t="n">
        <v>1</v>
      </c>
      <c r="U746" t="n">
        <v>0</v>
      </c>
      <c r="V746" s="2" t="inlineStr">
        <is>
          <t>Ask</t>
        </is>
      </c>
      <c r="W746">
        <f>HYPERLINK("https://klasma.github.io/Logging_1273/artfynd/S 4468-2023 artfynd.xlsx", "S 4468-2023")</f>
        <v/>
      </c>
      <c r="X746">
        <f>HYPERLINK("https://klasma.github.io/Logging_1273/kartor/S 4468-2023 karta.png", "S 4468-2023")</f>
        <v/>
      </c>
      <c r="Y746">
        <f>HYPERLINK("https://klasma.github.io/Logging_1273/kartor_geotiff/S 4468-2023 georefererad karta.tif", "S 4468-2023")</f>
        <v/>
      </c>
      <c r="AA746">
        <f>HYPERLINK("https://klasma.github.io/Logging_1273/klagomål/S 4468-2023 FSC-klagomål.docx", "S 4468-2023")</f>
        <v/>
      </c>
      <c r="AB746">
        <f>HYPERLINK("https://klasma.github.io/Logging_1273/klagomålsmail/S 4468-2023 FSC-klagomål mail.docx", "S 4468-2023")</f>
        <v/>
      </c>
      <c r="AC746">
        <f>HYPERLINK("https://klasma.github.io/Logging_1273/tillsyn/S 4468-2023 tillsynsbegäran.docx", "S 4468-2023")</f>
        <v/>
      </c>
      <c r="AD746">
        <f>HYPERLINK("https://klasma.github.io/Logging_1273/tillsynsmail/S 4468-2023 tillsynsbegäran mail.docx", "S 4468-2023")</f>
        <v/>
      </c>
    </row>
    <row r="747" ht="15" customHeight="1">
      <c r="A747" t="inlineStr">
        <is>
          <t>S 1188-2022</t>
        </is>
      </c>
      <c r="B747" t="inlineStr">
        <is>
          <t>samrådsanmälan</t>
        </is>
      </c>
      <c r="C747" t="inlineStr">
        <is>
          <t>Askåterföring</t>
        </is>
      </c>
      <c r="D747" s="1" t="n">
        <v>44621</v>
      </c>
      <c r="E747" s="1" t="n">
        <v>46312</v>
      </c>
      <c r="F747" t="inlineStr">
        <is>
          <t>SKÅNE LÄN</t>
        </is>
      </c>
      <c r="G747" t="inlineStr">
        <is>
          <t>HÄSSLEHOLM</t>
        </is>
      </c>
      <c r="I747" t="n">
        <v>11.9</v>
      </c>
      <c r="J747" t="n">
        <v>0</v>
      </c>
      <c r="K747" t="n">
        <v>0</v>
      </c>
      <c r="L747" t="n">
        <v>0</v>
      </c>
      <c r="M747" t="n">
        <v>1</v>
      </c>
      <c r="N747" t="n">
        <v>0</v>
      </c>
      <c r="O747" t="n">
        <v>0</v>
      </c>
      <c r="P747" t="n">
        <v>0</v>
      </c>
      <c r="Q747" t="n">
        <v>1</v>
      </c>
      <c r="R747" t="n">
        <v>1</v>
      </c>
      <c r="S747" t="n">
        <v>1</v>
      </c>
      <c r="T747" t="n">
        <v>2</v>
      </c>
      <c r="U747" t="n">
        <v>2</v>
      </c>
      <c r="V747" s="2" t="inlineStr">
        <is>
          <t>Småvänderot</t>
        </is>
      </c>
      <c r="W747">
        <f>HYPERLINK("https://klasma.github.io/Logging_1293/artfynd/S 1188-2022 artfynd.xlsx", "S 1188-2022")</f>
        <v/>
      </c>
      <c r="X747">
        <f>HYPERLINK("https://klasma.github.io/Logging_1293/kartor/S 1188-2022 karta.png", "S 1188-2022")</f>
        <v/>
      </c>
      <c r="Y747">
        <f>HYPERLINK("https://klasma.github.io/Logging_1293/kartor_geotiff/S 1188-2022 georefererad karta.tif", "S 1188-2022")</f>
        <v/>
      </c>
      <c r="AA747">
        <f>HYPERLINK("https://klasma.github.io/Logging_1293/klagomål/S 1188-2022 FSC-klagomål.docx", "S 1188-2022")</f>
        <v/>
      </c>
      <c r="AB747">
        <f>HYPERLINK("https://klasma.github.io/Logging_1293/klagomålsmail/S 1188-2022 FSC-klagomål mail.docx", "S 1188-2022")</f>
        <v/>
      </c>
      <c r="AC747">
        <f>HYPERLINK("https://klasma.github.io/Logging_1293/tillsyn/S 1188-2022 tillsynsbegäran.docx", "S 1188-2022")</f>
        <v/>
      </c>
      <c r="AD747">
        <f>HYPERLINK("https://klasma.github.io/Logging_1293/tillsynsmail/S 1188-2022 tillsynsbegäran mail.docx", "S 1188-2022")</f>
        <v/>
      </c>
    </row>
    <row r="748" ht="15" customHeight="1">
      <c r="A748" t="inlineStr">
        <is>
          <t>S 5973-2022</t>
        </is>
      </c>
      <c r="B748" t="inlineStr">
        <is>
          <t>samrådsanmälan</t>
        </is>
      </c>
      <c r="C748" t="inlineStr">
        <is>
          <t>Askåterföring</t>
        </is>
      </c>
      <c r="D748" s="1" t="n">
        <v>44858</v>
      </c>
      <c r="E748" s="1" t="n">
        <v>46312</v>
      </c>
      <c r="F748" t="inlineStr">
        <is>
          <t>SKÅNE LÄN</t>
        </is>
      </c>
      <c r="G748" t="inlineStr">
        <is>
          <t>HÖÖR</t>
        </is>
      </c>
      <c r="I748" t="n">
        <v>15.5</v>
      </c>
      <c r="J748" t="n">
        <v>1</v>
      </c>
      <c r="K748" t="n">
        <v>0</v>
      </c>
      <c r="L748" t="n">
        <v>0</v>
      </c>
      <c r="M748" t="n">
        <v>0</v>
      </c>
      <c r="N748" t="n">
        <v>0</v>
      </c>
      <c r="O748" t="n">
        <v>0</v>
      </c>
      <c r="P748" t="n">
        <v>0</v>
      </c>
      <c r="Q748" t="n">
        <v>0</v>
      </c>
      <c r="R748" t="n">
        <v>0</v>
      </c>
      <c r="S748" t="n">
        <v>1</v>
      </c>
      <c r="T748" t="n">
        <v>1</v>
      </c>
      <c r="U748" t="n">
        <v>1</v>
      </c>
      <c r="V748" s="2" t="inlineStr">
        <is>
          <t>Grönvit nattviol</t>
        </is>
      </c>
      <c r="W748">
        <f>HYPERLINK("https://klasma.github.io/Logging_1267/artfynd/S 5973-2022 artfynd.xlsx", "S 5973-2022")</f>
        <v/>
      </c>
      <c r="X748">
        <f>HYPERLINK("https://klasma.github.io/Logging_1267/kartor/S 5973-2022 karta.png", "S 5973-2022")</f>
        <v/>
      </c>
      <c r="Y748">
        <f>HYPERLINK("https://klasma.github.io/Logging_1267/kartor_geotiff/S 5973-2022 georefererad karta.tif", "S 5973-2022")</f>
        <v/>
      </c>
      <c r="AA748">
        <f>HYPERLINK("https://klasma.github.io/Logging_1267/klagomål/S 5973-2022 FSC-klagomål.docx", "S 5973-2022")</f>
        <v/>
      </c>
      <c r="AB748">
        <f>HYPERLINK("https://klasma.github.io/Logging_1267/klagomålsmail/S 5973-2022 FSC-klagomål mail.docx", "S 5973-2022")</f>
        <v/>
      </c>
      <c r="AC748">
        <f>HYPERLINK("https://klasma.github.io/Logging_1267/tillsyn/S 5973-2022 tillsynsbegäran.docx", "S 5973-2022")</f>
        <v/>
      </c>
      <c r="AD748">
        <f>HYPERLINK("https://klasma.github.io/Logging_1267/tillsynsmail/S 5973-2022 tillsynsbegäran mail.docx", "S 5973-2022")</f>
        <v/>
      </c>
    </row>
    <row r="749" ht="15" customHeight="1">
      <c r="A749" t="inlineStr">
        <is>
          <t>S 2416-2023</t>
        </is>
      </c>
      <c r="B749" t="inlineStr">
        <is>
          <t>samrådsanmälan</t>
        </is>
      </c>
      <c r="C749" t="inlineStr">
        <is>
          <t>Askåterföring</t>
        </is>
      </c>
      <c r="D749" s="1" t="n">
        <v>45124</v>
      </c>
      <c r="E749" s="1" t="n">
        <v>46312</v>
      </c>
      <c r="F749" t="inlineStr">
        <is>
          <t>SKÅNE LÄN</t>
        </is>
      </c>
      <c r="G749" t="inlineStr">
        <is>
          <t>HÄSSLEHOLM</t>
        </is>
      </c>
      <c r="I749" t="n">
        <v>26.7</v>
      </c>
      <c r="J749" t="n">
        <v>1</v>
      </c>
      <c r="K749" t="n">
        <v>0</v>
      </c>
      <c r="L749" t="n">
        <v>0</v>
      </c>
      <c r="M749" t="n">
        <v>0</v>
      </c>
      <c r="N749" t="n">
        <v>0</v>
      </c>
      <c r="O749" t="n">
        <v>0</v>
      </c>
      <c r="P749" t="n">
        <v>0</v>
      </c>
      <c r="Q749" t="n">
        <v>0</v>
      </c>
      <c r="R749" t="n">
        <v>0</v>
      </c>
      <c r="S749" t="n">
        <v>1</v>
      </c>
      <c r="T749" t="n">
        <v>1</v>
      </c>
      <c r="U749" t="n">
        <v>1</v>
      </c>
      <c r="V749" s="2" t="inlineStr">
        <is>
          <t>Kungsfågel</t>
        </is>
      </c>
      <c r="W749">
        <f>HYPERLINK("https://klasma.github.io/Logging_1293/artfynd/S 2416-2023 artfynd.xlsx", "S 2416-2023")</f>
        <v/>
      </c>
      <c r="X749">
        <f>HYPERLINK("https://klasma.github.io/Logging_1293/kartor/S 2416-2023 karta.png", "S 2416-2023")</f>
        <v/>
      </c>
      <c r="Y749">
        <f>HYPERLINK("https://klasma.github.io/Logging_1293/kartor_geotiff/S 2416-2023 georefererad karta.tif", "S 2416-2023")</f>
        <v/>
      </c>
      <c r="AA749">
        <f>HYPERLINK("https://klasma.github.io/Logging_1293/klagomål/S 2416-2023 FSC-klagomål.docx", "S 2416-2023")</f>
        <v/>
      </c>
      <c r="AB749">
        <f>HYPERLINK("https://klasma.github.io/Logging_1293/klagomålsmail/S 2416-2023 FSC-klagomål mail.docx", "S 2416-2023")</f>
        <v/>
      </c>
      <c r="AC749">
        <f>HYPERLINK("https://klasma.github.io/Logging_1293/tillsyn/S 2416-2023 tillsynsbegäran.docx", "S 2416-2023")</f>
        <v/>
      </c>
      <c r="AD749">
        <f>HYPERLINK("https://klasma.github.io/Logging_1293/tillsynsmail/S 2416-2023 tillsynsbegäran mail.docx", "S 2416-2023")</f>
        <v/>
      </c>
    </row>
    <row r="750" ht="15" customHeight="1">
      <c r="A750" t="inlineStr">
        <is>
          <t>S 642-2024</t>
        </is>
      </c>
      <c r="B750" t="inlineStr">
        <is>
          <t>samrådsanmälan</t>
        </is>
      </c>
      <c r="C750" t="inlineStr">
        <is>
          <t>Annan skogsbruksåtgärd</t>
        </is>
      </c>
      <c r="D750" s="1" t="n">
        <v>45356</v>
      </c>
      <c r="E750" s="1" t="n">
        <v>46312</v>
      </c>
      <c r="F750" t="inlineStr">
        <is>
          <t>SKÅNE LÄN</t>
        </is>
      </c>
      <c r="G750" t="inlineStr">
        <is>
          <t>BJUV</t>
        </is>
      </c>
      <c r="I750" t="n">
        <v>0.2</v>
      </c>
      <c r="J750" t="n">
        <v>0</v>
      </c>
      <c r="K750" t="n">
        <v>0</v>
      </c>
      <c r="L750" t="n">
        <v>0</v>
      </c>
      <c r="M750" t="n">
        <v>0</v>
      </c>
      <c r="N750" t="n">
        <v>1</v>
      </c>
      <c r="O750" t="n">
        <v>0</v>
      </c>
      <c r="P750" t="n">
        <v>0</v>
      </c>
      <c r="Q750" t="n">
        <v>1</v>
      </c>
      <c r="R750" t="n">
        <v>1</v>
      </c>
      <c r="S750" t="n">
        <v>1</v>
      </c>
      <c r="T750" t="n">
        <v>1</v>
      </c>
      <c r="U750" t="n">
        <v>0</v>
      </c>
      <c r="V750" s="2" t="inlineStr">
        <is>
          <t>Ask</t>
        </is>
      </c>
      <c r="W750">
        <f>HYPERLINK("https://klasma.github.io/Logging_1260/artfynd/S 642-2024 artfynd.xlsx", "S 642-2024")</f>
        <v/>
      </c>
      <c r="X750">
        <f>HYPERLINK("https://klasma.github.io/Logging_1260/kartor/S 642-2024 karta.png", "S 642-2024")</f>
        <v/>
      </c>
      <c r="Y750">
        <f>HYPERLINK("https://klasma.github.io/Logging_1260/kartor_geotiff/S 642-2024 georefererad karta.tif", "S 642-2024")</f>
        <v/>
      </c>
      <c r="AA750">
        <f>HYPERLINK("https://klasma.github.io/Logging_1260/klagomål/S 642-2024 FSC-klagomål.docx", "S 642-2024")</f>
        <v/>
      </c>
      <c r="AB750">
        <f>HYPERLINK("https://klasma.github.io/Logging_1260/klagomålsmail/S 642-2024 FSC-klagomål mail.docx", "S 642-2024")</f>
        <v/>
      </c>
      <c r="AC750">
        <f>HYPERLINK("https://klasma.github.io/Logging_1260/tillsyn/S 642-2024 tillsynsbegäran.docx", "S 642-2024")</f>
        <v/>
      </c>
      <c r="AD750">
        <f>HYPERLINK("https://klasma.github.io/Logging_1260/tillsynsmail/S 642-2024 tillsynsbegäran mail.docx", "S 642-2024")</f>
        <v/>
      </c>
    </row>
    <row r="751" ht="15" customHeight="1">
      <c r="A751" t="inlineStr">
        <is>
          <t>S 2910-2024</t>
        </is>
      </c>
      <c r="B751" t="inlineStr">
        <is>
          <t>samrådsanmälan</t>
        </is>
      </c>
      <c r="C751" t="inlineStr">
        <is>
          <t>Annan skogsbruksåtgärd</t>
        </is>
      </c>
      <c r="D751" s="1" t="n">
        <v>45503</v>
      </c>
      <c r="E751" s="1" t="n">
        <v>46312</v>
      </c>
      <c r="F751" t="inlineStr">
        <is>
          <t>SKÅNE LÄN</t>
        </is>
      </c>
      <c r="G751" t="inlineStr">
        <is>
          <t>ÖRKELLJUNGA</t>
        </is>
      </c>
      <c r="I751" t="n">
        <v>0.4</v>
      </c>
      <c r="J751" t="n">
        <v>1</v>
      </c>
      <c r="K751" t="n">
        <v>0</v>
      </c>
      <c r="L751" t="n">
        <v>0</v>
      </c>
      <c r="M751" t="n">
        <v>0</v>
      </c>
      <c r="N751" t="n">
        <v>0</v>
      </c>
      <c r="O751" t="n">
        <v>0</v>
      </c>
      <c r="P751" t="n">
        <v>0</v>
      </c>
      <c r="Q751" t="n">
        <v>0</v>
      </c>
      <c r="R751" t="n">
        <v>0</v>
      </c>
      <c r="S751" t="n">
        <v>1</v>
      </c>
      <c r="T751" t="n">
        <v>1</v>
      </c>
      <c r="U751" t="n">
        <v>0</v>
      </c>
      <c r="V751" s="2" t="inlineStr">
        <is>
          <t>Spillkråka</t>
        </is>
      </c>
      <c r="W751">
        <f>HYPERLINK("https://klasma.github.io/Logging_1257/artfynd/S 2910-2024 artfynd.xlsx", "S 2910-2024")</f>
        <v/>
      </c>
      <c r="X751">
        <f>HYPERLINK("https://klasma.github.io/Logging_1257/kartor/S 2910-2024 karta.png", "S 2910-2024")</f>
        <v/>
      </c>
      <c r="Y751">
        <f>HYPERLINK("https://klasma.github.io/Logging_1257/kartor_geotiff/S 2910-2024 georefererad karta.tif", "S 2910-2024")</f>
        <v/>
      </c>
      <c r="AA751">
        <f>HYPERLINK("https://klasma.github.io/Logging_1257/klagomål/S 2910-2024 FSC-klagomål.docx", "S 2910-2024")</f>
        <v/>
      </c>
      <c r="AB751">
        <f>HYPERLINK("https://klasma.github.io/Logging_1257/klagomålsmail/S 2910-2024 FSC-klagomål mail.docx", "S 2910-2024")</f>
        <v/>
      </c>
      <c r="AC751">
        <f>HYPERLINK("https://klasma.github.io/Logging_1257/tillsyn/S 2910-2024 tillsynsbegäran.docx", "S 2910-2024")</f>
        <v/>
      </c>
      <c r="AD751">
        <f>HYPERLINK("https://klasma.github.io/Logging_1257/tillsynsmail/S 2910-2024 tillsynsbegäran mail.docx", "S 2910-2024")</f>
        <v/>
      </c>
      <c r="AE751">
        <f>HYPERLINK("https://klasma.github.io/Logging_1257/fåglar/S 2910-2024 prioriterade fågelarter.docx", "S 2910-2024")</f>
        <v/>
      </c>
    </row>
    <row r="752" ht="15" customHeight="1">
      <c r="A752" t="inlineStr">
        <is>
          <t>S 4056-2023</t>
        </is>
      </c>
      <c r="B752" t="inlineStr">
        <is>
          <t>samrådsanmälan</t>
        </is>
      </c>
      <c r="C752" t="inlineStr">
        <is>
          <t>Askåterföring</t>
        </is>
      </c>
      <c r="D752" s="1" t="n">
        <v>45243</v>
      </c>
      <c r="E752" s="1" t="n">
        <v>46312</v>
      </c>
      <c r="F752" t="inlineStr">
        <is>
          <t>SKÅNE LÄN</t>
        </is>
      </c>
      <c r="G752" t="inlineStr">
        <is>
          <t>ÖRKELLJUNGA</t>
        </is>
      </c>
      <c r="I752" t="n">
        <v>7.1</v>
      </c>
      <c r="J752" t="n">
        <v>1</v>
      </c>
      <c r="K752" t="n">
        <v>0</v>
      </c>
      <c r="L752" t="n">
        <v>0</v>
      </c>
      <c r="M752" t="n">
        <v>0</v>
      </c>
      <c r="N752" t="n">
        <v>0</v>
      </c>
      <c r="O752" t="n">
        <v>0</v>
      </c>
      <c r="P752" t="n">
        <v>0</v>
      </c>
      <c r="Q752" t="n">
        <v>0</v>
      </c>
      <c r="R752" t="n">
        <v>0</v>
      </c>
      <c r="S752" t="n">
        <v>1</v>
      </c>
      <c r="T752" t="n">
        <v>1</v>
      </c>
      <c r="U752" t="n">
        <v>0</v>
      </c>
      <c r="V752" s="2" t="inlineStr">
        <is>
          <t>Grönvit nattviol</t>
        </is>
      </c>
      <c r="W752">
        <f>HYPERLINK("https://klasma.github.io/Logging_1257/artfynd/S 4056-2023 artfynd.xlsx", "S 4056-2023")</f>
        <v/>
      </c>
      <c r="X752">
        <f>HYPERLINK("https://klasma.github.io/Logging_1257/kartor/S 4056-2023 karta.png", "S 4056-2023")</f>
        <v/>
      </c>
      <c r="Y752">
        <f>HYPERLINK("https://klasma.github.io/Logging_1257/kartor_geotiff/S 4056-2023 georefererad karta.tif", "S 4056-2023")</f>
        <v/>
      </c>
      <c r="AA752">
        <f>HYPERLINK("https://klasma.github.io/Logging_1257/klagomål/S 4056-2023 FSC-klagomål.docx", "S 4056-2023")</f>
        <v/>
      </c>
      <c r="AB752">
        <f>HYPERLINK("https://klasma.github.io/Logging_1257/klagomålsmail/S 4056-2023 FSC-klagomål mail.docx", "S 4056-2023")</f>
        <v/>
      </c>
      <c r="AC752">
        <f>HYPERLINK("https://klasma.github.io/Logging_1257/tillsyn/S 4056-2023 tillsynsbegäran.docx", "S 4056-2023")</f>
        <v/>
      </c>
      <c r="AD752">
        <f>HYPERLINK("https://klasma.github.io/Logging_1257/tillsynsmail/S 4056-2023 tillsynsbegäran mail.docx", "S 4056-2023")</f>
        <v/>
      </c>
    </row>
    <row r="753" ht="15" customHeight="1">
      <c r="A753" t="inlineStr">
        <is>
          <t>S 6121-2022</t>
        </is>
      </c>
      <c r="B753" t="inlineStr">
        <is>
          <t>samrådsanmälan</t>
        </is>
      </c>
      <c r="C753" t="inlineStr">
        <is>
          <t>Annan skogsbruksåtgärd</t>
        </is>
      </c>
      <c r="D753" s="1" t="n">
        <v>44862</v>
      </c>
      <c r="E753" s="1" t="n">
        <v>46312</v>
      </c>
      <c r="F753" t="inlineStr">
        <is>
          <t>SKÅNE LÄN</t>
        </is>
      </c>
      <c r="G753" t="inlineStr">
        <is>
          <t>ÄNGELHOLM</t>
        </is>
      </c>
      <c r="I753" t="n">
        <v>2.1</v>
      </c>
      <c r="J753" t="n">
        <v>0</v>
      </c>
      <c r="K753" t="n">
        <v>0</v>
      </c>
      <c r="L753" t="n">
        <v>0</v>
      </c>
      <c r="M753" t="n">
        <v>1</v>
      </c>
      <c r="N753" t="n">
        <v>0</v>
      </c>
      <c r="O753" t="n">
        <v>0</v>
      </c>
      <c r="P753" t="n">
        <v>0</v>
      </c>
      <c r="Q753" t="n">
        <v>1</v>
      </c>
      <c r="R753" t="n">
        <v>1</v>
      </c>
      <c r="S753" t="n">
        <v>1</v>
      </c>
      <c r="T753" t="n">
        <v>1</v>
      </c>
      <c r="U753" t="n">
        <v>1</v>
      </c>
      <c r="V753" s="2" t="inlineStr">
        <is>
          <t>Småvänderot</t>
        </is>
      </c>
      <c r="W753">
        <f>HYPERLINK("https://klasma.github.io/Logging_1292/artfynd/S 6121-2022 artfynd.xlsx", "S 6121-2022")</f>
        <v/>
      </c>
      <c r="X753">
        <f>HYPERLINK("https://klasma.github.io/Logging_1292/kartor/S 6121-2022 karta.png", "S 6121-2022")</f>
        <v/>
      </c>
      <c r="Y753">
        <f>HYPERLINK("https://klasma.github.io/Logging_1292/kartor_geotiff/S 6121-2022 georefererad karta.tif", "S 6121-2022")</f>
        <v/>
      </c>
      <c r="AA753">
        <f>HYPERLINK("https://klasma.github.io/Logging_1292/klagomål/S 6121-2022 FSC-klagomål.docx", "S 6121-2022")</f>
        <v/>
      </c>
      <c r="AB753">
        <f>HYPERLINK("https://klasma.github.io/Logging_1292/klagomålsmail/S 6121-2022 FSC-klagomål mail.docx", "S 6121-2022")</f>
        <v/>
      </c>
      <c r="AC753">
        <f>HYPERLINK("https://klasma.github.io/Logging_1292/tillsyn/S 6121-2022 tillsynsbegäran.docx", "S 6121-2022")</f>
        <v/>
      </c>
      <c r="AD753">
        <f>HYPERLINK("https://klasma.github.io/Logging_1292/tillsynsmail/S 6121-2022 tillsynsbegäran mail.docx", "S 6121-2022")</f>
        <v/>
      </c>
    </row>
    <row r="754" ht="15" customHeight="1">
      <c r="A754" t="inlineStr">
        <is>
          <t>S 9835-2021</t>
        </is>
      </c>
      <c r="B754" t="inlineStr">
        <is>
          <t>samrådsanmälan</t>
        </is>
      </c>
      <c r="C754" t="inlineStr">
        <is>
          <t>Annan skogsbruksåtgärd</t>
        </is>
      </c>
      <c r="D754" s="1" t="n">
        <v>44526</v>
      </c>
      <c r="E754" s="1" t="n">
        <v>46312</v>
      </c>
      <c r="F754" t="inlineStr">
        <is>
          <t>SKÅNE LÄN</t>
        </is>
      </c>
      <c r="G754" t="inlineStr">
        <is>
          <t>HÄSSLEHOLM</t>
        </is>
      </c>
      <c r="I754" t="n">
        <v>10.1</v>
      </c>
      <c r="J754" t="n">
        <v>0</v>
      </c>
      <c r="K754" t="n">
        <v>1</v>
      </c>
      <c r="L754" t="n">
        <v>0</v>
      </c>
      <c r="M754" t="n">
        <v>0</v>
      </c>
      <c r="N754" t="n">
        <v>0</v>
      </c>
      <c r="O754" t="n">
        <v>0</v>
      </c>
      <c r="P754" t="n">
        <v>0</v>
      </c>
      <c r="Q754" t="n">
        <v>0</v>
      </c>
      <c r="R754" t="n">
        <v>0</v>
      </c>
      <c r="S754" t="n">
        <v>1</v>
      </c>
      <c r="T754" t="n">
        <v>1</v>
      </c>
      <c r="U754" t="n">
        <v>0</v>
      </c>
      <c r="V754" s="2" t="inlineStr">
        <is>
          <t>Tibast</t>
        </is>
      </c>
      <c r="W754">
        <f>HYPERLINK("https://klasma.github.io/Logging_1293/artfynd/S 9835-2021 artfynd.xlsx", "S 9835-2021")</f>
        <v/>
      </c>
      <c r="X754">
        <f>HYPERLINK("https://klasma.github.io/Logging_1293/kartor/S 9835-2021 karta.png", "S 9835-2021")</f>
        <v/>
      </c>
      <c r="Y754">
        <f>HYPERLINK("https://klasma.github.io/Logging_1293/kartor_geotiff/S 9835-2021 georefererad karta.tif", "S 9835-2021")</f>
        <v/>
      </c>
      <c r="AA754">
        <f>HYPERLINK("https://klasma.github.io/Logging_1293/klagomål/S 9835-2021 FSC-klagomål.docx", "S 9835-2021")</f>
        <v/>
      </c>
      <c r="AB754">
        <f>HYPERLINK("https://klasma.github.io/Logging_1293/klagomålsmail/S 9835-2021 FSC-klagomål mail.docx", "S 9835-2021")</f>
        <v/>
      </c>
      <c r="AC754">
        <f>HYPERLINK("https://klasma.github.io/Logging_1293/tillsyn/S 9835-2021 tillsynsbegäran.docx", "S 9835-2021")</f>
        <v/>
      </c>
      <c r="AD754">
        <f>HYPERLINK("https://klasma.github.io/Logging_1293/tillsynsmail/S 9835-2021 tillsynsbegäran mail.docx", "S 9835-2021")</f>
        <v/>
      </c>
    </row>
    <row r="755" ht="15" customHeight="1">
      <c r="A755" t="inlineStr">
        <is>
          <t>S 2349-2024</t>
        </is>
      </c>
      <c r="B755" t="inlineStr">
        <is>
          <t>samrådsanmälan</t>
        </is>
      </c>
      <c r="C755" t="inlineStr">
        <is>
          <t>Annan skogsbruksåtgärd</t>
        </is>
      </c>
      <c r="D755" s="1" t="n">
        <v>45467</v>
      </c>
      <c r="E755" s="1" t="n">
        <v>46312</v>
      </c>
      <c r="F755" t="inlineStr">
        <is>
          <t>SKÅNE LÄN</t>
        </is>
      </c>
      <c r="G755" t="inlineStr">
        <is>
          <t>KRISTIANSTAD</t>
        </is>
      </c>
      <c r="I755" t="n">
        <v>0.5</v>
      </c>
      <c r="J755" t="n">
        <v>0</v>
      </c>
      <c r="K755" t="n">
        <v>0</v>
      </c>
      <c r="L755" t="n">
        <v>1</v>
      </c>
      <c r="M755" t="n">
        <v>0</v>
      </c>
      <c r="N755" t="n">
        <v>0</v>
      </c>
      <c r="O755" t="n">
        <v>0</v>
      </c>
      <c r="P755" t="n">
        <v>0</v>
      </c>
      <c r="Q755" t="n">
        <v>1</v>
      </c>
      <c r="R755" t="n">
        <v>0</v>
      </c>
      <c r="S755" t="n">
        <v>1</v>
      </c>
      <c r="T755" t="n">
        <v>1</v>
      </c>
      <c r="U755" t="n">
        <v>0</v>
      </c>
      <c r="V755" s="2" t="inlineStr">
        <is>
          <t>Knölspindel</t>
        </is>
      </c>
      <c r="W755">
        <f>HYPERLINK("https://klasma.github.io/Logging_1290/artfynd/S 2349-2024 artfynd.xlsx", "S 2349-2024")</f>
        <v/>
      </c>
      <c r="X755">
        <f>HYPERLINK("https://klasma.github.io/Logging_1290/kartor/S 2349-2024 karta.png", "S 2349-2024")</f>
        <v/>
      </c>
      <c r="Y755">
        <f>HYPERLINK("https://klasma.github.io/Logging_1290/kartor_geotiff/S 2349-2024 georefererad karta.tif", "S 2349-2024")</f>
        <v/>
      </c>
      <c r="AA755">
        <f>HYPERLINK("https://klasma.github.io/Logging_1290/klagomål/S 2349-2024 FSC-klagomål.docx", "S 2349-2024")</f>
        <v/>
      </c>
      <c r="AB755">
        <f>HYPERLINK("https://klasma.github.io/Logging_1290/klagomålsmail/S 2349-2024 FSC-klagomål mail.docx", "S 2349-2024")</f>
        <v/>
      </c>
      <c r="AC755">
        <f>HYPERLINK("https://klasma.github.io/Logging_1290/tillsyn/S 2349-2024 tillsynsbegäran.docx", "S 2349-2024")</f>
        <v/>
      </c>
      <c r="AD755">
        <f>HYPERLINK("https://klasma.github.io/Logging_1290/tillsynsmail/S 2349-2024 tillsynsbegäran mail.docx", "S 2349-2024")</f>
        <v/>
      </c>
    </row>
    <row r="756" ht="15" customHeight="1">
      <c r="A756" t="inlineStr">
        <is>
          <t>S 952-2023</t>
        </is>
      </c>
      <c r="B756" t="inlineStr">
        <is>
          <t>samrådsanmälan</t>
        </is>
      </c>
      <c r="C756" t="inlineStr">
        <is>
          <t>Askåterföring</t>
        </is>
      </c>
      <c r="D756" s="1" t="n">
        <v>45002</v>
      </c>
      <c r="E756" s="1" t="n">
        <v>46312</v>
      </c>
      <c r="F756" t="inlineStr">
        <is>
          <t>SKÅNE LÄN</t>
        </is>
      </c>
      <c r="G756" t="inlineStr">
        <is>
          <t>HÄSSLEHOLM</t>
        </is>
      </c>
      <c r="I756" t="n">
        <v>12.3</v>
      </c>
      <c r="J756" t="n">
        <v>1</v>
      </c>
      <c r="K756" t="n">
        <v>0</v>
      </c>
      <c r="L756" t="n">
        <v>0</v>
      </c>
      <c r="M756" t="n">
        <v>0</v>
      </c>
      <c r="N756" t="n">
        <v>0</v>
      </c>
      <c r="O756" t="n">
        <v>0</v>
      </c>
      <c r="P756" t="n">
        <v>0</v>
      </c>
      <c r="Q756" t="n">
        <v>0</v>
      </c>
      <c r="R756" t="n">
        <v>0</v>
      </c>
      <c r="S756" t="n">
        <v>1</v>
      </c>
      <c r="T756" t="n">
        <v>1</v>
      </c>
      <c r="U756" t="n">
        <v>1</v>
      </c>
      <c r="V756" s="2" t="inlineStr">
        <is>
          <t>Kopparödla</t>
        </is>
      </c>
      <c r="W756">
        <f>HYPERLINK("https://klasma.github.io/Logging_1293/artfynd/S 952-2023 artfynd.xlsx", "S 952-2023")</f>
        <v/>
      </c>
      <c r="X756">
        <f>HYPERLINK("https://klasma.github.io/Logging_1293/kartor/S 952-2023 karta.png", "S 952-2023")</f>
        <v/>
      </c>
      <c r="Y756">
        <f>HYPERLINK("https://klasma.github.io/Logging_1293/kartor_geotiff/S 952-2023 georefererad karta.tif", "S 952-2023")</f>
        <v/>
      </c>
      <c r="AA756">
        <f>HYPERLINK("https://klasma.github.io/Logging_1293/klagomål/S 952-2023 FSC-klagomål.docx", "S 952-2023")</f>
        <v/>
      </c>
      <c r="AB756">
        <f>HYPERLINK("https://klasma.github.io/Logging_1293/klagomålsmail/S 952-2023 FSC-klagomål mail.docx", "S 952-2023")</f>
        <v/>
      </c>
      <c r="AC756">
        <f>HYPERLINK("https://klasma.github.io/Logging_1293/tillsyn/S 952-2023 tillsynsbegäran.docx", "S 952-2023")</f>
        <v/>
      </c>
      <c r="AD756">
        <f>HYPERLINK("https://klasma.github.io/Logging_1293/tillsynsmail/S 952-2023 tillsynsbegäran mail.docx", "S 952-2023")</f>
        <v/>
      </c>
    </row>
    <row r="757" ht="15" customHeight="1">
      <c r="A757" t="inlineStr">
        <is>
          <t>S 172-2025</t>
        </is>
      </c>
      <c r="B757" t="inlineStr">
        <is>
          <t>samrådsanmälan</t>
        </is>
      </c>
      <c r="C757" t="inlineStr">
        <is>
          <t>Askåterföring</t>
        </is>
      </c>
      <c r="D757" s="1" t="n">
        <v>45677</v>
      </c>
      <c r="E757" s="1" t="n">
        <v>46312</v>
      </c>
      <c r="F757" t="inlineStr">
        <is>
          <t>SKÅNE LÄN</t>
        </is>
      </c>
      <c r="G757" t="inlineStr">
        <is>
          <t>BROMÖLLA</t>
        </is>
      </c>
      <c r="I757" t="n">
        <v>63.4</v>
      </c>
      <c r="J757" t="n">
        <v>1</v>
      </c>
      <c r="K757" t="n">
        <v>0</v>
      </c>
      <c r="L757" t="n">
        <v>0</v>
      </c>
      <c r="M757" t="n">
        <v>0</v>
      </c>
      <c r="N757" t="n">
        <v>0</v>
      </c>
      <c r="O757" t="n">
        <v>0</v>
      </c>
      <c r="P757" t="n">
        <v>0</v>
      </c>
      <c r="Q757" t="n">
        <v>0</v>
      </c>
      <c r="R757" t="n">
        <v>0</v>
      </c>
      <c r="S757" t="n">
        <v>1</v>
      </c>
      <c r="T757" t="n">
        <v>1</v>
      </c>
      <c r="U757" t="n">
        <v>1</v>
      </c>
      <c r="V757" s="2" t="inlineStr">
        <is>
          <t>Nattskärra</t>
        </is>
      </c>
      <c r="W757">
        <f>HYPERLINK("https://klasma.github.io/Logging_1272/artfynd/S 172-2025 artfynd.xlsx", "S 172-2025")</f>
        <v/>
      </c>
      <c r="X757">
        <f>HYPERLINK("https://klasma.github.io/Logging_1272/kartor/S 172-2025 karta.png", "S 172-2025")</f>
        <v/>
      </c>
      <c r="Y757">
        <f>HYPERLINK("https://klasma.github.io/Logging_1272/kartor_geotiff/S 172-2025 georefererad karta.tif", "S 172-2025")</f>
        <v/>
      </c>
      <c r="AA757">
        <f>HYPERLINK("https://klasma.github.io/Logging_1272/klagomål/S 172-2025 FSC-klagomål.docx", "S 172-2025")</f>
        <v/>
      </c>
      <c r="AB757">
        <f>HYPERLINK("https://klasma.github.io/Logging_1272/klagomålsmail/S 172-2025 FSC-klagomål mail.docx", "S 172-2025")</f>
        <v/>
      </c>
      <c r="AC757">
        <f>HYPERLINK("https://klasma.github.io/Logging_1272/tillsyn/S 172-2025 tillsynsbegäran.docx", "S 172-2025")</f>
        <v/>
      </c>
      <c r="AD757">
        <f>HYPERLINK("https://klasma.github.io/Logging_1272/tillsynsmail/S 172-2025 tillsynsbegäran mail.docx", "S 172-2025")</f>
        <v/>
      </c>
      <c r="AE757">
        <f>HYPERLINK("https://klasma.github.io/Logging_1272/fåglar/S 172-2025 prioriterade fågelarter.docx", "S 172-2025")</f>
        <v/>
      </c>
    </row>
    <row r="758" ht="15" customHeight="1">
      <c r="A758" t="inlineStr">
        <is>
          <t>S 4380-2024</t>
        </is>
      </c>
      <c r="B758" t="inlineStr">
        <is>
          <t>samrådsanmälan</t>
        </is>
      </c>
      <c r="C758" t="inlineStr">
        <is>
          <t>Askåterföring</t>
        </is>
      </c>
      <c r="D758" s="1" t="n">
        <v>45588</v>
      </c>
      <c r="E758" s="1" t="n">
        <v>46312</v>
      </c>
      <c r="F758" t="inlineStr">
        <is>
          <t>SKÅNE LÄN</t>
        </is>
      </c>
      <c r="G758" t="inlineStr">
        <is>
          <t>HÄSSLEHOLM</t>
        </is>
      </c>
      <c r="I758" t="n">
        <v>20.9</v>
      </c>
      <c r="J758" t="n">
        <v>1</v>
      </c>
      <c r="K758" t="n">
        <v>0</v>
      </c>
      <c r="L758" t="n">
        <v>0</v>
      </c>
      <c r="M758" t="n">
        <v>0</v>
      </c>
      <c r="N758" t="n">
        <v>0</v>
      </c>
      <c r="O758" t="n">
        <v>0</v>
      </c>
      <c r="P758" t="n">
        <v>0</v>
      </c>
      <c r="Q758" t="n">
        <v>0</v>
      </c>
      <c r="R758" t="n">
        <v>0</v>
      </c>
      <c r="S758" t="n">
        <v>1</v>
      </c>
      <c r="T758" t="n">
        <v>1</v>
      </c>
      <c r="U758" t="n">
        <v>0</v>
      </c>
      <c r="V758" s="2" t="inlineStr">
        <is>
          <t>Vanlig padda</t>
        </is>
      </c>
      <c r="W758">
        <f>HYPERLINK("https://klasma.github.io/Logging_1293/artfynd/S 4380-2024 artfynd.xlsx", "S 4380-2024")</f>
        <v/>
      </c>
      <c r="X758">
        <f>HYPERLINK("https://klasma.github.io/Logging_1293/kartor/S 4380-2024 karta.png", "S 4380-2024")</f>
        <v/>
      </c>
      <c r="Y758">
        <f>HYPERLINK("https://klasma.github.io/Logging_1293/kartor_geotiff/S 4380-2024 georefererad karta.tif", "S 4380-2024")</f>
        <v/>
      </c>
      <c r="AA758">
        <f>HYPERLINK("https://klasma.github.io/Logging_1293/klagomål/S 4380-2024 FSC-klagomål.docx", "S 4380-2024")</f>
        <v/>
      </c>
      <c r="AB758">
        <f>HYPERLINK("https://klasma.github.io/Logging_1293/klagomålsmail/S 4380-2024 FSC-klagomål mail.docx", "S 4380-2024")</f>
        <v/>
      </c>
      <c r="AC758">
        <f>HYPERLINK("https://klasma.github.io/Logging_1293/tillsyn/S 4380-2024 tillsynsbegäran.docx", "S 4380-2024")</f>
        <v/>
      </c>
      <c r="AD758">
        <f>HYPERLINK("https://klasma.github.io/Logging_1293/tillsynsmail/S 4380-2024 tillsynsbegäran mail.docx", "S 4380-2024")</f>
        <v/>
      </c>
    </row>
    <row r="759" ht="15" customHeight="1">
      <c r="A759" t="inlineStr">
        <is>
          <t>S 2339-2022</t>
        </is>
      </c>
      <c r="B759" t="inlineStr">
        <is>
          <t>samrådsanmälan</t>
        </is>
      </c>
      <c r="C759" t="inlineStr">
        <is>
          <t>Askåterföring</t>
        </is>
      </c>
      <c r="D759" s="1" t="n">
        <v>44686</v>
      </c>
      <c r="E759" s="1" t="n">
        <v>46312</v>
      </c>
      <c r="F759" t="inlineStr">
        <is>
          <t>SKÅNE LÄN</t>
        </is>
      </c>
      <c r="G759" t="inlineStr">
        <is>
          <t>HÖÖR</t>
        </is>
      </c>
      <c r="I759" t="n">
        <v>20.3</v>
      </c>
      <c r="J759" t="n">
        <v>0</v>
      </c>
      <c r="K759" t="n">
        <v>0</v>
      </c>
      <c r="L759" t="n">
        <v>0</v>
      </c>
      <c r="M759" t="n">
        <v>1</v>
      </c>
      <c r="N759" t="n">
        <v>0</v>
      </c>
      <c r="O759" t="n">
        <v>0</v>
      </c>
      <c r="P759" t="n">
        <v>0</v>
      </c>
      <c r="Q759" t="n">
        <v>1</v>
      </c>
      <c r="R759" t="n">
        <v>1</v>
      </c>
      <c r="S759" t="n">
        <v>1</v>
      </c>
      <c r="T759" t="n">
        <v>1</v>
      </c>
      <c r="U759" t="n">
        <v>1</v>
      </c>
      <c r="V759" s="2" t="inlineStr">
        <is>
          <t>Småvänderot</t>
        </is>
      </c>
      <c r="W759">
        <f>HYPERLINK("https://klasma.github.io/Logging_1267/artfynd/S 2339-2022 artfynd.xlsx", "S 2339-2022")</f>
        <v/>
      </c>
      <c r="X759">
        <f>HYPERLINK("https://klasma.github.io/Logging_1267/kartor/S 2339-2022 karta.png", "S 2339-2022")</f>
        <v/>
      </c>
      <c r="Y759">
        <f>HYPERLINK("https://klasma.github.io/Logging_1267/kartor_geotiff/S 2339-2022 georefererad karta.tif", "S 2339-2022")</f>
        <v/>
      </c>
      <c r="AA759">
        <f>HYPERLINK("https://klasma.github.io/Logging_1267/klagomål/S 2339-2022 FSC-klagomål.docx", "S 2339-2022")</f>
        <v/>
      </c>
      <c r="AB759">
        <f>HYPERLINK("https://klasma.github.io/Logging_1267/klagomålsmail/S 2339-2022 FSC-klagomål mail.docx", "S 2339-2022")</f>
        <v/>
      </c>
      <c r="AC759">
        <f>HYPERLINK("https://klasma.github.io/Logging_1267/tillsyn/S 2339-2022 tillsynsbegäran.docx", "S 2339-2022")</f>
        <v/>
      </c>
      <c r="AD759">
        <f>HYPERLINK("https://klasma.github.io/Logging_1267/tillsynsmail/S 2339-2022 tillsynsbegäran mail.docx", "S 2339-2022")</f>
        <v/>
      </c>
    </row>
    <row r="760" ht="15" customHeight="1">
      <c r="A760" t="inlineStr">
        <is>
          <t>S 3117-2023</t>
        </is>
      </c>
      <c r="B760" t="inlineStr">
        <is>
          <t>samrådsanmälan</t>
        </is>
      </c>
      <c r="C760" t="inlineStr">
        <is>
          <t>Askåterföring</t>
        </is>
      </c>
      <c r="D760" s="1" t="n">
        <v>45182</v>
      </c>
      <c r="E760" s="1" t="n">
        <v>46312</v>
      </c>
      <c r="F760" t="inlineStr">
        <is>
          <t>SKÅNE LÄN</t>
        </is>
      </c>
      <c r="G760" t="inlineStr">
        <is>
          <t>OSBY</t>
        </is>
      </c>
      <c r="H760" t="inlineStr">
        <is>
          <t>Kommuner</t>
        </is>
      </c>
      <c r="I760" t="n">
        <v>16.4</v>
      </c>
      <c r="J760" t="n">
        <v>0</v>
      </c>
      <c r="K760" t="n">
        <v>0</v>
      </c>
      <c r="L760" t="n">
        <v>0</v>
      </c>
      <c r="M760" t="n">
        <v>1</v>
      </c>
      <c r="N760" t="n">
        <v>0</v>
      </c>
      <c r="O760" t="n">
        <v>0</v>
      </c>
      <c r="P760" t="n">
        <v>0</v>
      </c>
      <c r="Q760" t="n">
        <v>1</v>
      </c>
      <c r="R760" t="n">
        <v>1</v>
      </c>
      <c r="S760" t="n">
        <v>1</v>
      </c>
      <c r="T760" t="n">
        <v>1</v>
      </c>
      <c r="U760" t="n">
        <v>1</v>
      </c>
      <c r="V760" s="2" t="inlineStr">
        <is>
          <t>Igelkott</t>
        </is>
      </c>
      <c r="W760">
        <f>HYPERLINK("https://klasma.github.io/Logging_1273/artfynd/S 3117-2023 artfynd.xlsx", "S 3117-2023")</f>
        <v/>
      </c>
      <c r="X760">
        <f>HYPERLINK("https://klasma.github.io/Logging_1273/kartor/S 3117-2023 karta.png", "S 3117-2023")</f>
        <v/>
      </c>
      <c r="Y760">
        <f>HYPERLINK("https://klasma.github.io/Logging_1273/kartor_geotiff/S 3117-2023 georefererad karta.tif", "S 3117-2023")</f>
        <v/>
      </c>
      <c r="AA760">
        <f>HYPERLINK("https://klasma.github.io/Logging_1273/klagomål/S 3117-2023 FSC-klagomål.docx", "S 3117-2023")</f>
        <v/>
      </c>
      <c r="AB760">
        <f>HYPERLINK("https://klasma.github.io/Logging_1273/klagomålsmail/S 3117-2023 FSC-klagomål mail.docx", "S 3117-2023")</f>
        <v/>
      </c>
      <c r="AC760">
        <f>HYPERLINK("https://klasma.github.io/Logging_1273/tillsyn/S 3117-2023 tillsynsbegäran.docx", "S 3117-2023")</f>
        <v/>
      </c>
      <c r="AD760">
        <f>HYPERLINK("https://klasma.github.io/Logging_1273/tillsynsmail/S 3117-2023 tillsynsbegäran mail.docx", "S 3117-2023")</f>
        <v/>
      </c>
    </row>
    <row r="761" ht="15" customHeight="1">
      <c r="A761" t="inlineStr">
        <is>
          <t>S 4760-2022</t>
        </is>
      </c>
      <c r="B761" t="inlineStr">
        <is>
          <t>samrådsanmälan</t>
        </is>
      </c>
      <c r="C761" t="inlineStr">
        <is>
          <t>Askåterföring</t>
        </is>
      </c>
      <c r="D761" s="1" t="n">
        <v>44802</v>
      </c>
      <c r="E761" s="1" t="n">
        <v>46312</v>
      </c>
      <c r="F761" t="inlineStr">
        <is>
          <t>SKÅNE LÄN</t>
        </is>
      </c>
      <c r="G761" t="inlineStr">
        <is>
          <t>OSBY</t>
        </is>
      </c>
      <c r="H761" t="inlineStr">
        <is>
          <t>Kyrkan</t>
        </is>
      </c>
      <c r="I761" t="n">
        <v>21.3</v>
      </c>
      <c r="J761" t="n">
        <v>0</v>
      </c>
      <c r="K761" t="n">
        <v>0</v>
      </c>
      <c r="L761" t="n">
        <v>1</v>
      </c>
      <c r="M761" t="n">
        <v>0</v>
      </c>
      <c r="N761" t="n">
        <v>0</v>
      </c>
      <c r="O761" t="n">
        <v>0</v>
      </c>
      <c r="P761" t="n">
        <v>0</v>
      </c>
      <c r="Q761" t="n">
        <v>1</v>
      </c>
      <c r="R761" t="n">
        <v>0</v>
      </c>
      <c r="S761" t="n">
        <v>1</v>
      </c>
      <c r="T761" t="n">
        <v>1</v>
      </c>
      <c r="U761" t="n">
        <v>0</v>
      </c>
      <c r="V761" s="2" t="inlineStr">
        <is>
          <t>Svinrot</t>
        </is>
      </c>
      <c r="W761">
        <f>HYPERLINK("https://klasma.github.io/Logging_1273/artfynd/S 4760-2022 artfynd.xlsx", "S 4760-2022")</f>
        <v/>
      </c>
      <c r="X761">
        <f>HYPERLINK("https://klasma.github.io/Logging_1273/kartor/S 4760-2022 karta.png", "S 4760-2022")</f>
        <v/>
      </c>
      <c r="Y761">
        <f>HYPERLINK("https://klasma.github.io/Logging_1273/kartor_geotiff/S 4760-2022 georefererad karta.tif", "S 4760-2022")</f>
        <v/>
      </c>
      <c r="AA761">
        <f>HYPERLINK("https://klasma.github.io/Logging_1273/klagomål/S 4760-2022 FSC-klagomål.docx", "S 4760-2022")</f>
        <v/>
      </c>
      <c r="AB761">
        <f>HYPERLINK("https://klasma.github.io/Logging_1273/klagomålsmail/S 4760-2022 FSC-klagomål mail.docx", "S 4760-2022")</f>
        <v/>
      </c>
      <c r="AC761">
        <f>HYPERLINK("https://klasma.github.io/Logging_1273/tillsyn/S 4760-2022 tillsynsbegäran.docx", "S 4760-2022")</f>
        <v/>
      </c>
      <c r="AD761">
        <f>HYPERLINK("https://klasma.github.io/Logging_1273/tillsynsmail/S 4760-2022 tillsynsbegäran mail.docx", "S 4760-2022")</f>
        <v/>
      </c>
    </row>
    <row r="762" ht="15" customHeight="1">
      <c r="A762" t="inlineStr">
        <is>
          <t>S 2731-2022</t>
        </is>
      </c>
      <c r="B762" t="inlineStr">
        <is>
          <t>samrådsanmälan</t>
        </is>
      </c>
      <c r="C762" t="inlineStr">
        <is>
          <t>Askåterföring</t>
        </is>
      </c>
      <c r="D762" s="1" t="n">
        <v>44704</v>
      </c>
      <c r="E762" s="1" t="n">
        <v>46312</v>
      </c>
      <c r="F762" t="inlineStr">
        <is>
          <t>SKÅNE LÄN</t>
        </is>
      </c>
      <c r="G762" t="inlineStr">
        <is>
          <t>ÖRKELLJUNGA</t>
        </is>
      </c>
      <c r="H762" t="inlineStr">
        <is>
          <t>Kyrkan</t>
        </is>
      </c>
      <c r="I762" t="n">
        <v>24.7</v>
      </c>
      <c r="J762" t="n">
        <v>1</v>
      </c>
      <c r="K762" t="n">
        <v>0</v>
      </c>
      <c r="L762" t="n">
        <v>0</v>
      </c>
      <c r="M762" t="n">
        <v>0</v>
      </c>
      <c r="N762" t="n">
        <v>0</v>
      </c>
      <c r="O762" t="n">
        <v>0</v>
      </c>
      <c r="P762" t="n">
        <v>0</v>
      </c>
      <c r="Q762" t="n">
        <v>0</v>
      </c>
      <c r="R762" t="n">
        <v>0</v>
      </c>
      <c r="S762" t="n">
        <v>1</v>
      </c>
      <c r="T762" t="n">
        <v>1</v>
      </c>
      <c r="U762" t="n">
        <v>1</v>
      </c>
      <c r="V762" s="2" t="inlineStr">
        <is>
          <t>Gröngöling</t>
        </is>
      </c>
      <c r="W762">
        <f>HYPERLINK("https://klasma.github.io/Logging_1257/artfynd/S 2731-2022 artfynd.xlsx", "S 2731-2022")</f>
        <v/>
      </c>
      <c r="X762">
        <f>HYPERLINK("https://klasma.github.io/Logging_1257/kartor/S 2731-2022 karta.png", "S 2731-2022")</f>
        <v/>
      </c>
      <c r="Y762">
        <f>HYPERLINK("https://klasma.github.io/Logging_1257/kartor_geotiff/S 2731-2022 georefererad karta.tif", "S 2731-2022")</f>
        <v/>
      </c>
      <c r="AA762">
        <f>HYPERLINK("https://klasma.github.io/Logging_1257/klagomål/S 2731-2022 FSC-klagomål.docx", "S 2731-2022")</f>
        <v/>
      </c>
      <c r="AB762">
        <f>HYPERLINK("https://klasma.github.io/Logging_1257/klagomålsmail/S 2731-2022 FSC-klagomål mail.docx", "S 2731-2022")</f>
        <v/>
      </c>
      <c r="AC762">
        <f>HYPERLINK("https://klasma.github.io/Logging_1257/tillsyn/S 2731-2022 tillsynsbegäran.docx", "S 2731-2022")</f>
        <v/>
      </c>
      <c r="AD762">
        <f>HYPERLINK("https://klasma.github.io/Logging_1257/tillsynsmail/S 2731-2022 tillsynsbegäran mail.docx", "S 2731-2022")</f>
        <v/>
      </c>
    </row>
    <row r="763" ht="15" customHeight="1">
      <c r="A763" t="inlineStr">
        <is>
          <t>S 2231-2022</t>
        </is>
      </c>
      <c r="B763" t="inlineStr">
        <is>
          <t>samrådsanmälan</t>
        </is>
      </c>
      <c r="C763" t="inlineStr">
        <is>
          <t>Åtgärd i nyckelbiotop</t>
        </is>
      </c>
      <c r="D763" s="1" t="n">
        <v>44679</v>
      </c>
      <c r="E763" s="1" t="n">
        <v>46312</v>
      </c>
      <c r="F763" t="inlineStr">
        <is>
          <t>SKÅNE LÄN</t>
        </is>
      </c>
      <c r="G763" t="inlineStr">
        <is>
          <t>LUND</t>
        </is>
      </c>
      <c r="I763" t="n">
        <v>0.2</v>
      </c>
      <c r="J763" t="n">
        <v>0</v>
      </c>
      <c r="K763" t="n">
        <v>0</v>
      </c>
      <c r="L763" t="n">
        <v>0</v>
      </c>
      <c r="M763" t="n">
        <v>1</v>
      </c>
      <c r="N763" t="n">
        <v>0</v>
      </c>
      <c r="O763" t="n">
        <v>0</v>
      </c>
      <c r="P763" t="n">
        <v>0</v>
      </c>
      <c r="Q763" t="n">
        <v>1</v>
      </c>
      <c r="R763" t="n">
        <v>1</v>
      </c>
      <c r="S763" t="n">
        <v>1</v>
      </c>
      <c r="T763" t="n">
        <v>1</v>
      </c>
      <c r="U763" t="n">
        <v>0</v>
      </c>
      <c r="V763" s="2" t="inlineStr">
        <is>
          <t>Bokblombock</t>
        </is>
      </c>
      <c r="W763">
        <f>HYPERLINK("https://klasma.github.io/Logging_1281/artfynd/S 2231-2022 artfynd.xlsx", "S 2231-2022")</f>
        <v/>
      </c>
      <c r="X763">
        <f>HYPERLINK("https://klasma.github.io/Logging_1281/kartor/S 2231-2022 karta.png", "S 2231-2022")</f>
        <v/>
      </c>
      <c r="Y763">
        <f>HYPERLINK("https://klasma.github.io/Logging_1281/kartor_geotiff/S 2231-2022 georefererad karta.tif", "S 2231-2022")</f>
        <v/>
      </c>
      <c r="AA763">
        <f>HYPERLINK("https://klasma.github.io/Logging_1281/klagomål/S 2231-2022 FSC-klagomål.docx", "S 2231-2022")</f>
        <v/>
      </c>
      <c r="AB763">
        <f>HYPERLINK("https://klasma.github.io/Logging_1281/klagomålsmail/S 2231-2022 FSC-klagomål mail.docx", "S 2231-2022")</f>
        <v/>
      </c>
      <c r="AC763">
        <f>HYPERLINK("https://klasma.github.io/Logging_1281/tillsyn/S 2231-2022 tillsynsbegäran.docx", "S 2231-2022")</f>
        <v/>
      </c>
      <c r="AD763">
        <f>HYPERLINK("https://klasma.github.io/Logging_1281/tillsynsmail/S 2231-2022 tillsynsbegäran mail.docx", "S 2231-2022")</f>
        <v/>
      </c>
    </row>
    <row r="764" ht="15" customHeight="1">
      <c r="A764" t="inlineStr">
        <is>
          <t>S 309-2025</t>
        </is>
      </c>
      <c r="B764" t="inlineStr">
        <is>
          <t>samrådsanmälan</t>
        </is>
      </c>
      <c r="C764" t="inlineStr">
        <is>
          <t>Askåterföring</t>
        </is>
      </c>
      <c r="D764" s="1" t="n">
        <v>45688</v>
      </c>
      <c r="E764" s="1" t="n">
        <v>46312</v>
      </c>
      <c r="F764" t="inlineStr">
        <is>
          <t>SKÅNE LÄN</t>
        </is>
      </c>
      <c r="G764" t="inlineStr">
        <is>
          <t>HÖÖR</t>
        </is>
      </c>
      <c r="I764" t="n">
        <v>7.5</v>
      </c>
      <c r="J764" t="n">
        <v>0</v>
      </c>
      <c r="K764" t="n">
        <v>1</v>
      </c>
      <c r="L764" t="n">
        <v>0</v>
      </c>
      <c r="M764" t="n">
        <v>0</v>
      </c>
      <c r="N764" t="n">
        <v>0</v>
      </c>
      <c r="O764" t="n">
        <v>0</v>
      </c>
      <c r="P764" t="n">
        <v>0</v>
      </c>
      <c r="Q764" t="n">
        <v>0</v>
      </c>
      <c r="R764" t="n">
        <v>0</v>
      </c>
      <c r="S764" t="n">
        <v>1</v>
      </c>
      <c r="T764" t="n">
        <v>1</v>
      </c>
      <c r="U764" t="n">
        <v>0</v>
      </c>
      <c r="V764" s="2" t="inlineStr">
        <is>
          <t>Skogsbräsma</t>
        </is>
      </c>
      <c r="W764">
        <f>HYPERLINK("https://klasma.github.io/Logging_1267/artfynd/S 309-2025 artfynd.xlsx", "S 309-2025")</f>
        <v/>
      </c>
      <c r="X764">
        <f>HYPERLINK("https://klasma.github.io/Logging_1267/kartor/S 309-2025 karta.png", "S 309-2025")</f>
        <v/>
      </c>
      <c r="Y764">
        <f>HYPERLINK("https://klasma.github.io/Logging_1267/kartor_geotiff/S 309-2025 georefererad karta.tif", "S 309-2025")</f>
        <v/>
      </c>
      <c r="AA764">
        <f>HYPERLINK("https://klasma.github.io/Logging_1267/klagomål/S 309-2025 FSC-klagomål.docx", "S 309-2025")</f>
        <v/>
      </c>
      <c r="AB764">
        <f>HYPERLINK("https://klasma.github.io/Logging_1267/klagomålsmail/S 309-2025 FSC-klagomål mail.docx", "S 309-2025")</f>
        <v/>
      </c>
      <c r="AC764">
        <f>HYPERLINK("https://klasma.github.io/Logging_1267/tillsyn/S 309-2025 tillsynsbegäran.docx", "S 309-2025")</f>
        <v/>
      </c>
      <c r="AD764">
        <f>HYPERLINK("https://klasma.github.io/Logging_1267/tillsynsmail/S 309-2025 tillsynsbegäran mail.docx", "S 309-2025")</f>
        <v/>
      </c>
    </row>
    <row r="765" ht="15" customHeight="1">
      <c r="A765" t="inlineStr">
        <is>
          <t>S 3667-2023</t>
        </is>
      </c>
      <c r="B765" t="inlineStr">
        <is>
          <t>samrådsanmälan</t>
        </is>
      </c>
      <c r="C765" t="inlineStr">
        <is>
          <t>Askåterföring</t>
        </is>
      </c>
      <c r="D765" s="1" t="n">
        <v>45217</v>
      </c>
      <c r="E765" s="1" t="n">
        <v>46312</v>
      </c>
      <c r="F765" t="inlineStr">
        <is>
          <t>SKÅNE LÄN</t>
        </is>
      </c>
      <c r="G765" t="inlineStr">
        <is>
          <t>KLIPPAN</t>
        </is>
      </c>
      <c r="I765" t="n">
        <v>186.4</v>
      </c>
      <c r="J765" t="n">
        <v>0</v>
      </c>
      <c r="K765" t="n">
        <v>0</v>
      </c>
      <c r="L765" t="n">
        <v>0</v>
      </c>
      <c r="M765" t="n">
        <v>0</v>
      </c>
      <c r="N765" t="n">
        <v>1</v>
      </c>
      <c r="O765" t="n">
        <v>0</v>
      </c>
      <c r="P765" t="n">
        <v>0</v>
      </c>
      <c r="Q765" t="n">
        <v>1</v>
      </c>
      <c r="R765" t="n">
        <v>1</v>
      </c>
      <c r="S765" t="n">
        <v>1</v>
      </c>
      <c r="T765" t="n">
        <v>1</v>
      </c>
      <c r="U765" t="n">
        <v>0</v>
      </c>
      <c r="V765" s="2" t="inlineStr">
        <is>
          <t>Skogsalm</t>
        </is>
      </c>
      <c r="W765">
        <f>HYPERLINK("https://klasma.github.io/Logging_1276/artfynd/S 3667-2023 artfynd.xlsx", "S 3667-2023")</f>
        <v/>
      </c>
      <c r="X765">
        <f>HYPERLINK("https://klasma.github.io/Logging_1276/kartor/S 3667-2023 karta.png", "S 3667-2023")</f>
        <v/>
      </c>
      <c r="Y765">
        <f>HYPERLINK("https://klasma.github.io/Logging_1276/kartor_geotiff/S 3667-2023 georefererad karta.tif", "S 3667-2023")</f>
        <v/>
      </c>
      <c r="AA765">
        <f>HYPERLINK("https://klasma.github.io/Logging_1276/klagomål/S 3667-2023 FSC-klagomål.docx", "S 3667-2023")</f>
        <v/>
      </c>
      <c r="AB765">
        <f>HYPERLINK("https://klasma.github.io/Logging_1276/klagomålsmail/S 3667-2023 FSC-klagomål mail.docx", "S 3667-2023")</f>
        <v/>
      </c>
      <c r="AC765">
        <f>HYPERLINK("https://klasma.github.io/Logging_1276/tillsyn/S 3667-2023 tillsynsbegäran.docx", "S 3667-2023")</f>
        <v/>
      </c>
      <c r="AD765">
        <f>HYPERLINK("https://klasma.github.io/Logging_1276/tillsynsmail/S 3667-2023 tillsynsbegäran mail.docx", "S 3667-2023")</f>
        <v/>
      </c>
    </row>
    <row r="766" ht="15" customHeight="1">
      <c r="A766" t="inlineStr">
        <is>
          <t>S 1084-2024</t>
        </is>
      </c>
      <c r="B766" t="inlineStr">
        <is>
          <t>samrådsanmälan</t>
        </is>
      </c>
      <c r="C766" t="inlineStr">
        <is>
          <t>Askåterföring</t>
        </is>
      </c>
      <c r="D766" s="1" t="n">
        <v>45390</v>
      </c>
      <c r="E766" s="1" t="n">
        <v>46312</v>
      </c>
      <c r="F766" t="inlineStr">
        <is>
          <t>SKÅNE LÄN</t>
        </is>
      </c>
      <c r="G766" t="inlineStr">
        <is>
          <t>ÖSTRA GÖINGE</t>
        </is>
      </c>
      <c r="I766" t="n">
        <v>140.4</v>
      </c>
      <c r="J766" t="n">
        <v>1</v>
      </c>
      <c r="K766" t="n">
        <v>0</v>
      </c>
      <c r="L766" t="n">
        <v>1</v>
      </c>
      <c r="M766" t="n">
        <v>0</v>
      </c>
      <c r="N766" t="n">
        <v>0</v>
      </c>
      <c r="O766" t="n">
        <v>0</v>
      </c>
      <c r="P766" t="n">
        <v>0</v>
      </c>
      <c r="Q766" t="n">
        <v>1</v>
      </c>
      <c r="R766" t="n">
        <v>0</v>
      </c>
      <c r="S766" t="n">
        <v>1</v>
      </c>
      <c r="T766" t="n">
        <v>1</v>
      </c>
      <c r="U766" t="n">
        <v>0</v>
      </c>
      <c r="V766" s="2" t="inlineStr">
        <is>
          <t>Nötkråka</t>
        </is>
      </c>
      <c r="W766">
        <f>HYPERLINK("https://klasma.github.io/Logging_1256/artfynd/S 1084-2024 artfynd.xlsx", "S 1084-2024")</f>
        <v/>
      </c>
      <c r="X766">
        <f>HYPERLINK("https://klasma.github.io/Logging_1256/kartor/S 1084-2024 karta.png", "S 1084-2024")</f>
        <v/>
      </c>
      <c r="Y766">
        <f>HYPERLINK("https://klasma.github.io/Logging_1256/kartor_geotiff/S 1084-2024 georefererad karta.tif", "S 1084-2024")</f>
        <v/>
      </c>
      <c r="AA766">
        <f>HYPERLINK("https://klasma.github.io/Logging_1256/klagomål/S 1084-2024 FSC-klagomål.docx", "S 1084-2024")</f>
        <v/>
      </c>
      <c r="AB766">
        <f>HYPERLINK("https://klasma.github.io/Logging_1256/klagomålsmail/S 1084-2024 FSC-klagomål mail.docx", "S 1084-2024")</f>
        <v/>
      </c>
      <c r="AC766">
        <f>HYPERLINK("https://klasma.github.io/Logging_1256/tillsyn/S 1084-2024 tillsynsbegäran.docx", "S 1084-2024")</f>
        <v/>
      </c>
      <c r="AD766">
        <f>HYPERLINK("https://klasma.github.io/Logging_1256/tillsynsmail/S 1084-2024 tillsynsbegäran mail.docx", "S 1084-2024")</f>
        <v/>
      </c>
      <c r="AE766">
        <f>HYPERLINK("https://klasma.github.io/Logging_1256/fåglar/S 1084-2024 prioriterade fågelarter.docx", "S 1084-2024")</f>
        <v/>
      </c>
    </row>
    <row r="767" ht="15" customHeight="1">
      <c r="A767" t="inlineStr">
        <is>
          <t>S 3372-2024</t>
        </is>
      </c>
      <c r="B767" t="inlineStr">
        <is>
          <t>samrådsanmälan</t>
        </is>
      </c>
      <c r="C767" t="inlineStr">
        <is>
          <t>Annan skogsbruksåtgärd</t>
        </is>
      </c>
      <c r="D767" s="1" t="n">
        <v>45525</v>
      </c>
      <c r="E767" s="1" t="n">
        <v>46312</v>
      </c>
      <c r="F767" t="inlineStr">
        <is>
          <t>SKÅNE LÄN</t>
        </is>
      </c>
      <c r="G767" t="inlineStr">
        <is>
          <t>SIMRISHAMN</t>
        </is>
      </c>
      <c r="I767" t="n">
        <v>1.1</v>
      </c>
      <c r="J767" t="n">
        <v>1</v>
      </c>
      <c r="K767" t="n">
        <v>0</v>
      </c>
      <c r="L767" t="n">
        <v>0</v>
      </c>
      <c r="M767" t="n">
        <v>0</v>
      </c>
      <c r="N767" t="n">
        <v>0</v>
      </c>
      <c r="O767" t="n">
        <v>0</v>
      </c>
      <c r="P767" t="n">
        <v>0</v>
      </c>
      <c r="Q767" t="n">
        <v>0</v>
      </c>
      <c r="R767" t="n">
        <v>0</v>
      </c>
      <c r="S767" t="n">
        <v>1</v>
      </c>
      <c r="T767" t="n">
        <v>1</v>
      </c>
      <c r="U767" t="n">
        <v>1</v>
      </c>
      <c r="V767" s="2" t="inlineStr">
        <is>
          <t>Vanlig padda</t>
        </is>
      </c>
      <c r="W767">
        <f>HYPERLINK("https://klasma.github.io/Logging_1291/artfynd/S 3372-2024 artfynd.xlsx", "S 3372-2024")</f>
        <v/>
      </c>
      <c r="X767">
        <f>HYPERLINK("https://klasma.github.io/Logging_1291/kartor/S 3372-2024 karta.png", "S 3372-2024")</f>
        <v/>
      </c>
      <c r="Y767">
        <f>HYPERLINK("https://klasma.github.io/Logging_1291/kartor_geotiff/S 3372-2024 georefererad karta.tif", "S 3372-2024")</f>
        <v/>
      </c>
      <c r="AA767">
        <f>HYPERLINK("https://klasma.github.io/Logging_1291/klagomål/S 3372-2024 FSC-klagomål.docx", "S 3372-2024")</f>
        <v/>
      </c>
      <c r="AB767">
        <f>HYPERLINK("https://klasma.github.io/Logging_1291/klagomålsmail/S 3372-2024 FSC-klagomål mail.docx", "S 3372-2024")</f>
        <v/>
      </c>
      <c r="AC767">
        <f>HYPERLINK("https://klasma.github.io/Logging_1291/tillsyn/S 3372-2024 tillsynsbegäran.docx", "S 3372-2024")</f>
        <v/>
      </c>
      <c r="AD767">
        <f>HYPERLINK("https://klasma.github.io/Logging_1291/tillsynsmail/S 3372-2024 tillsynsbegäran mail.docx", "S 3372-2024")</f>
        <v/>
      </c>
    </row>
    <row r="768" ht="15" customHeight="1">
      <c r="A768" t="inlineStr">
        <is>
          <t>S 5988-2022</t>
        </is>
      </c>
      <c r="B768" t="inlineStr">
        <is>
          <t>samrådsanmälan</t>
        </is>
      </c>
      <c r="C768" t="inlineStr">
        <is>
          <t>Askåterföring</t>
        </is>
      </c>
      <c r="D768" s="1" t="n">
        <v>44859</v>
      </c>
      <c r="E768" s="1" t="n">
        <v>46312</v>
      </c>
      <c r="F768" t="inlineStr">
        <is>
          <t>SKÅNE LÄN</t>
        </is>
      </c>
      <c r="G768" t="inlineStr">
        <is>
          <t>KLIPPAN</t>
        </is>
      </c>
      <c r="I768" t="n">
        <v>27.8</v>
      </c>
      <c r="J768" t="n">
        <v>1</v>
      </c>
      <c r="K768" t="n">
        <v>0</v>
      </c>
      <c r="L768" t="n">
        <v>0</v>
      </c>
      <c r="M768" t="n">
        <v>0</v>
      </c>
      <c r="N768" t="n">
        <v>0</v>
      </c>
      <c r="O768" t="n">
        <v>0</v>
      </c>
      <c r="P768" t="n">
        <v>0</v>
      </c>
      <c r="Q768" t="n">
        <v>0</v>
      </c>
      <c r="R768" t="n">
        <v>0</v>
      </c>
      <c r="S768" t="n">
        <v>1</v>
      </c>
      <c r="T768" t="n">
        <v>1</v>
      </c>
      <c r="U768" t="n">
        <v>0</v>
      </c>
      <c r="V768" s="2" t="inlineStr">
        <is>
          <t>Vanlig snok</t>
        </is>
      </c>
      <c r="W768">
        <f>HYPERLINK("https://klasma.github.io/Logging_1276/artfynd/S 5988-2022 artfynd.xlsx", "S 5988-2022")</f>
        <v/>
      </c>
      <c r="X768">
        <f>HYPERLINK("https://klasma.github.io/Logging_1276/kartor/S 5988-2022 karta.png", "S 5988-2022")</f>
        <v/>
      </c>
      <c r="Y768">
        <f>HYPERLINK("https://klasma.github.io/Logging_1276/kartor_geotiff/S 5988-2022 georefererad karta.tif", "S 5988-2022")</f>
        <v/>
      </c>
      <c r="AA768">
        <f>HYPERLINK("https://klasma.github.io/Logging_1276/klagomål/S 5988-2022 FSC-klagomål.docx", "S 5988-2022")</f>
        <v/>
      </c>
      <c r="AB768">
        <f>HYPERLINK("https://klasma.github.io/Logging_1276/klagomålsmail/S 5988-2022 FSC-klagomål mail.docx", "S 5988-2022")</f>
        <v/>
      </c>
      <c r="AC768">
        <f>HYPERLINK("https://klasma.github.io/Logging_1276/tillsyn/S 5988-2022 tillsynsbegäran.docx", "S 5988-2022")</f>
        <v/>
      </c>
      <c r="AD768">
        <f>HYPERLINK("https://klasma.github.io/Logging_1276/tillsynsmail/S 5988-2022 tillsynsbegäran mail.docx", "S 5988-2022")</f>
        <v/>
      </c>
    </row>
    <row r="769" ht="15" customHeight="1">
      <c r="A769" t="inlineStr">
        <is>
          <t>S 913-2023</t>
        </is>
      </c>
      <c r="B769" t="inlineStr">
        <is>
          <t>samrådsanmälan</t>
        </is>
      </c>
      <c r="C769" t="inlineStr">
        <is>
          <t>Askåterföring</t>
        </is>
      </c>
      <c r="D769" s="1" t="n">
        <v>44999</v>
      </c>
      <c r="E769" s="1" t="n">
        <v>46312</v>
      </c>
      <c r="F769" t="inlineStr">
        <is>
          <t>SKÅNE LÄN</t>
        </is>
      </c>
      <c r="G769" t="inlineStr">
        <is>
          <t>HÖRBY</t>
        </is>
      </c>
      <c r="I769" t="n">
        <v>20.3</v>
      </c>
      <c r="J769" t="n">
        <v>0</v>
      </c>
      <c r="K769" t="n">
        <v>1</v>
      </c>
      <c r="L769" t="n">
        <v>0</v>
      </c>
      <c r="M769" t="n">
        <v>0</v>
      </c>
      <c r="N769" t="n">
        <v>0</v>
      </c>
      <c r="O769" t="n">
        <v>0</v>
      </c>
      <c r="P769" t="n">
        <v>0</v>
      </c>
      <c r="Q769" t="n">
        <v>0</v>
      </c>
      <c r="R769" t="n">
        <v>0</v>
      </c>
      <c r="S769" t="n">
        <v>1</v>
      </c>
      <c r="T769" t="n">
        <v>1</v>
      </c>
      <c r="U769" t="n">
        <v>1</v>
      </c>
      <c r="V769" s="2" t="inlineStr">
        <is>
          <t>Kransrams</t>
        </is>
      </c>
      <c r="W769">
        <f>HYPERLINK("https://klasma.github.io/Logging_1266/artfynd/S 913-2023 artfynd.xlsx", "S 913-2023")</f>
        <v/>
      </c>
      <c r="X769">
        <f>HYPERLINK("https://klasma.github.io/Logging_1266/kartor/S 913-2023 karta.png", "S 913-2023")</f>
        <v/>
      </c>
      <c r="Y769">
        <f>HYPERLINK("https://klasma.github.io/Logging_1266/kartor_geotiff/S 913-2023 georefererad karta.tif", "S 913-2023")</f>
        <v/>
      </c>
      <c r="AA769">
        <f>HYPERLINK("https://klasma.github.io/Logging_1266/klagomål/S 913-2023 FSC-klagomål.docx", "S 913-2023")</f>
        <v/>
      </c>
      <c r="AB769">
        <f>HYPERLINK("https://klasma.github.io/Logging_1266/klagomålsmail/S 913-2023 FSC-klagomål mail.docx", "S 913-2023")</f>
        <v/>
      </c>
      <c r="AC769">
        <f>HYPERLINK("https://klasma.github.io/Logging_1266/tillsyn/S 913-2023 tillsynsbegäran.docx", "S 913-2023")</f>
        <v/>
      </c>
      <c r="AD769">
        <f>HYPERLINK("https://klasma.github.io/Logging_1266/tillsynsmail/S 913-2023 tillsynsbegäran mail.docx", "S 913-2023")</f>
        <v/>
      </c>
    </row>
    <row r="770" ht="15" customHeight="1">
      <c r="A770" t="inlineStr">
        <is>
          <t>S 446-2022</t>
        </is>
      </c>
      <c r="B770" t="inlineStr">
        <is>
          <t>samrådsanmälan</t>
        </is>
      </c>
      <c r="C770" t="inlineStr">
        <is>
          <t>Åtgärd i nyckelbiotop</t>
        </is>
      </c>
      <c r="D770" s="1" t="n">
        <v>44586</v>
      </c>
      <c r="E770" s="1" t="n">
        <v>46312</v>
      </c>
      <c r="F770" t="inlineStr">
        <is>
          <t>SKÅNE LÄN</t>
        </is>
      </c>
      <c r="G770" t="inlineStr">
        <is>
          <t>ÖSTRA GÖINGE</t>
        </is>
      </c>
      <c r="I770" t="n">
        <v>0.2</v>
      </c>
      <c r="J770" t="n">
        <v>0</v>
      </c>
      <c r="K770" t="n">
        <v>0</v>
      </c>
      <c r="L770" t="n">
        <v>0</v>
      </c>
      <c r="M770" t="n">
        <v>0</v>
      </c>
      <c r="N770" t="n">
        <v>1</v>
      </c>
      <c r="O770" t="n">
        <v>0</v>
      </c>
      <c r="P770" t="n">
        <v>0</v>
      </c>
      <c r="Q770" t="n">
        <v>1</v>
      </c>
      <c r="R770" t="n">
        <v>1</v>
      </c>
      <c r="S770" t="n">
        <v>1</v>
      </c>
      <c r="T770" t="n">
        <v>3</v>
      </c>
      <c r="U770" t="n">
        <v>0</v>
      </c>
      <c r="V770" s="2" t="inlineStr">
        <is>
          <t>Ask</t>
        </is>
      </c>
      <c r="W770">
        <f>HYPERLINK("https://klasma.github.io/Logging_1256/artfynd/S 446-2022 artfynd.xlsx", "S 446-2022")</f>
        <v/>
      </c>
      <c r="X770">
        <f>HYPERLINK("https://klasma.github.io/Logging_1256/kartor/S 446-2022 karta.png", "S 446-2022")</f>
        <v/>
      </c>
      <c r="Y770">
        <f>HYPERLINK("https://klasma.github.io/Logging_1256/kartor_geotiff/S 446-2022 georefererad karta.tif", "S 446-2022")</f>
        <v/>
      </c>
      <c r="AA770">
        <f>HYPERLINK("https://klasma.github.io/Logging_1256/klagomål/S 446-2022 FSC-klagomål.docx", "S 446-2022")</f>
        <v/>
      </c>
      <c r="AB770">
        <f>HYPERLINK("https://klasma.github.io/Logging_1256/klagomålsmail/S 446-2022 FSC-klagomål mail.docx", "S 446-2022")</f>
        <v/>
      </c>
      <c r="AC770">
        <f>HYPERLINK("https://klasma.github.io/Logging_1256/tillsyn/S 446-2022 tillsynsbegäran.docx", "S 446-2022")</f>
        <v/>
      </c>
      <c r="AD770">
        <f>HYPERLINK("https://klasma.github.io/Logging_1256/tillsynsmail/S 446-2022 tillsynsbegäran mail.docx", "S 446-2022")</f>
        <v/>
      </c>
    </row>
    <row r="771" ht="15" customHeight="1">
      <c r="A771" t="inlineStr">
        <is>
          <t>S 1980-2024</t>
        </is>
      </c>
      <c r="B771" t="inlineStr">
        <is>
          <t>samrådsanmälan</t>
        </is>
      </c>
      <c r="C771" t="inlineStr">
        <is>
          <t>Askåterföring</t>
        </is>
      </c>
      <c r="D771" s="1" t="n">
        <v>45446</v>
      </c>
      <c r="E771" s="1" t="n">
        <v>46312</v>
      </c>
      <c r="F771" t="inlineStr">
        <is>
          <t>SKÅNE LÄN</t>
        </is>
      </c>
      <c r="G771" t="inlineStr">
        <is>
          <t>OSBY</t>
        </is>
      </c>
      <c r="I771" t="n">
        <v>42.4</v>
      </c>
      <c r="J771" t="n">
        <v>1</v>
      </c>
      <c r="K771" t="n">
        <v>0</v>
      </c>
      <c r="L771" t="n">
        <v>0</v>
      </c>
      <c r="M771" t="n">
        <v>0</v>
      </c>
      <c r="N771" t="n">
        <v>0</v>
      </c>
      <c r="O771" t="n">
        <v>0</v>
      </c>
      <c r="P771" t="n">
        <v>0</v>
      </c>
      <c r="Q771" t="n">
        <v>0</v>
      </c>
      <c r="R771" t="n">
        <v>0</v>
      </c>
      <c r="S771" t="n">
        <v>1</v>
      </c>
      <c r="T771" t="n">
        <v>1</v>
      </c>
      <c r="U771" t="n">
        <v>1</v>
      </c>
      <c r="V771" s="2" t="inlineStr">
        <is>
          <t>Mattlummer</t>
        </is>
      </c>
      <c r="W771">
        <f>HYPERLINK("https://klasma.github.io/Logging_1273/artfynd/S 1980-2024 artfynd.xlsx", "S 1980-2024")</f>
        <v/>
      </c>
      <c r="X771">
        <f>HYPERLINK("https://klasma.github.io/Logging_1273/kartor/S 1980-2024 karta.png", "S 1980-2024")</f>
        <v/>
      </c>
      <c r="Y771">
        <f>HYPERLINK("https://klasma.github.io/Logging_1273/kartor_geotiff/S 1980-2024 georefererad karta.tif", "S 1980-2024")</f>
        <v/>
      </c>
      <c r="AA771">
        <f>HYPERLINK("https://klasma.github.io/Logging_1273/klagomål/S 1980-2024 FSC-klagomål.docx", "S 1980-2024")</f>
        <v/>
      </c>
      <c r="AB771">
        <f>HYPERLINK("https://klasma.github.io/Logging_1273/klagomålsmail/S 1980-2024 FSC-klagomål mail.docx", "S 1980-2024")</f>
        <v/>
      </c>
      <c r="AC771">
        <f>HYPERLINK("https://klasma.github.io/Logging_1273/tillsyn/S 1980-2024 tillsynsbegäran.docx", "S 1980-2024")</f>
        <v/>
      </c>
      <c r="AD771">
        <f>HYPERLINK("https://klasma.github.io/Logging_1273/tillsynsmail/S 1980-2024 tillsynsbegäran mail.docx", "S 1980-2024")</f>
        <v/>
      </c>
    </row>
    <row r="772" ht="15" customHeight="1">
      <c r="A772" t="inlineStr">
        <is>
          <t>S 564-2024</t>
        </is>
      </c>
      <c r="B772" t="inlineStr">
        <is>
          <t>samrådsanmälan</t>
        </is>
      </c>
      <c r="C772" t="inlineStr">
        <is>
          <t>Askåterföring</t>
        </is>
      </c>
      <c r="D772" s="1" t="n">
        <v>45350</v>
      </c>
      <c r="E772" s="1" t="n">
        <v>46312</v>
      </c>
      <c r="F772" t="inlineStr">
        <is>
          <t>SKÅNE LÄN</t>
        </is>
      </c>
      <c r="G772" t="inlineStr">
        <is>
          <t>ÖSTRA GÖINGE</t>
        </is>
      </c>
      <c r="I772" t="n">
        <v>30.3</v>
      </c>
      <c r="J772" t="n">
        <v>0</v>
      </c>
      <c r="K772" t="n">
        <v>1</v>
      </c>
      <c r="L772" t="n">
        <v>0</v>
      </c>
      <c r="M772" t="n">
        <v>0</v>
      </c>
      <c r="N772" t="n">
        <v>0</v>
      </c>
      <c r="O772" t="n">
        <v>0</v>
      </c>
      <c r="P772" t="n">
        <v>0</v>
      </c>
      <c r="Q772" t="n">
        <v>0</v>
      </c>
      <c r="R772" t="n">
        <v>0</v>
      </c>
      <c r="S772" t="n">
        <v>1</v>
      </c>
      <c r="T772" t="n">
        <v>1</v>
      </c>
      <c r="U772" t="n">
        <v>1</v>
      </c>
      <c r="V772" s="2" t="inlineStr">
        <is>
          <t>Kransrams</t>
        </is>
      </c>
      <c r="W772">
        <f>HYPERLINK("https://klasma.github.io/Logging_1256/artfynd/S 564-2024 artfynd.xlsx", "S 564-2024")</f>
        <v/>
      </c>
      <c r="X772">
        <f>HYPERLINK("https://klasma.github.io/Logging_1256/kartor/S 564-2024 karta.png", "S 564-2024")</f>
        <v/>
      </c>
      <c r="Y772">
        <f>HYPERLINK("https://klasma.github.io/Logging_1256/kartor_geotiff/S 564-2024 georefererad karta.tif", "S 564-2024")</f>
        <v/>
      </c>
      <c r="AA772">
        <f>HYPERLINK("https://klasma.github.io/Logging_1256/klagomål/S 564-2024 FSC-klagomål.docx", "S 564-2024")</f>
        <v/>
      </c>
      <c r="AB772">
        <f>HYPERLINK("https://klasma.github.io/Logging_1256/klagomålsmail/S 564-2024 FSC-klagomål mail.docx", "S 564-2024")</f>
        <v/>
      </c>
      <c r="AC772">
        <f>HYPERLINK("https://klasma.github.io/Logging_1256/tillsyn/S 564-2024 tillsynsbegäran.docx", "S 564-2024")</f>
        <v/>
      </c>
      <c r="AD772">
        <f>HYPERLINK("https://klasma.github.io/Logging_1256/tillsynsmail/S 564-2024 tillsynsbegäran mail.docx", "S 564-2024")</f>
        <v/>
      </c>
    </row>
    <row r="773" ht="15" customHeight="1">
      <c r="A773" t="inlineStr">
        <is>
          <t>S 4925-2024</t>
        </is>
      </c>
      <c r="B773" t="inlineStr">
        <is>
          <t>samrådsanmälan</t>
        </is>
      </c>
      <c r="C773" t="inlineStr">
        <is>
          <t>Askåterföring</t>
        </is>
      </c>
      <c r="D773" s="1" t="n">
        <v>45625</v>
      </c>
      <c r="E773" s="1" t="n">
        <v>46312</v>
      </c>
      <c r="F773" t="inlineStr">
        <is>
          <t>SKÅNE LÄN</t>
        </is>
      </c>
      <c r="G773" t="inlineStr">
        <is>
          <t>HÄSSLEHOLM</t>
        </is>
      </c>
      <c r="I773" t="n">
        <v>15.7</v>
      </c>
      <c r="J773" t="n">
        <v>1</v>
      </c>
      <c r="K773" t="n">
        <v>0</v>
      </c>
      <c r="L773" t="n">
        <v>0</v>
      </c>
      <c r="M773" t="n">
        <v>0</v>
      </c>
      <c r="N773" t="n">
        <v>0</v>
      </c>
      <c r="O773" t="n">
        <v>0</v>
      </c>
      <c r="P773" t="n">
        <v>0</v>
      </c>
      <c r="Q773" t="n">
        <v>0</v>
      </c>
      <c r="R773" t="n">
        <v>0</v>
      </c>
      <c r="S773" t="n">
        <v>1</v>
      </c>
      <c r="T773" t="n">
        <v>1</v>
      </c>
      <c r="U773" t="n">
        <v>0</v>
      </c>
      <c r="V773" s="2" t="inlineStr">
        <is>
          <t>Röd glada</t>
        </is>
      </c>
      <c r="W773">
        <f>HYPERLINK("https://klasma.github.io/Logging_1293/artfynd/S 4925-2024 artfynd.xlsx", "S 4925-2024")</f>
        <v/>
      </c>
      <c r="X773">
        <f>HYPERLINK("https://klasma.github.io/Logging_1293/kartor/S 4925-2024 karta.png", "S 4925-2024")</f>
        <v/>
      </c>
      <c r="Y773">
        <f>HYPERLINK("https://klasma.github.io/Logging_1293/kartor_geotiff/S 4925-2024 georefererad karta.tif", "S 4925-2024")</f>
        <v/>
      </c>
      <c r="AA773">
        <f>HYPERLINK("https://klasma.github.io/Logging_1293/klagomål/S 4925-2024 FSC-klagomål.docx", "S 4925-2024")</f>
        <v/>
      </c>
      <c r="AB773">
        <f>HYPERLINK("https://klasma.github.io/Logging_1293/klagomålsmail/S 4925-2024 FSC-klagomål mail.docx", "S 4925-2024")</f>
        <v/>
      </c>
      <c r="AC773">
        <f>HYPERLINK("https://klasma.github.io/Logging_1293/tillsyn/S 4925-2024 tillsynsbegäran.docx", "S 4925-2024")</f>
        <v/>
      </c>
      <c r="AD773">
        <f>HYPERLINK("https://klasma.github.io/Logging_1293/tillsynsmail/S 4925-2024 tillsynsbegäran mail.docx", "S 4925-2024")</f>
        <v/>
      </c>
      <c r="AE773">
        <f>HYPERLINK("https://klasma.github.io/Logging_1293/fåglar/S 4925-2024 prioriterade fågelarter.docx", "S 4925-2024")</f>
        <v/>
      </c>
    </row>
    <row r="774" ht="15" customHeight="1">
      <c r="A774" t="inlineStr">
        <is>
          <t>S 1528-2023</t>
        </is>
      </c>
      <c r="B774" t="inlineStr">
        <is>
          <t>samrådsanmälan</t>
        </is>
      </c>
      <c r="C774" t="inlineStr">
        <is>
          <t>Askåterföring</t>
        </is>
      </c>
      <c r="D774" s="1" t="n">
        <v>45055</v>
      </c>
      <c r="E774" s="1" t="n">
        <v>46312</v>
      </c>
      <c r="F774" t="inlineStr">
        <is>
          <t>SKÅNE LÄN</t>
        </is>
      </c>
      <c r="G774" t="inlineStr">
        <is>
          <t>BÅSTAD</t>
        </is>
      </c>
      <c r="I774" t="n">
        <v>2.1</v>
      </c>
      <c r="J774" t="n">
        <v>0</v>
      </c>
      <c r="K774" t="n">
        <v>1</v>
      </c>
      <c r="L774" t="n">
        <v>0</v>
      </c>
      <c r="M774" t="n">
        <v>0</v>
      </c>
      <c r="N774" t="n">
        <v>0</v>
      </c>
      <c r="O774" t="n">
        <v>0</v>
      </c>
      <c r="P774" t="n">
        <v>0</v>
      </c>
      <c r="Q774" t="n">
        <v>0</v>
      </c>
      <c r="R774" t="n">
        <v>0</v>
      </c>
      <c r="S774" t="n">
        <v>1</v>
      </c>
      <c r="T774" t="n">
        <v>1</v>
      </c>
      <c r="U774" t="n">
        <v>0</v>
      </c>
      <c r="V774" s="2" t="inlineStr">
        <is>
          <t>Skogshakmossa</t>
        </is>
      </c>
      <c r="W774">
        <f>HYPERLINK("https://klasma.github.io/Logging_1278/artfynd/S 1528-2023 artfynd.xlsx", "S 1528-2023")</f>
        <v/>
      </c>
      <c r="X774">
        <f>HYPERLINK("https://klasma.github.io/Logging_1278/kartor/S 1528-2023 karta.png", "S 1528-2023")</f>
        <v/>
      </c>
      <c r="Y774">
        <f>HYPERLINK("https://klasma.github.io/Logging_1278/kartor_geotiff/S 1528-2023 georefererad karta.tif", "S 1528-2023")</f>
        <v/>
      </c>
      <c r="AA774">
        <f>HYPERLINK("https://klasma.github.io/Logging_1278/klagomål/S 1528-2023 FSC-klagomål.docx", "S 1528-2023")</f>
        <v/>
      </c>
      <c r="AB774">
        <f>HYPERLINK("https://klasma.github.io/Logging_1278/klagomålsmail/S 1528-2023 FSC-klagomål mail.docx", "S 1528-2023")</f>
        <v/>
      </c>
      <c r="AC774">
        <f>HYPERLINK("https://klasma.github.io/Logging_1278/tillsyn/S 1528-2023 tillsynsbegäran.docx", "S 1528-2023")</f>
        <v/>
      </c>
      <c r="AD774">
        <f>HYPERLINK("https://klasma.github.io/Logging_1278/tillsynsmail/S 1528-2023 tillsynsbegäran mail.docx", "S 1528-2023")</f>
        <v/>
      </c>
    </row>
    <row r="775" ht="15" customHeight="1">
      <c r="A775" t="inlineStr">
        <is>
          <t>S 3610-2024</t>
        </is>
      </c>
      <c r="B775" t="inlineStr">
        <is>
          <t>samrådsanmälan</t>
        </is>
      </c>
      <c r="C775" t="inlineStr">
        <is>
          <t>Askåterföring</t>
        </is>
      </c>
      <c r="D775" s="1" t="n">
        <v>45547</v>
      </c>
      <c r="E775" s="1" t="n">
        <v>46312</v>
      </c>
      <c r="F775" t="inlineStr">
        <is>
          <t>SKÅNE LÄN</t>
        </is>
      </c>
      <c r="G775" t="inlineStr">
        <is>
          <t>ÖSTRA GÖINGE</t>
        </is>
      </c>
      <c r="I775" t="n">
        <v>47</v>
      </c>
      <c r="J775" t="n">
        <v>0</v>
      </c>
      <c r="K775" t="n">
        <v>0</v>
      </c>
      <c r="L775" t="n">
        <v>0</v>
      </c>
      <c r="M775" t="n">
        <v>0</v>
      </c>
      <c r="N775" t="n">
        <v>1</v>
      </c>
      <c r="O775" t="n">
        <v>0</v>
      </c>
      <c r="P775" t="n">
        <v>0</v>
      </c>
      <c r="Q775" t="n">
        <v>1</v>
      </c>
      <c r="R775" t="n">
        <v>1</v>
      </c>
      <c r="S775" t="n">
        <v>1</v>
      </c>
      <c r="T775" t="n">
        <v>5</v>
      </c>
      <c r="U775" t="n">
        <v>0</v>
      </c>
      <c r="V775" s="2" t="inlineStr">
        <is>
          <t>Ask</t>
        </is>
      </c>
      <c r="W775">
        <f>HYPERLINK("https://klasma.github.io/Logging_1256/artfynd/S 3610-2024 artfynd.xlsx", "S 3610-2024")</f>
        <v/>
      </c>
      <c r="X775">
        <f>HYPERLINK("https://klasma.github.io/Logging_1256/kartor/S 3610-2024 karta.png", "S 3610-2024")</f>
        <v/>
      </c>
      <c r="Y775">
        <f>HYPERLINK("https://klasma.github.io/Logging_1256/kartor_geotiff/S 3610-2024 georefererad karta.tif", "S 3610-2024")</f>
        <v/>
      </c>
      <c r="AA775">
        <f>HYPERLINK("https://klasma.github.io/Logging_1256/klagomål/S 3610-2024 FSC-klagomål.docx", "S 3610-2024")</f>
        <v/>
      </c>
      <c r="AB775">
        <f>HYPERLINK("https://klasma.github.io/Logging_1256/klagomålsmail/S 3610-2024 FSC-klagomål mail.docx", "S 3610-2024")</f>
        <v/>
      </c>
      <c r="AC775">
        <f>HYPERLINK("https://klasma.github.io/Logging_1256/tillsyn/S 3610-2024 tillsynsbegäran.docx", "S 3610-2024")</f>
        <v/>
      </c>
      <c r="AD775">
        <f>HYPERLINK("https://klasma.github.io/Logging_1256/tillsynsmail/S 3610-2024 tillsynsbegäran mail.docx", "S 3610-2024")</f>
        <v/>
      </c>
    </row>
    <row r="776" ht="15" customHeight="1">
      <c r="A776" t="inlineStr">
        <is>
          <t>S 300-2023</t>
        </is>
      </c>
      <c r="B776" t="inlineStr">
        <is>
          <t>samrådsanmälan</t>
        </is>
      </c>
      <c r="C776" t="inlineStr">
        <is>
          <t>Askåterföring</t>
        </is>
      </c>
      <c r="D776" s="1" t="n">
        <v>44953</v>
      </c>
      <c r="E776" s="1" t="n">
        <v>46312</v>
      </c>
      <c r="F776" t="inlineStr">
        <is>
          <t>SKÅNE LÄN</t>
        </is>
      </c>
      <c r="G776" t="inlineStr">
        <is>
          <t>SIMRISHAMN</t>
        </is>
      </c>
      <c r="I776" t="n">
        <v>19.9</v>
      </c>
      <c r="J776" t="n">
        <v>1</v>
      </c>
      <c r="K776" t="n">
        <v>0</v>
      </c>
      <c r="L776" t="n">
        <v>0</v>
      </c>
      <c r="M776" t="n">
        <v>0</v>
      </c>
      <c r="N776" t="n">
        <v>0</v>
      </c>
      <c r="O776" t="n">
        <v>0</v>
      </c>
      <c r="P776" t="n">
        <v>0</v>
      </c>
      <c r="Q776" t="n">
        <v>0</v>
      </c>
      <c r="R776" t="n">
        <v>0</v>
      </c>
      <c r="S776" t="n">
        <v>1</v>
      </c>
      <c r="T776" t="n">
        <v>2</v>
      </c>
      <c r="U776" t="n">
        <v>0</v>
      </c>
      <c r="V776" s="2" t="inlineStr">
        <is>
          <t>Hasselmus</t>
        </is>
      </c>
      <c r="W776">
        <f>HYPERLINK("https://klasma.github.io/Logging_1291/artfynd/S 300-2023 artfynd.xlsx", "S 300-2023")</f>
        <v/>
      </c>
      <c r="X776">
        <f>HYPERLINK("https://klasma.github.io/Logging_1291/kartor/S 300-2023 karta.png", "S 300-2023")</f>
        <v/>
      </c>
      <c r="Y776">
        <f>HYPERLINK("https://klasma.github.io/Logging_1291/kartor_geotiff/S 300-2023 georefererad karta.tif", "S 300-2023")</f>
        <v/>
      </c>
      <c r="AA776">
        <f>HYPERLINK("https://klasma.github.io/Logging_1291/klagomål/S 300-2023 FSC-klagomål.docx", "S 300-2023")</f>
        <v/>
      </c>
      <c r="AB776">
        <f>HYPERLINK("https://klasma.github.io/Logging_1291/klagomålsmail/S 300-2023 FSC-klagomål mail.docx", "S 300-2023")</f>
        <v/>
      </c>
      <c r="AC776">
        <f>HYPERLINK("https://klasma.github.io/Logging_1291/tillsyn/S 300-2023 tillsynsbegäran.docx", "S 300-2023")</f>
        <v/>
      </c>
      <c r="AD776">
        <f>HYPERLINK("https://klasma.github.io/Logging_1291/tillsynsmail/S 300-2023 tillsynsbegäran mail.docx", "S 300-2023")</f>
        <v/>
      </c>
    </row>
    <row r="777" ht="15" customHeight="1">
      <c r="A777" t="inlineStr">
        <is>
          <t>S 4679-2022</t>
        </is>
      </c>
      <c r="B777" t="inlineStr">
        <is>
          <t>samrådsanmälan</t>
        </is>
      </c>
      <c r="C777" t="inlineStr">
        <is>
          <t>Askåterföring</t>
        </is>
      </c>
      <c r="D777" s="1" t="n">
        <v>44796</v>
      </c>
      <c r="E777" s="1" t="n">
        <v>46312</v>
      </c>
      <c r="F777" t="inlineStr">
        <is>
          <t>SKÅNE LÄN</t>
        </is>
      </c>
      <c r="G777" t="inlineStr">
        <is>
          <t>BROMÖLLA</t>
        </is>
      </c>
      <c r="I777" t="n">
        <v>79.90000000000001</v>
      </c>
      <c r="J777" t="n">
        <v>0</v>
      </c>
      <c r="K777" t="n">
        <v>0</v>
      </c>
      <c r="L777" t="n">
        <v>1</v>
      </c>
      <c r="M777" t="n">
        <v>0</v>
      </c>
      <c r="N777" t="n">
        <v>0</v>
      </c>
      <c r="O777" t="n">
        <v>0</v>
      </c>
      <c r="P777" t="n">
        <v>0</v>
      </c>
      <c r="Q777" t="n">
        <v>1</v>
      </c>
      <c r="R777" t="n">
        <v>0</v>
      </c>
      <c r="S777" t="n">
        <v>1</v>
      </c>
      <c r="T777" t="n">
        <v>1</v>
      </c>
      <c r="U777" t="n">
        <v>0</v>
      </c>
      <c r="V777" s="2" t="inlineStr">
        <is>
          <t>Lamellsnäcka</t>
        </is>
      </c>
      <c r="W777">
        <f>HYPERLINK("https://klasma.github.io/Logging_1272/artfynd/S 4679-2022 artfynd.xlsx", "S 4679-2022")</f>
        <v/>
      </c>
      <c r="X777">
        <f>HYPERLINK("https://klasma.github.io/Logging_1272/kartor/S 4679-2022 karta.png", "S 4679-2022")</f>
        <v/>
      </c>
      <c r="Y777">
        <f>HYPERLINK("https://klasma.github.io/Logging_1272/kartor_geotiff/S 4679-2022 georefererad karta.tif", "S 4679-2022")</f>
        <v/>
      </c>
      <c r="AA777">
        <f>HYPERLINK("https://klasma.github.io/Logging_1272/klagomål/S 4679-2022 FSC-klagomål.docx", "S 4679-2022")</f>
        <v/>
      </c>
      <c r="AB777">
        <f>HYPERLINK("https://klasma.github.io/Logging_1272/klagomålsmail/S 4679-2022 FSC-klagomål mail.docx", "S 4679-2022")</f>
        <v/>
      </c>
      <c r="AC777">
        <f>HYPERLINK("https://klasma.github.io/Logging_1272/tillsyn/S 4679-2022 tillsynsbegäran.docx", "S 4679-2022")</f>
        <v/>
      </c>
      <c r="AD777">
        <f>HYPERLINK("https://klasma.github.io/Logging_1272/tillsynsmail/S 4679-2022 tillsynsbegäran mail.docx", "S 4679-2022")</f>
        <v/>
      </c>
    </row>
    <row r="778" ht="15" customHeight="1">
      <c r="A778" t="inlineStr">
        <is>
          <t>S 3685-2023</t>
        </is>
      </c>
      <c r="B778" t="inlineStr">
        <is>
          <t>samrådsanmälan</t>
        </is>
      </c>
      <c r="C778" t="inlineStr">
        <is>
          <t>Askåterföring</t>
        </is>
      </c>
      <c r="D778" s="1" t="n">
        <v>45218</v>
      </c>
      <c r="E778" s="1" t="n">
        <v>46312</v>
      </c>
      <c r="F778" t="inlineStr">
        <is>
          <t>SKÅNE LÄN</t>
        </is>
      </c>
      <c r="G778" t="inlineStr">
        <is>
          <t>SVALÖV</t>
        </is>
      </c>
      <c r="I778" t="n">
        <v>40.1</v>
      </c>
      <c r="J778" t="n">
        <v>0</v>
      </c>
      <c r="K778" t="n">
        <v>1</v>
      </c>
      <c r="L778" t="n">
        <v>0</v>
      </c>
      <c r="M778" t="n">
        <v>0</v>
      </c>
      <c r="N778" t="n">
        <v>0</v>
      </c>
      <c r="O778" t="n">
        <v>0</v>
      </c>
      <c r="P778" t="n">
        <v>0</v>
      </c>
      <c r="Q778" t="n">
        <v>0</v>
      </c>
      <c r="R778" t="n">
        <v>0</v>
      </c>
      <c r="S778" t="n">
        <v>1</v>
      </c>
      <c r="T778" t="n">
        <v>1</v>
      </c>
      <c r="U778" t="n">
        <v>0</v>
      </c>
      <c r="V778" s="2" t="inlineStr">
        <is>
          <t>Noshornsoxe</t>
        </is>
      </c>
      <c r="W778">
        <f>HYPERLINK("https://klasma.github.io/Logging_1214/artfynd/S 3685-2023 artfynd.xlsx", "S 3685-2023")</f>
        <v/>
      </c>
      <c r="X778">
        <f>HYPERLINK("https://klasma.github.io/Logging_1214/kartor/S 3685-2023 karta.png", "S 3685-2023")</f>
        <v/>
      </c>
      <c r="Y778">
        <f>HYPERLINK("https://klasma.github.io/Logging_1214/kartor_geotiff/S 3685-2023 georefererad karta.tif", "S 3685-2023")</f>
        <v/>
      </c>
      <c r="AA778">
        <f>HYPERLINK("https://klasma.github.io/Logging_1214/klagomål/S 3685-2023 FSC-klagomål.docx", "S 3685-2023")</f>
        <v/>
      </c>
      <c r="AB778">
        <f>HYPERLINK("https://klasma.github.io/Logging_1214/klagomålsmail/S 3685-2023 FSC-klagomål mail.docx", "S 3685-2023")</f>
        <v/>
      </c>
      <c r="AC778">
        <f>HYPERLINK("https://klasma.github.io/Logging_1214/tillsyn/S 3685-2023 tillsynsbegäran.docx", "S 3685-2023")</f>
        <v/>
      </c>
      <c r="AD778">
        <f>HYPERLINK("https://klasma.github.io/Logging_1214/tillsynsmail/S 3685-2023 tillsynsbegäran mail.docx", "S 3685-2023")</f>
        <v/>
      </c>
    </row>
    <row r="779" ht="15" customHeight="1">
      <c r="A779" t="inlineStr">
        <is>
          <t>S 4251-2024</t>
        </is>
      </c>
      <c r="B779" t="inlineStr">
        <is>
          <t>samrådsanmälan</t>
        </is>
      </c>
      <c r="C779" t="inlineStr">
        <is>
          <t>Askåterföring</t>
        </is>
      </c>
      <c r="D779" s="1" t="n">
        <v>45582</v>
      </c>
      <c r="E779" s="1" t="n">
        <v>46312</v>
      </c>
      <c r="F779" t="inlineStr">
        <is>
          <t>SKÅNE LÄN</t>
        </is>
      </c>
      <c r="G779" t="inlineStr">
        <is>
          <t>ÖRKELLJUNGA</t>
        </is>
      </c>
      <c r="I779" t="n">
        <v>25.4</v>
      </c>
      <c r="J779" t="n">
        <v>1</v>
      </c>
      <c r="K779" t="n">
        <v>0</v>
      </c>
      <c r="L779" t="n">
        <v>0</v>
      </c>
      <c r="M779" t="n">
        <v>0</v>
      </c>
      <c r="N779" t="n">
        <v>0</v>
      </c>
      <c r="O779" t="n">
        <v>0</v>
      </c>
      <c r="P779" t="n">
        <v>0</v>
      </c>
      <c r="Q779" t="n">
        <v>0</v>
      </c>
      <c r="R779" t="n">
        <v>0</v>
      </c>
      <c r="S779" t="n">
        <v>1</v>
      </c>
      <c r="T779" t="n">
        <v>1</v>
      </c>
      <c r="U779" t="n">
        <v>1</v>
      </c>
      <c r="V779" s="2" t="inlineStr">
        <is>
          <t>Svartvit flugsnappare</t>
        </is>
      </c>
      <c r="W779">
        <f>HYPERLINK("https://klasma.github.io/Logging_1257/artfynd/S 4251-2024 artfynd.xlsx", "S 4251-2024")</f>
        <v/>
      </c>
      <c r="X779">
        <f>HYPERLINK("https://klasma.github.io/Logging_1257/kartor/S 4251-2024 karta.png", "S 4251-2024")</f>
        <v/>
      </c>
      <c r="Y779">
        <f>HYPERLINK("https://klasma.github.io/Logging_1257/kartor_geotiff/S 4251-2024 georefererad karta.tif", "S 4251-2024")</f>
        <v/>
      </c>
      <c r="AA779">
        <f>HYPERLINK("https://klasma.github.io/Logging_1257/klagomål/S 4251-2024 FSC-klagomål.docx", "S 4251-2024")</f>
        <v/>
      </c>
      <c r="AB779">
        <f>HYPERLINK("https://klasma.github.io/Logging_1257/klagomålsmail/S 4251-2024 FSC-klagomål mail.docx", "S 4251-2024")</f>
        <v/>
      </c>
      <c r="AC779">
        <f>HYPERLINK("https://klasma.github.io/Logging_1257/tillsyn/S 4251-2024 tillsynsbegäran.docx", "S 4251-2024")</f>
        <v/>
      </c>
      <c r="AD779">
        <f>HYPERLINK("https://klasma.github.io/Logging_1257/tillsynsmail/S 4251-2024 tillsynsbegäran mail.docx", "S 4251-2024")</f>
        <v/>
      </c>
    </row>
    <row r="780" ht="15" customHeight="1">
      <c r="A780" t="inlineStr">
        <is>
          <t>S 1268-2023</t>
        </is>
      </c>
      <c r="B780" t="inlineStr">
        <is>
          <t>samrådsanmälan</t>
        </is>
      </c>
      <c r="C780" t="inlineStr">
        <is>
          <t>Askåterföring</t>
        </is>
      </c>
      <c r="D780" s="1" t="n">
        <v>45029</v>
      </c>
      <c r="E780" s="1" t="n">
        <v>46312</v>
      </c>
      <c r="F780" t="inlineStr">
        <is>
          <t>SKÅNE LÄN</t>
        </is>
      </c>
      <c r="G780" t="inlineStr">
        <is>
          <t>PERSTORP</t>
        </is>
      </c>
      <c r="I780" t="n">
        <v>21.7</v>
      </c>
      <c r="J780" t="n">
        <v>1</v>
      </c>
      <c r="K780" t="n">
        <v>0</v>
      </c>
      <c r="L780" t="n">
        <v>1</v>
      </c>
      <c r="M780" t="n">
        <v>0</v>
      </c>
      <c r="N780" t="n">
        <v>0</v>
      </c>
      <c r="O780" t="n">
        <v>0</v>
      </c>
      <c r="P780" t="n">
        <v>0</v>
      </c>
      <c r="Q780" t="n">
        <v>1</v>
      </c>
      <c r="R780" t="n">
        <v>0</v>
      </c>
      <c r="S780" t="n">
        <v>1</v>
      </c>
      <c r="T780" t="n">
        <v>1</v>
      </c>
      <c r="U780" t="n">
        <v>1</v>
      </c>
      <c r="V780" s="2" t="inlineStr">
        <is>
          <t>Enkelbeckasin</t>
        </is>
      </c>
      <c r="W780">
        <f>HYPERLINK("https://klasma.github.io/Logging_1275/artfynd/S 1268-2023 artfynd.xlsx", "S 1268-2023")</f>
        <v/>
      </c>
      <c r="X780">
        <f>HYPERLINK("https://klasma.github.io/Logging_1275/kartor/S 1268-2023 karta.png", "S 1268-2023")</f>
        <v/>
      </c>
      <c r="Y780">
        <f>HYPERLINK("https://klasma.github.io/Logging_1275/kartor_geotiff/S 1268-2023 georefererad karta.tif", "S 1268-2023")</f>
        <v/>
      </c>
      <c r="AA780">
        <f>HYPERLINK("https://klasma.github.io/Logging_1275/klagomål/S 1268-2023 FSC-klagomål.docx", "S 1268-2023")</f>
        <v/>
      </c>
      <c r="AB780">
        <f>HYPERLINK("https://klasma.github.io/Logging_1275/klagomålsmail/S 1268-2023 FSC-klagomål mail.docx", "S 1268-2023")</f>
        <v/>
      </c>
      <c r="AC780">
        <f>HYPERLINK("https://klasma.github.io/Logging_1275/tillsyn/S 1268-2023 tillsynsbegäran.docx", "S 1268-2023")</f>
        <v/>
      </c>
      <c r="AD780">
        <f>HYPERLINK("https://klasma.github.io/Logging_1275/tillsynsmail/S 1268-2023 tillsynsbegäran mail.docx", "S 1268-2023")</f>
        <v/>
      </c>
      <c r="AE780">
        <f>HYPERLINK("https://klasma.github.io/Logging_1275/fåglar/S 1268-2023 prioriterade fågelarter.docx", "S 1268-2023")</f>
        <v/>
      </c>
    </row>
    <row r="781" ht="15" customHeight="1">
      <c r="A781" t="inlineStr">
        <is>
          <t>S 3606-2024</t>
        </is>
      </c>
      <c r="B781" t="inlineStr">
        <is>
          <t>samrådsanmälan</t>
        </is>
      </c>
      <c r="C781" t="inlineStr">
        <is>
          <t>Annan skogsbruksåtgärd</t>
        </is>
      </c>
      <c r="D781" s="1" t="n">
        <v>45547</v>
      </c>
      <c r="E781" s="1" t="n">
        <v>46312</v>
      </c>
      <c r="F781" t="inlineStr">
        <is>
          <t>SKÅNE LÄN</t>
        </is>
      </c>
      <c r="G781" t="inlineStr">
        <is>
          <t>KRISTIANSTAD</t>
        </is>
      </c>
      <c r="I781" t="n">
        <v>12.8</v>
      </c>
      <c r="J781" t="n">
        <v>1</v>
      </c>
      <c r="K781" t="n">
        <v>1</v>
      </c>
      <c r="L781" t="n">
        <v>0</v>
      </c>
      <c r="M781" t="n">
        <v>0</v>
      </c>
      <c r="N781" t="n">
        <v>0</v>
      </c>
      <c r="O781" t="n">
        <v>0</v>
      </c>
      <c r="P781" t="n">
        <v>0</v>
      </c>
      <c r="Q781" t="n">
        <v>0</v>
      </c>
      <c r="R781" t="n">
        <v>0</v>
      </c>
      <c r="S781" t="n">
        <v>1</v>
      </c>
      <c r="T781" t="n">
        <v>1</v>
      </c>
      <c r="U781" t="n">
        <v>1</v>
      </c>
      <c r="V781" s="2" t="inlineStr">
        <is>
          <t>Skogsknipprot</t>
        </is>
      </c>
      <c r="W781">
        <f>HYPERLINK("https://klasma.github.io/Logging_1290/artfynd/S 3606-2024 artfynd.xlsx", "S 3606-2024")</f>
        <v/>
      </c>
      <c r="X781">
        <f>HYPERLINK("https://klasma.github.io/Logging_1290/kartor/S 3606-2024 karta.png", "S 3606-2024")</f>
        <v/>
      </c>
      <c r="Y781">
        <f>HYPERLINK("https://klasma.github.io/Logging_1290/kartor_geotiff/S 3606-2024 georefererad karta.tif", "S 3606-2024")</f>
        <v/>
      </c>
      <c r="AA781">
        <f>HYPERLINK("https://klasma.github.io/Logging_1290/klagomål/S 3606-2024 FSC-klagomål.docx", "S 3606-2024")</f>
        <v/>
      </c>
      <c r="AB781">
        <f>HYPERLINK("https://klasma.github.io/Logging_1290/klagomålsmail/S 3606-2024 FSC-klagomål mail.docx", "S 3606-2024")</f>
        <v/>
      </c>
      <c r="AC781">
        <f>HYPERLINK("https://klasma.github.io/Logging_1290/tillsyn/S 3606-2024 tillsynsbegäran.docx", "S 3606-2024")</f>
        <v/>
      </c>
      <c r="AD781">
        <f>HYPERLINK("https://klasma.github.io/Logging_1290/tillsynsmail/S 3606-2024 tillsynsbegäran mail.docx", "S 3606-2024")</f>
        <v/>
      </c>
    </row>
    <row r="782" ht="15" customHeight="1">
      <c r="A782" t="inlineStr">
        <is>
          <t>S 2025-2022</t>
        </is>
      </c>
      <c r="B782" t="inlineStr">
        <is>
          <t>samrådsanmälan</t>
        </is>
      </c>
      <c r="C782" t="inlineStr">
        <is>
          <t>Askåterföring</t>
        </is>
      </c>
      <c r="D782" s="1" t="n">
        <v>44665</v>
      </c>
      <c r="E782" s="1" t="n">
        <v>46312</v>
      </c>
      <c r="F782" t="inlineStr">
        <is>
          <t>SKÅNE LÄN</t>
        </is>
      </c>
      <c r="G782" t="inlineStr">
        <is>
          <t>KLIPPAN</t>
        </is>
      </c>
      <c r="I782" t="n">
        <v>13.5</v>
      </c>
      <c r="J782" t="n">
        <v>0</v>
      </c>
      <c r="K782" t="n">
        <v>1</v>
      </c>
      <c r="L782" t="n">
        <v>0</v>
      </c>
      <c r="M782" t="n">
        <v>0</v>
      </c>
      <c r="N782" t="n">
        <v>0</v>
      </c>
      <c r="O782" t="n">
        <v>0</v>
      </c>
      <c r="P782" t="n">
        <v>0</v>
      </c>
      <c r="Q782" t="n">
        <v>0</v>
      </c>
      <c r="R782" t="n">
        <v>0</v>
      </c>
      <c r="S782" t="n">
        <v>1</v>
      </c>
      <c r="T782" t="n">
        <v>1</v>
      </c>
      <c r="U782" t="n">
        <v>1</v>
      </c>
      <c r="V782" s="2" t="inlineStr">
        <is>
          <t>Tibast</t>
        </is>
      </c>
      <c r="W782">
        <f>HYPERLINK("https://klasma.github.io/Logging_1276/artfynd/S 2025-2022 artfynd.xlsx", "S 2025-2022")</f>
        <v/>
      </c>
      <c r="X782">
        <f>HYPERLINK("https://klasma.github.io/Logging_1276/kartor/S 2025-2022 karta.png", "S 2025-2022")</f>
        <v/>
      </c>
      <c r="Y782">
        <f>HYPERLINK("https://klasma.github.io/Logging_1276/kartor_geotiff/S 2025-2022 georefererad karta.tif", "S 2025-2022")</f>
        <v/>
      </c>
      <c r="AA782">
        <f>HYPERLINK("https://klasma.github.io/Logging_1276/klagomål/S 2025-2022 FSC-klagomål.docx", "S 2025-2022")</f>
        <v/>
      </c>
      <c r="AB782">
        <f>HYPERLINK("https://klasma.github.io/Logging_1276/klagomålsmail/S 2025-2022 FSC-klagomål mail.docx", "S 2025-2022")</f>
        <v/>
      </c>
      <c r="AC782">
        <f>HYPERLINK("https://klasma.github.io/Logging_1276/tillsyn/S 2025-2022 tillsynsbegäran.docx", "S 2025-2022")</f>
        <v/>
      </c>
      <c r="AD782">
        <f>HYPERLINK("https://klasma.github.io/Logging_1276/tillsynsmail/S 2025-2022 tillsynsbegäran mail.docx", "S 2025-2022")</f>
        <v/>
      </c>
    </row>
    <row r="783" ht="15" customHeight="1">
      <c r="A783" t="inlineStr">
        <is>
          <t>S 643-2023</t>
        </is>
      </c>
      <c r="B783" t="inlineStr">
        <is>
          <t>samrådsanmälan</t>
        </is>
      </c>
      <c r="C783" t="inlineStr">
        <is>
          <t>Askåterföring</t>
        </is>
      </c>
      <c r="D783" s="1" t="n">
        <v>44973</v>
      </c>
      <c r="E783" s="1" t="n">
        <v>46312</v>
      </c>
      <c r="F783" t="inlineStr">
        <is>
          <t>SKÅNE LÄN</t>
        </is>
      </c>
      <c r="G783" t="inlineStr">
        <is>
          <t>ÖSTRA GÖINGE</t>
        </is>
      </c>
      <c r="I783" t="n">
        <v>8.1</v>
      </c>
      <c r="J783" t="n">
        <v>0</v>
      </c>
      <c r="K783" t="n">
        <v>0</v>
      </c>
      <c r="L783" t="n">
        <v>1</v>
      </c>
      <c r="M783" t="n">
        <v>0</v>
      </c>
      <c r="N783" t="n">
        <v>0</v>
      </c>
      <c r="O783" t="n">
        <v>0</v>
      </c>
      <c r="P783" t="n">
        <v>0</v>
      </c>
      <c r="Q783" t="n">
        <v>1</v>
      </c>
      <c r="R783" t="n">
        <v>0</v>
      </c>
      <c r="S783" t="n">
        <v>1</v>
      </c>
      <c r="T783" t="n">
        <v>1</v>
      </c>
      <c r="U783" t="n">
        <v>0</v>
      </c>
      <c r="V783" s="2" t="inlineStr">
        <is>
          <t>Gullpudra</t>
        </is>
      </c>
      <c r="W783">
        <f>HYPERLINK("https://klasma.github.io/Logging_1256/artfynd/S 643-2023 artfynd.xlsx", "S 643-2023")</f>
        <v/>
      </c>
      <c r="X783">
        <f>HYPERLINK("https://klasma.github.io/Logging_1256/kartor/S 643-2023 karta.png", "S 643-2023")</f>
        <v/>
      </c>
      <c r="Y783">
        <f>HYPERLINK("https://klasma.github.io/Logging_1256/kartor_geotiff/S 643-2023 georefererad karta.tif", "S 643-2023")</f>
        <v/>
      </c>
      <c r="AA783">
        <f>HYPERLINK("https://klasma.github.io/Logging_1256/klagomål/S 643-2023 FSC-klagomål.docx", "S 643-2023")</f>
        <v/>
      </c>
      <c r="AB783">
        <f>HYPERLINK("https://klasma.github.io/Logging_1256/klagomålsmail/S 643-2023 FSC-klagomål mail.docx", "S 643-2023")</f>
        <v/>
      </c>
      <c r="AC783">
        <f>HYPERLINK("https://klasma.github.io/Logging_1256/tillsyn/S 643-2023 tillsynsbegäran.docx", "S 643-2023")</f>
        <v/>
      </c>
      <c r="AD783">
        <f>HYPERLINK("https://klasma.github.io/Logging_1256/tillsynsmail/S 643-2023 tillsynsbegäran mail.docx", "S 643-2023")</f>
        <v/>
      </c>
    </row>
    <row r="784" ht="15" customHeight="1">
      <c r="A784" t="inlineStr">
        <is>
          <t>S 3887-2023</t>
        </is>
      </c>
      <c r="B784" t="inlineStr">
        <is>
          <t>samrådsanmälan</t>
        </is>
      </c>
      <c r="C784" t="inlineStr">
        <is>
          <t>Askåterföring</t>
        </is>
      </c>
      <c r="D784" s="1" t="n">
        <v>45230</v>
      </c>
      <c r="E784" s="1" t="n">
        <v>46312</v>
      </c>
      <c r="F784" t="inlineStr">
        <is>
          <t>SKÅNE LÄN</t>
        </is>
      </c>
      <c r="G784" t="inlineStr">
        <is>
          <t>BROMÖLLA</t>
        </is>
      </c>
      <c r="I784" t="n">
        <v>9.199999999999999</v>
      </c>
      <c r="J784" t="n">
        <v>0</v>
      </c>
      <c r="K784" t="n">
        <v>1</v>
      </c>
      <c r="L784" t="n">
        <v>0</v>
      </c>
      <c r="M784" t="n">
        <v>0</v>
      </c>
      <c r="N784" t="n">
        <v>0</v>
      </c>
      <c r="O784" t="n">
        <v>0</v>
      </c>
      <c r="P784" t="n">
        <v>0</v>
      </c>
      <c r="Q784" t="n">
        <v>0</v>
      </c>
      <c r="R784" t="n">
        <v>0</v>
      </c>
      <c r="S784" t="n">
        <v>1</v>
      </c>
      <c r="T784" t="n">
        <v>1</v>
      </c>
      <c r="U784" t="n">
        <v>0</v>
      </c>
      <c r="V784" s="2" t="inlineStr">
        <is>
          <t>Grå skärelav</t>
        </is>
      </c>
      <c r="W784">
        <f>HYPERLINK("https://klasma.github.io/Logging_1272/artfynd/S 3887-2023 artfynd.xlsx", "S 3887-2023")</f>
        <v/>
      </c>
      <c r="X784">
        <f>HYPERLINK("https://klasma.github.io/Logging_1272/kartor/S 3887-2023 karta.png", "S 3887-2023")</f>
        <v/>
      </c>
      <c r="Y784">
        <f>HYPERLINK("https://klasma.github.io/Logging_1272/kartor_geotiff/S 3887-2023 georefererad karta.tif", "S 3887-2023")</f>
        <v/>
      </c>
      <c r="AA784">
        <f>HYPERLINK("https://klasma.github.io/Logging_1272/klagomål/S 3887-2023 FSC-klagomål.docx", "S 3887-2023")</f>
        <v/>
      </c>
      <c r="AB784">
        <f>HYPERLINK("https://klasma.github.io/Logging_1272/klagomålsmail/S 3887-2023 FSC-klagomål mail.docx", "S 3887-2023")</f>
        <v/>
      </c>
      <c r="AC784">
        <f>HYPERLINK("https://klasma.github.io/Logging_1272/tillsyn/S 3887-2023 tillsynsbegäran.docx", "S 3887-2023")</f>
        <v/>
      </c>
      <c r="AD784">
        <f>HYPERLINK("https://klasma.github.io/Logging_1272/tillsynsmail/S 3887-2023 tillsynsbegäran mail.docx", "S 3887-2023")</f>
        <v/>
      </c>
    </row>
    <row r="785" ht="15" customHeight="1">
      <c r="A785" t="inlineStr">
        <is>
          <t>S 4118-2024</t>
        </is>
      </c>
      <c r="B785" t="inlineStr">
        <is>
          <t>samrådsanmälan</t>
        </is>
      </c>
      <c r="C785" t="inlineStr">
        <is>
          <t>Askåterföring</t>
        </is>
      </c>
      <c r="D785" s="1" t="n">
        <v>45574</v>
      </c>
      <c r="E785" s="1" t="n">
        <v>46312</v>
      </c>
      <c r="F785" t="inlineStr">
        <is>
          <t>SKÅNE LÄN</t>
        </is>
      </c>
      <c r="G785" t="inlineStr">
        <is>
          <t>KRISTIANSTAD</t>
        </is>
      </c>
      <c r="I785" t="n">
        <v>96.09999999999999</v>
      </c>
      <c r="J785" t="n">
        <v>0</v>
      </c>
      <c r="K785" t="n">
        <v>0</v>
      </c>
      <c r="L785" t="n">
        <v>0</v>
      </c>
      <c r="M785" t="n">
        <v>1</v>
      </c>
      <c r="N785" t="n">
        <v>0</v>
      </c>
      <c r="O785" t="n">
        <v>0</v>
      </c>
      <c r="P785" t="n">
        <v>0</v>
      </c>
      <c r="Q785" t="n">
        <v>1</v>
      </c>
      <c r="R785" t="n">
        <v>1</v>
      </c>
      <c r="S785" t="n">
        <v>1</v>
      </c>
      <c r="T785" t="n">
        <v>2</v>
      </c>
      <c r="U785" t="n">
        <v>1</v>
      </c>
      <c r="V785" s="2" t="inlineStr">
        <is>
          <t>Småvänderot</t>
        </is>
      </c>
      <c r="W785">
        <f>HYPERLINK("https://klasma.github.io/Logging_1290/artfynd/S 4118-2024 artfynd.xlsx", "S 4118-2024")</f>
        <v/>
      </c>
      <c r="X785">
        <f>HYPERLINK("https://klasma.github.io/Logging_1290/kartor/S 4118-2024 karta.png", "S 4118-2024")</f>
        <v/>
      </c>
      <c r="Y785">
        <f>HYPERLINK("https://klasma.github.io/Logging_1290/kartor_geotiff/S 4118-2024 georefererad karta.tif", "S 4118-2024")</f>
        <v/>
      </c>
      <c r="AA785">
        <f>HYPERLINK("https://klasma.github.io/Logging_1290/klagomål/S 4118-2024 FSC-klagomål.docx", "S 4118-2024")</f>
        <v/>
      </c>
      <c r="AB785">
        <f>HYPERLINK("https://klasma.github.io/Logging_1290/klagomålsmail/S 4118-2024 FSC-klagomål mail.docx", "S 4118-2024")</f>
        <v/>
      </c>
      <c r="AC785">
        <f>HYPERLINK("https://klasma.github.io/Logging_1290/tillsyn/S 4118-2024 tillsynsbegäran.docx", "S 4118-2024")</f>
        <v/>
      </c>
      <c r="AD785">
        <f>HYPERLINK("https://klasma.github.io/Logging_1290/tillsynsmail/S 4118-2024 tillsynsbegäran mail.docx", "S 4118-2024")</f>
        <v/>
      </c>
    </row>
    <row r="786" ht="15" customHeight="1">
      <c r="A786" t="inlineStr">
        <is>
          <t>S 2338-2023</t>
        </is>
      </c>
      <c r="B786" t="inlineStr">
        <is>
          <t>samrådsanmälan</t>
        </is>
      </c>
      <c r="C786" t="inlineStr">
        <is>
          <t>Askåterföring</t>
        </is>
      </c>
      <c r="D786" s="1" t="n">
        <v>45106</v>
      </c>
      <c r="E786" s="1" t="n">
        <v>46312</v>
      </c>
      <c r="F786" t="inlineStr">
        <is>
          <t>SKÅNE LÄN</t>
        </is>
      </c>
      <c r="G786" t="inlineStr">
        <is>
          <t>BROMÖLLA</t>
        </is>
      </c>
      <c r="I786" t="n">
        <v>37.6</v>
      </c>
      <c r="J786" t="n">
        <v>0</v>
      </c>
      <c r="K786" t="n">
        <v>1</v>
      </c>
      <c r="L786" t="n">
        <v>0</v>
      </c>
      <c r="M786" t="n">
        <v>0</v>
      </c>
      <c r="N786" t="n">
        <v>0</v>
      </c>
      <c r="O786" t="n">
        <v>0</v>
      </c>
      <c r="P786" t="n">
        <v>0</v>
      </c>
      <c r="Q786" t="n">
        <v>0</v>
      </c>
      <c r="R786" t="n">
        <v>0</v>
      </c>
      <c r="S786" t="n">
        <v>1</v>
      </c>
      <c r="T786" t="n">
        <v>1</v>
      </c>
      <c r="U786" t="n">
        <v>0</v>
      </c>
      <c r="V786" s="2" t="inlineStr">
        <is>
          <t>Trädporella</t>
        </is>
      </c>
      <c r="W786">
        <f>HYPERLINK("https://klasma.github.io/Logging_1272/artfynd/S 2338-2023 artfynd.xlsx", "S 2338-2023")</f>
        <v/>
      </c>
      <c r="X786">
        <f>HYPERLINK("https://klasma.github.io/Logging_1272/kartor/S 2338-2023 karta.png", "S 2338-2023")</f>
        <v/>
      </c>
      <c r="Y786">
        <f>HYPERLINK("https://klasma.github.io/Logging_1272/kartor_geotiff/S 2338-2023 georefererad karta.tif", "S 2338-2023")</f>
        <v/>
      </c>
      <c r="AA786">
        <f>HYPERLINK("https://klasma.github.io/Logging_1272/klagomål/S 2338-2023 FSC-klagomål.docx", "S 2338-2023")</f>
        <v/>
      </c>
      <c r="AB786">
        <f>HYPERLINK("https://klasma.github.io/Logging_1272/klagomålsmail/S 2338-2023 FSC-klagomål mail.docx", "S 2338-2023")</f>
        <v/>
      </c>
      <c r="AC786">
        <f>HYPERLINK("https://klasma.github.io/Logging_1272/tillsyn/S 2338-2023 tillsynsbegäran.docx", "S 2338-2023")</f>
        <v/>
      </c>
      <c r="AD786">
        <f>HYPERLINK("https://klasma.github.io/Logging_1272/tillsynsmail/S 2338-2023 tillsynsbegäran mail.docx", "S 2338-2023")</f>
        <v/>
      </c>
    </row>
    <row r="787" ht="15" customHeight="1">
      <c r="A787" t="inlineStr">
        <is>
          <t>S 1044-2025</t>
        </is>
      </c>
      <c r="B787" t="inlineStr">
        <is>
          <t>samrådsanmälan</t>
        </is>
      </c>
      <c r="C787" t="inlineStr">
        <is>
          <t>Annan skogsbruksåtgärd</t>
        </is>
      </c>
      <c r="D787" s="1" t="n">
        <v>45748</v>
      </c>
      <c r="E787" s="1" t="n">
        <v>46312</v>
      </c>
      <c r="F787" t="inlineStr">
        <is>
          <t>SKÅNE LÄN</t>
        </is>
      </c>
      <c r="G787" t="inlineStr">
        <is>
          <t>HÄSSLEHOLM</t>
        </is>
      </c>
      <c r="I787" t="n">
        <v>0.2</v>
      </c>
      <c r="J787" t="n">
        <v>0</v>
      </c>
      <c r="K787" t="n">
        <v>0</v>
      </c>
      <c r="L787" t="n">
        <v>0</v>
      </c>
      <c r="M787" t="n">
        <v>1</v>
      </c>
      <c r="N787" t="n">
        <v>0</v>
      </c>
      <c r="O787" t="n">
        <v>0</v>
      </c>
      <c r="P787" t="n">
        <v>0</v>
      </c>
      <c r="Q787" t="n">
        <v>1</v>
      </c>
      <c r="R787" t="n">
        <v>1</v>
      </c>
      <c r="S787" t="n">
        <v>1</v>
      </c>
      <c r="T787" t="n">
        <v>1</v>
      </c>
      <c r="U787" t="n">
        <v>0</v>
      </c>
      <c r="V787" s="2" t="inlineStr">
        <is>
          <t>Sjötåtel</t>
        </is>
      </c>
      <c r="W787">
        <f>HYPERLINK("https://klasma.github.io/Logging_1293/artfynd/S 1044-2025 artfynd.xlsx", "S 1044-2025")</f>
        <v/>
      </c>
      <c r="X787">
        <f>HYPERLINK("https://klasma.github.io/Logging_1293/kartor/S 1044-2025 karta.png", "S 1044-2025")</f>
        <v/>
      </c>
      <c r="Y787">
        <f>HYPERLINK("https://klasma.github.io/Logging_1293/kartor_geotiff/S 1044-2025 georefererad karta.tif", "S 1044-2025")</f>
        <v/>
      </c>
      <c r="AA787">
        <f>HYPERLINK("https://klasma.github.io/Logging_1293/klagomål/S 1044-2025 FSC-klagomål.docx", "S 1044-2025")</f>
        <v/>
      </c>
      <c r="AB787">
        <f>HYPERLINK("https://klasma.github.io/Logging_1293/klagomålsmail/S 1044-2025 FSC-klagomål mail.docx", "S 1044-2025")</f>
        <v/>
      </c>
      <c r="AC787">
        <f>HYPERLINK("https://klasma.github.io/Logging_1293/tillsyn/S 1044-2025 tillsynsbegäran.docx", "S 1044-2025")</f>
        <v/>
      </c>
      <c r="AD787">
        <f>HYPERLINK("https://klasma.github.io/Logging_1293/tillsynsmail/S 1044-2025 tillsynsbegäran mail.docx", "S 1044-2025")</f>
        <v/>
      </c>
    </row>
    <row r="788" ht="15" customHeight="1">
      <c r="A788" t="inlineStr">
        <is>
          <t>S 1304-2025</t>
        </is>
      </c>
      <c r="B788" t="inlineStr">
        <is>
          <t>samrådsanmälan</t>
        </is>
      </c>
      <c r="C788" t="inlineStr">
        <is>
          <t>Askåterföring</t>
        </is>
      </c>
      <c r="D788" s="1" t="n">
        <v>45770</v>
      </c>
      <c r="E788" s="1" t="n">
        <v>46312</v>
      </c>
      <c r="F788" t="inlineStr">
        <is>
          <t>SKÅNE LÄN</t>
        </is>
      </c>
      <c r="G788" t="inlineStr">
        <is>
          <t>ÖSTRA GÖINGE</t>
        </is>
      </c>
      <c r="I788" t="n">
        <v>17.3</v>
      </c>
      <c r="J788" t="n">
        <v>0</v>
      </c>
      <c r="K788" t="n">
        <v>0</v>
      </c>
      <c r="L788" t="n">
        <v>1</v>
      </c>
      <c r="M788" t="n">
        <v>0</v>
      </c>
      <c r="N788" t="n">
        <v>0</v>
      </c>
      <c r="O788" t="n">
        <v>0</v>
      </c>
      <c r="P788" t="n">
        <v>0</v>
      </c>
      <c r="Q788" t="n">
        <v>1</v>
      </c>
      <c r="R788" t="n">
        <v>0</v>
      </c>
      <c r="S788" t="n">
        <v>1</v>
      </c>
      <c r="T788" t="n">
        <v>1</v>
      </c>
      <c r="U788" t="n">
        <v>1</v>
      </c>
      <c r="V788" s="2" t="inlineStr">
        <is>
          <t>Borsttåg</t>
        </is>
      </c>
      <c r="W788">
        <f>HYPERLINK("https://klasma.github.io/Logging_1256/artfynd/S 1304-2025 artfynd.xlsx", "S 1304-2025")</f>
        <v/>
      </c>
      <c r="X788">
        <f>HYPERLINK("https://klasma.github.io/Logging_1256/kartor/S 1304-2025 karta.png", "S 1304-2025")</f>
        <v/>
      </c>
      <c r="Y788">
        <f>HYPERLINK("https://klasma.github.io/Logging_1256/kartor_geotiff/S 1304-2025 georefererad karta.tif", "S 1304-2025")</f>
        <v/>
      </c>
      <c r="AA788">
        <f>HYPERLINK("https://klasma.github.io/Logging_1256/klagomål/S 1304-2025 FSC-klagomål.docx", "S 1304-2025")</f>
        <v/>
      </c>
      <c r="AB788">
        <f>HYPERLINK("https://klasma.github.io/Logging_1256/klagomålsmail/S 1304-2025 FSC-klagomål mail.docx", "S 1304-2025")</f>
        <v/>
      </c>
      <c r="AC788">
        <f>HYPERLINK("https://klasma.github.io/Logging_1256/tillsyn/S 1304-2025 tillsynsbegäran.docx", "S 1304-2025")</f>
        <v/>
      </c>
      <c r="AD788">
        <f>HYPERLINK("https://klasma.github.io/Logging_1256/tillsynsmail/S 1304-2025 tillsynsbegäran mail.docx", "S 1304-2025")</f>
        <v/>
      </c>
    </row>
    <row r="789" ht="15" customHeight="1">
      <c r="A789" t="inlineStr">
        <is>
          <t>S 1329-2025</t>
        </is>
      </c>
      <c r="B789" t="inlineStr">
        <is>
          <t>samrådsanmälan</t>
        </is>
      </c>
      <c r="C789" t="inlineStr">
        <is>
          <t>Askåterföring</t>
        </is>
      </c>
      <c r="D789" s="1" t="n">
        <v>45770</v>
      </c>
      <c r="E789" s="1" t="n">
        <v>46312</v>
      </c>
      <c r="F789" t="inlineStr">
        <is>
          <t>SKÅNE LÄN</t>
        </is>
      </c>
      <c r="G789" t="inlineStr">
        <is>
          <t>BROMÖLLA</t>
        </is>
      </c>
      <c r="I789" t="n">
        <v>18.9</v>
      </c>
      <c r="J789" t="n">
        <v>1</v>
      </c>
      <c r="K789" t="n">
        <v>0</v>
      </c>
      <c r="L789" t="n">
        <v>0</v>
      </c>
      <c r="M789" t="n">
        <v>1</v>
      </c>
      <c r="N789" t="n">
        <v>0</v>
      </c>
      <c r="O789" t="n">
        <v>0</v>
      </c>
      <c r="P789" t="n">
        <v>0</v>
      </c>
      <c r="Q789" t="n">
        <v>1</v>
      </c>
      <c r="R789" t="n">
        <v>1</v>
      </c>
      <c r="S789" t="n">
        <v>1</v>
      </c>
      <c r="T789" t="n">
        <v>1</v>
      </c>
      <c r="U789" t="n">
        <v>0</v>
      </c>
      <c r="V789" s="2" t="inlineStr">
        <is>
          <t>Backsippa</t>
        </is>
      </c>
      <c r="W789">
        <f>HYPERLINK("https://klasma.github.io/Logging_1272/artfynd/S 1329-2025 artfynd.xlsx", "S 1329-2025")</f>
        <v/>
      </c>
      <c r="X789">
        <f>HYPERLINK("https://klasma.github.io/Logging_1272/kartor/S 1329-2025 karta.png", "S 1329-2025")</f>
        <v/>
      </c>
      <c r="Y789">
        <f>HYPERLINK("https://klasma.github.io/Logging_1272/kartor_geotiff/S 1329-2025 georefererad karta.tif", "S 1329-2025")</f>
        <v/>
      </c>
      <c r="AA789">
        <f>HYPERLINK("https://klasma.github.io/Logging_1272/klagomål/S 1329-2025 FSC-klagomål.docx", "S 1329-2025")</f>
        <v/>
      </c>
      <c r="AB789">
        <f>HYPERLINK("https://klasma.github.io/Logging_1272/klagomålsmail/S 1329-2025 FSC-klagomål mail.docx", "S 1329-2025")</f>
        <v/>
      </c>
      <c r="AC789">
        <f>HYPERLINK("https://klasma.github.io/Logging_1272/tillsyn/S 1329-2025 tillsynsbegäran.docx", "S 1329-2025")</f>
        <v/>
      </c>
      <c r="AD789">
        <f>HYPERLINK("https://klasma.github.io/Logging_1272/tillsynsmail/S 1329-2025 tillsynsbegäran mail.docx", "S 1329-2025")</f>
        <v/>
      </c>
    </row>
    <row r="790" ht="15" customHeight="1">
      <c r="A790" t="inlineStr">
        <is>
          <t>S 906-2025</t>
        </is>
      </c>
      <c r="B790" t="inlineStr">
        <is>
          <t>samrådsanmälan</t>
        </is>
      </c>
      <c r="C790" t="inlineStr">
        <is>
          <t>Askåterföring</t>
        </is>
      </c>
      <c r="D790" s="1" t="n">
        <v>45736</v>
      </c>
      <c r="E790" s="1" t="n">
        <v>46312</v>
      </c>
      <c r="F790" t="inlineStr">
        <is>
          <t>SKÅNE LÄN</t>
        </is>
      </c>
      <c r="G790" t="inlineStr">
        <is>
          <t>KRISTIANSTAD</t>
        </is>
      </c>
      <c r="H790" t="inlineStr">
        <is>
          <t>Övriga Aktiebolag</t>
        </is>
      </c>
      <c r="I790" t="n">
        <v>65.3</v>
      </c>
      <c r="J790" t="n">
        <v>0</v>
      </c>
      <c r="K790" t="n">
        <v>1</v>
      </c>
      <c r="L790" t="n">
        <v>0</v>
      </c>
      <c r="M790" t="n">
        <v>0</v>
      </c>
      <c r="N790" t="n">
        <v>0</v>
      </c>
      <c r="O790" t="n">
        <v>0</v>
      </c>
      <c r="P790" t="n">
        <v>0</v>
      </c>
      <c r="Q790" t="n">
        <v>0</v>
      </c>
      <c r="R790" t="n">
        <v>0</v>
      </c>
      <c r="S790" t="n">
        <v>1</v>
      </c>
      <c r="T790" t="n">
        <v>1</v>
      </c>
      <c r="U790" t="n">
        <v>0</v>
      </c>
      <c r="V790" s="2" t="inlineStr">
        <is>
          <t>Platt fjädermossa</t>
        </is>
      </c>
      <c r="W790">
        <f>HYPERLINK("https://klasma.github.io/Logging_1290/artfynd/S 906-2025 artfynd.xlsx", "S 906-2025")</f>
        <v/>
      </c>
      <c r="X790">
        <f>HYPERLINK("https://klasma.github.io/Logging_1290/kartor/S 906-2025 karta.png", "S 906-2025")</f>
        <v/>
      </c>
      <c r="Y790">
        <f>HYPERLINK("https://klasma.github.io/Logging_1290/kartor_geotiff/S 906-2025 georefererad karta.tif", "S 906-2025")</f>
        <v/>
      </c>
      <c r="AA790">
        <f>HYPERLINK("https://klasma.github.io/Logging_1290/klagomål/S 906-2025 FSC-klagomål.docx", "S 906-2025")</f>
        <v/>
      </c>
      <c r="AB790">
        <f>HYPERLINK("https://klasma.github.io/Logging_1290/klagomålsmail/S 906-2025 FSC-klagomål mail.docx", "S 906-2025")</f>
        <v/>
      </c>
      <c r="AC790">
        <f>HYPERLINK("https://klasma.github.io/Logging_1290/tillsyn/S 906-2025 tillsynsbegäran.docx", "S 906-2025")</f>
        <v/>
      </c>
      <c r="AD790">
        <f>HYPERLINK("https://klasma.github.io/Logging_1290/tillsynsmail/S 906-2025 tillsynsbegäran mail.docx", "S 906-2025")</f>
        <v/>
      </c>
    </row>
    <row r="791" ht="15" customHeight="1">
      <c r="A791" t="inlineStr">
        <is>
          <t>S 761-2025</t>
        </is>
      </c>
      <c r="B791" t="inlineStr">
        <is>
          <t>samrådsanmälan</t>
        </is>
      </c>
      <c r="C791" t="inlineStr">
        <is>
          <t>Askåterföring</t>
        </is>
      </c>
      <c r="D791" s="1" t="n">
        <v>45726</v>
      </c>
      <c r="E791" s="1" t="n">
        <v>46312</v>
      </c>
      <c r="F791" t="inlineStr">
        <is>
          <t>SKÅNE LÄN</t>
        </is>
      </c>
      <c r="G791" t="inlineStr">
        <is>
          <t>BROMÖLLA</t>
        </is>
      </c>
      <c r="I791" t="n">
        <v>14.5</v>
      </c>
      <c r="J791" t="n">
        <v>1</v>
      </c>
      <c r="K791" t="n">
        <v>0</v>
      </c>
      <c r="L791" t="n">
        <v>1</v>
      </c>
      <c r="M791" t="n">
        <v>0</v>
      </c>
      <c r="N791" t="n">
        <v>0</v>
      </c>
      <c r="O791" t="n">
        <v>0</v>
      </c>
      <c r="P791" t="n">
        <v>0</v>
      </c>
      <c r="Q791" t="n">
        <v>1</v>
      </c>
      <c r="R791" t="n">
        <v>0</v>
      </c>
      <c r="S791" t="n">
        <v>1</v>
      </c>
      <c r="T791" t="n">
        <v>1</v>
      </c>
      <c r="U791" t="n">
        <v>0</v>
      </c>
      <c r="V791" s="2" t="inlineStr">
        <is>
          <t>Bivråk</t>
        </is>
      </c>
      <c r="W791">
        <f>HYPERLINK("https://klasma.github.io/Logging_1272/artfynd/S 761-2025 artfynd.xlsx", "S 761-2025")</f>
        <v/>
      </c>
      <c r="X791">
        <f>HYPERLINK("https://klasma.github.io/Logging_1272/kartor/S 761-2025 karta.png", "S 761-2025")</f>
        <v/>
      </c>
      <c r="Y791">
        <f>HYPERLINK("https://klasma.github.io/Logging_1272/kartor_geotiff/S 761-2025 georefererad karta.tif", "S 761-2025")</f>
        <v/>
      </c>
      <c r="AA791">
        <f>HYPERLINK("https://klasma.github.io/Logging_1272/klagomål/S 761-2025 FSC-klagomål.docx", "S 761-2025")</f>
        <v/>
      </c>
      <c r="AB791">
        <f>HYPERLINK("https://klasma.github.io/Logging_1272/klagomålsmail/S 761-2025 FSC-klagomål mail.docx", "S 761-2025")</f>
        <v/>
      </c>
      <c r="AC791">
        <f>HYPERLINK("https://klasma.github.io/Logging_1272/tillsyn/S 761-2025 tillsynsbegäran.docx", "S 761-2025")</f>
        <v/>
      </c>
      <c r="AD791">
        <f>HYPERLINK("https://klasma.github.io/Logging_1272/tillsynsmail/S 761-2025 tillsynsbegäran mail.docx", "S 761-2025")</f>
        <v/>
      </c>
      <c r="AE791">
        <f>HYPERLINK("https://klasma.github.io/Logging_1272/fåglar/S 761-2025 prioriterade fågelarter.docx", "S 761-2025")</f>
        <v/>
      </c>
    </row>
    <row r="792" ht="15" customHeight="1">
      <c r="A792" t="inlineStr">
        <is>
          <t>S 886-2025</t>
        </is>
      </c>
      <c r="B792" t="inlineStr">
        <is>
          <t>samrådsanmälan</t>
        </is>
      </c>
      <c r="C792" t="inlineStr">
        <is>
          <t>Askåterföring</t>
        </is>
      </c>
      <c r="D792" s="1" t="n">
        <v>45735</v>
      </c>
      <c r="E792" s="1" t="n">
        <v>46312</v>
      </c>
      <c r="F792" t="inlineStr">
        <is>
          <t>SKÅNE LÄN</t>
        </is>
      </c>
      <c r="G792" t="inlineStr">
        <is>
          <t>HÄSSLEHOLM</t>
        </is>
      </c>
      <c r="I792" t="n">
        <v>11.4</v>
      </c>
      <c r="J792" t="n">
        <v>1</v>
      </c>
      <c r="K792" t="n">
        <v>0</v>
      </c>
      <c r="L792" t="n">
        <v>0</v>
      </c>
      <c r="M792" t="n">
        <v>1</v>
      </c>
      <c r="N792" t="n">
        <v>0</v>
      </c>
      <c r="O792" t="n">
        <v>0</v>
      </c>
      <c r="P792" t="n">
        <v>0</v>
      </c>
      <c r="Q792" t="n">
        <v>1</v>
      </c>
      <c r="R792" t="n">
        <v>1</v>
      </c>
      <c r="S792" t="n">
        <v>1</v>
      </c>
      <c r="T792" t="n">
        <v>1</v>
      </c>
      <c r="U792" t="n">
        <v>0</v>
      </c>
      <c r="V792" s="2" t="inlineStr">
        <is>
          <t>Blå kärrhök</t>
        </is>
      </c>
      <c r="W792">
        <f>HYPERLINK("https://klasma.github.io/Logging_1293/artfynd/S 886-2025 artfynd.xlsx", "S 886-2025")</f>
        <v/>
      </c>
      <c r="X792">
        <f>HYPERLINK("https://klasma.github.io/Logging_1293/kartor/S 886-2025 karta.png", "S 886-2025")</f>
        <v/>
      </c>
      <c r="Y792">
        <f>HYPERLINK("https://klasma.github.io/Logging_1293/kartor_geotiff/S 886-2025 georefererad karta.tif", "S 886-2025")</f>
        <v/>
      </c>
      <c r="AA792">
        <f>HYPERLINK("https://klasma.github.io/Logging_1293/klagomål/S 886-2025 FSC-klagomål.docx", "S 886-2025")</f>
        <v/>
      </c>
      <c r="AB792">
        <f>HYPERLINK("https://klasma.github.io/Logging_1293/klagomålsmail/S 886-2025 FSC-klagomål mail.docx", "S 886-2025")</f>
        <v/>
      </c>
      <c r="AC792">
        <f>HYPERLINK("https://klasma.github.io/Logging_1293/tillsyn/S 886-2025 tillsynsbegäran.docx", "S 886-2025")</f>
        <v/>
      </c>
      <c r="AD792">
        <f>HYPERLINK("https://klasma.github.io/Logging_1293/tillsynsmail/S 886-2025 tillsynsbegäran mail.docx", "S 886-2025")</f>
        <v/>
      </c>
      <c r="AE792">
        <f>HYPERLINK("https://klasma.github.io/Logging_1293/fåglar/S 886-2025 prioriterade fågelarter.docx", "S 886-2025")</f>
        <v/>
      </c>
    </row>
    <row r="793" ht="15" customHeight="1">
      <c r="A793" t="inlineStr">
        <is>
          <t>S 878-2025</t>
        </is>
      </c>
      <c r="B793" t="inlineStr">
        <is>
          <t>samrådsanmälan</t>
        </is>
      </c>
      <c r="C793" t="inlineStr">
        <is>
          <t>Askåterföring</t>
        </is>
      </c>
      <c r="D793" s="1" t="n">
        <v>45735</v>
      </c>
      <c r="E793" s="1" t="n">
        <v>46312</v>
      </c>
      <c r="F793" t="inlineStr">
        <is>
          <t>SKÅNE LÄN</t>
        </is>
      </c>
      <c r="G793" t="inlineStr">
        <is>
          <t>ÖSTRA GÖINGE</t>
        </is>
      </c>
      <c r="I793" t="n">
        <v>53</v>
      </c>
      <c r="J793" t="n">
        <v>1</v>
      </c>
      <c r="K793" t="n">
        <v>0</v>
      </c>
      <c r="L793" t="n">
        <v>0</v>
      </c>
      <c r="M793" t="n">
        <v>0</v>
      </c>
      <c r="N793" t="n">
        <v>0</v>
      </c>
      <c r="O793" t="n">
        <v>0</v>
      </c>
      <c r="P793" t="n">
        <v>0</v>
      </c>
      <c r="Q793" t="n">
        <v>0</v>
      </c>
      <c r="R793" t="n">
        <v>0</v>
      </c>
      <c r="S793" t="n">
        <v>1</v>
      </c>
      <c r="T793" t="n">
        <v>1</v>
      </c>
      <c r="U793" t="n">
        <v>0</v>
      </c>
      <c r="V793" s="2" t="inlineStr">
        <is>
          <t>Mattlummer</t>
        </is>
      </c>
      <c r="W793">
        <f>HYPERLINK("https://klasma.github.io/Logging_1256/artfynd/S 878-2025 artfynd.xlsx", "S 878-2025")</f>
        <v/>
      </c>
      <c r="X793">
        <f>HYPERLINK("https://klasma.github.io/Logging_1256/kartor/S 878-2025 karta.png", "S 878-2025")</f>
        <v/>
      </c>
      <c r="Y793">
        <f>HYPERLINK("https://klasma.github.io/Logging_1256/kartor_geotiff/S 878-2025 georefererad karta.tif", "S 878-2025")</f>
        <v/>
      </c>
      <c r="AA793">
        <f>HYPERLINK("https://klasma.github.io/Logging_1256/klagomål/S 878-2025 FSC-klagomål.docx", "S 878-2025")</f>
        <v/>
      </c>
      <c r="AB793">
        <f>HYPERLINK("https://klasma.github.io/Logging_1256/klagomålsmail/S 878-2025 FSC-klagomål mail.docx", "S 878-2025")</f>
        <v/>
      </c>
      <c r="AC793">
        <f>HYPERLINK("https://klasma.github.io/Logging_1256/tillsyn/S 878-2025 tillsynsbegäran.docx", "S 878-2025")</f>
        <v/>
      </c>
      <c r="AD793">
        <f>HYPERLINK("https://klasma.github.io/Logging_1256/tillsynsmail/S 878-2025 tillsynsbegäran mail.docx", "S 878-2025")</f>
        <v/>
      </c>
    </row>
    <row r="794" ht="15" customHeight="1">
      <c r="A794" t="inlineStr">
        <is>
          <t>S 889-2025</t>
        </is>
      </c>
      <c r="B794" t="inlineStr">
        <is>
          <t>samrådsanmälan</t>
        </is>
      </c>
      <c r="C794" t="inlineStr">
        <is>
          <t>Askåterföring</t>
        </is>
      </c>
      <c r="D794" s="1" t="n">
        <v>45735</v>
      </c>
      <c r="E794" s="1" t="n">
        <v>46312</v>
      </c>
      <c r="F794" t="inlineStr">
        <is>
          <t>SKÅNE LÄN</t>
        </is>
      </c>
      <c r="G794" t="inlineStr">
        <is>
          <t>ÖSTRA GÖINGE</t>
        </is>
      </c>
      <c r="I794" t="n">
        <v>44.7</v>
      </c>
      <c r="J794" t="n">
        <v>1</v>
      </c>
      <c r="K794" t="n">
        <v>0</v>
      </c>
      <c r="L794" t="n">
        <v>0</v>
      </c>
      <c r="M794" t="n">
        <v>0</v>
      </c>
      <c r="N794" t="n">
        <v>0</v>
      </c>
      <c r="O794" t="n">
        <v>0</v>
      </c>
      <c r="P794" t="n">
        <v>0</v>
      </c>
      <c r="Q794" t="n">
        <v>0</v>
      </c>
      <c r="R794" t="n">
        <v>0</v>
      </c>
      <c r="S794" t="n">
        <v>1</v>
      </c>
      <c r="T794" t="n">
        <v>1</v>
      </c>
      <c r="U794" t="n">
        <v>1</v>
      </c>
      <c r="V794" s="2" t="inlineStr">
        <is>
          <t>Revlummer</t>
        </is>
      </c>
      <c r="W794">
        <f>HYPERLINK("https://klasma.github.io/Logging_1256/artfynd/S 889-2025 artfynd.xlsx", "S 889-2025")</f>
        <v/>
      </c>
      <c r="X794">
        <f>HYPERLINK("https://klasma.github.io/Logging_1256/kartor/S 889-2025 karta.png", "S 889-2025")</f>
        <v/>
      </c>
      <c r="Y794">
        <f>HYPERLINK("https://klasma.github.io/Logging_1256/kartor_geotiff/S 889-2025 georefererad karta.tif", "S 889-2025")</f>
        <v/>
      </c>
      <c r="AA794">
        <f>HYPERLINK("https://klasma.github.io/Logging_1256/klagomål/S 889-2025 FSC-klagomål.docx", "S 889-2025")</f>
        <v/>
      </c>
      <c r="AB794">
        <f>HYPERLINK("https://klasma.github.io/Logging_1256/klagomålsmail/S 889-2025 FSC-klagomål mail.docx", "S 889-2025")</f>
        <v/>
      </c>
      <c r="AC794">
        <f>HYPERLINK("https://klasma.github.io/Logging_1256/tillsyn/S 889-2025 tillsynsbegäran.docx", "S 889-2025")</f>
        <v/>
      </c>
      <c r="AD794">
        <f>HYPERLINK("https://klasma.github.io/Logging_1256/tillsynsmail/S 889-2025 tillsynsbegäran mail.docx", "S 889-2025")</f>
        <v/>
      </c>
    </row>
    <row r="795" ht="15" customHeight="1">
      <c r="A795" t="inlineStr">
        <is>
          <t>S 882-2025</t>
        </is>
      </c>
      <c r="B795" t="inlineStr">
        <is>
          <t>samrådsanmälan</t>
        </is>
      </c>
      <c r="C795" t="inlineStr">
        <is>
          <t>Askåterföring</t>
        </is>
      </c>
      <c r="D795" s="1" t="n">
        <v>45735</v>
      </c>
      <c r="E795" s="1" t="n">
        <v>46312</v>
      </c>
      <c r="F795" t="inlineStr">
        <is>
          <t>SKÅNE LÄN</t>
        </is>
      </c>
      <c r="G795" t="inlineStr">
        <is>
          <t>ÖSTRA GÖINGE</t>
        </is>
      </c>
      <c r="I795" t="n">
        <v>9.300000000000001</v>
      </c>
      <c r="J795" t="n">
        <v>0</v>
      </c>
      <c r="K795" t="n">
        <v>1</v>
      </c>
      <c r="L795" t="n">
        <v>0</v>
      </c>
      <c r="M795" t="n">
        <v>0</v>
      </c>
      <c r="N795" t="n">
        <v>0</v>
      </c>
      <c r="O795" t="n">
        <v>0</v>
      </c>
      <c r="P795" t="n">
        <v>0</v>
      </c>
      <c r="Q795" t="n">
        <v>0</v>
      </c>
      <c r="R795" t="n">
        <v>0</v>
      </c>
      <c r="S795" t="n">
        <v>1</v>
      </c>
      <c r="T795" t="n">
        <v>1</v>
      </c>
      <c r="U795" t="n">
        <v>0</v>
      </c>
      <c r="V795" s="2" t="inlineStr">
        <is>
          <t>Västlig hakmossa</t>
        </is>
      </c>
      <c r="W795">
        <f>HYPERLINK("https://klasma.github.io/Logging_1256/artfynd/S 882-2025 artfynd.xlsx", "S 882-2025")</f>
        <v/>
      </c>
      <c r="X795">
        <f>HYPERLINK("https://klasma.github.io/Logging_1256/kartor/S 882-2025 karta.png", "S 882-2025")</f>
        <v/>
      </c>
      <c r="Y795">
        <f>HYPERLINK("https://klasma.github.io/Logging_1256/kartor_geotiff/S 882-2025 georefererad karta.tif", "S 882-2025")</f>
        <v/>
      </c>
      <c r="AA795">
        <f>HYPERLINK("https://klasma.github.io/Logging_1256/klagomål/S 882-2025 FSC-klagomål.docx", "S 882-2025")</f>
        <v/>
      </c>
      <c r="AB795">
        <f>HYPERLINK("https://klasma.github.io/Logging_1256/klagomålsmail/S 882-2025 FSC-klagomål mail.docx", "S 882-2025")</f>
        <v/>
      </c>
      <c r="AC795">
        <f>HYPERLINK("https://klasma.github.io/Logging_1256/tillsyn/S 882-2025 tillsynsbegäran.docx", "S 882-2025")</f>
        <v/>
      </c>
      <c r="AD795">
        <f>HYPERLINK("https://klasma.github.io/Logging_1256/tillsynsmail/S 882-2025 tillsynsbegäran mail.docx", "S 882-2025")</f>
        <v/>
      </c>
    </row>
    <row r="796" ht="15" customHeight="1">
      <c r="A796" t="inlineStr">
        <is>
          <t>S 883-2025</t>
        </is>
      </c>
      <c r="B796" t="inlineStr">
        <is>
          <t>samrådsanmälan</t>
        </is>
      </c>
      <c r="C796" t="inlineStr">
        <is>
          <t>Askåterföring</t>
        </is>
      </c>
      <c r="D796" s="1" t="n">
        <v>45735</v>
      </c>
      <c r="E796" s="1" t="n">
        <v>46312</v>
      </c>
      <c r="F796" t="inlineStr">
        <is>
          <t>SKÅNE LÄN</t>
        </is>
      </c>
      <c r="G796" t="inlineStr">
        <is>
          <t>OSBY</t>
        </is>
      </c>
      <c r="I796" t="n">
        <v>55.1</v>
      </c>
      <c r="J796" t="n">
        <v>0</v>
      </c>
      <c r="K796" t="n">
        <v>0</v>
      </c>
      <c r="L796" t="n">
        <v>1</v>
      </c>
      <c r="M796" t="n">
        <v>0</v>
      </c>
      <c r="N796" t="n">
        <v>0</v>
      </c>
      <c r="O796" t="n">
        <v>0</v>
      </c>
      <c r="P796" t="n">
        <v>0</v>
      </c>
      <c r="Q796" t="n">
        <v>1</v>
      </c>
      <c r="R796" t="n">
        <v>0</v>
      </c>
      <c r="S796" t="n">
        <v>1</v>
      </c>
      <c r="T796" t="n">
        <v>1</v>
      </c>
      <c r="U796" t="n">
        <v>0</v>
      </c>
      <c r="V796" s="2" t="inlineStr">
        <is>
          <t>Grönhjon</t>
        </is>
      </c>
      <c r="W796">
        <f>HYPERLINK("https://klasma.github.io/Logging_1273/artfynd/S 883-2025 artfynd.xlsx", "S 883-2025")</f>
        <v/>
      </c>
      <c r="X796">
        <f>HYPERLINK("https://klasma.github.io/Logging_1273/kartor/S 883-2025 karta.png", "S 883-2025")</f>
        <v/>
      </c>
      <c r="Y796">
        <f>HYPERLINK("https://klasma.github.io/Logging_1273/kartor_geotiff/S 883-2025 georefererad karta.tif", "S 883-2025")</f>
        <v/>
      </c>
      <c r="AA796">
        <f>HYPERLINK("https://klasma.github.io/Logging_1273/klagomål/S 883-2025 FSC-klagomål.docx", "S 883-2025")</f>
        <v/>
      </c>
      <c r="AB796">
        <f>HYPERLINK("https://klasma.github.io/Logging_1273/klagomålsmail/S 883-2025 FSC-klagomål mail.docx", "S 883-2025")</f>
        <v/>
      </c>
      <c r="AC796">
        <f>HYPERLINK("https://klasma.github.io/Logging_1273/tillsyn/S 883-2025 tillsynsbegäran.docx", "S 883-2025")</f>
        <v/>
      </c>
      <c r="AD796">
        <f>HYPERLINK("https://klasma.github.io/Logging_1273/tillsynsmail/S 883-2025 tillsynsbegäran mail.docx", "S 883-2025")</f>
        <v/>
      </c>
    </row>
    <row r="797" ht="15" customHeight="1">
      <c r="A797" t="inlineStr">
        <is>
          <t>S 791-2025</t>
        </is>
      </c>
      <c r="B797" t="inlineStr">
        <is>
          <t>samrådsanmälan</t>
        </is>
      </c>
      <c r="C797" t="inlineStr">
        <is>
          <t>Askåterföring</t>
        </is>
      </c>
      <c r="D797" s="1" t="n">
        <v>45729</v>
      </c>
      <c r="E797" s="1" t="n">
        <v>46312</v>
      </c>
      <c r="F797" t="inlineStr">
        <is>
          <t>SKÅNE LÄN</t>
        </is>
      </c>
      <c r="G797" t="inlineStr">
        <is>
          <t>HÖÖR</t>
        </is>
      </c>
      <c r="I797" t="n">
        <v>23.6</v>
      </c>
      <c r="J797" t="n">
        <v>0</v>
      </c>
      <c r="K797" t="n">
        <v>0</v>
      </c>
      <c r="L797" t="n">
        <v>1</v>
      </c>
      <c r="M797" t="n">
        <v>0</v>
      </c>
      <c r="N797" t="n">
        <v>0</v>
      </c>
      <c r="O797" t="n">
        <v>0</v>
      </c>
      <c r="P797" t="n">
        <v>0</v>
      </c>
      <c r="Q797" t="n">
        <v>1</v>
      </c>
      <c r="R797" t="n">
        <v>0</v>
      </c>
      <c r="S797" t="n">
        <v>1</v>
      </c>
      <c r="T797" t="n">
        <v>1</v>
      </c>
      <c r="U797" t="n">
        <v>1</v>
      </c>
      <c r="V797" s="2" t="inlineStr">
        <is>
          <t>Gullpudra</t>
        </is>
      </c>
      <c r="W797">
        <f>HYPERLINK("https://klasma.github.io/Logging_1267/artfynd/S 791-2025 artfynd.xlsx", "S 791-2025")</f>
        <v/>
      </c>
      <c r="X797">
        <f>HYPERLINK("https://klasma.github.io/Logging_1267/kartor/S 791-2025 karta.png", "S 791-2025")</f>
        <v/>
      </c>
      <c r="Y797">
        <f>HYPERLINK("https://klasma.github.io/Logging_1267/kartor_geotiff/S 791-2025 georefererad karta.tif", "S 791-2025")</f>
        <v/>
      </c>
      <c r="AA797">
        <f>HYPERLINK("https://klasma.github.io/Logging_1267/klagomål/S 791-2025 FSC-klagomål.docx", "S 791-2025")</f>
        <v/>
      </c>
      <c r="AB797">
        <f>HYPERLINK("https://klasma.github.io/Logging_1267/klagomålsmail/S 791-2025 FSC-klagomål mail.docx", "S 791-2025")</f>
        <v/>
      </c>
      <c r="AC797">
        <f>HYPERLINK("https://klasma.github.io/Logging_1267/tillsyn/S 791-2025 tillsynsbegäran.docx", "S 791-2025")</f>
        <v/>
      </c>
      <c r="AD797">
        <f>HYPERLINK("https://klasma.github.io/Logging_1267/tillsynsmail/S 791-2025 tillsynsbegäran mail.docx", "S 791-2025")</f>
        <v/>
      </c>
    </row>
    <row r="798" ht="15" customHeight="1">
      <c r="A798" t="inlineStr">
        <is>
          <t>S 1917-2025</t>
        </is>
      </c>
      <c r="B798" t="inlineStr">
        <is>
          <t>samrådsanmälan</t>
        </is>
      </c>
      <c r="C798" t="inlineStr">
        <is>
          <t>Askåterföring</t>
        </is>
      </c>
      <c r="D798" s="1" t="n">
        <v>45826</v>
      </c>
      <c r="E798" s="1" t="n">
        <v>46312</v>
      </c>
      <c r="F798" t="inlineStr">
        <is>
          <t>SKÅNE LÄN</t>
        </is>
      </c>
      <c r="G798" t="inlineStr">
        <is>
          <t>ÖSTRA GÖINGE</t>
        </is>
      </c>
      <c r="I798" t="n">
        <v>26.8</v>
      </c>
      <c r="J798" t="n">
        <v>0</v>
      </c>
      <c r="K798" t="n">
        <v>0</v>
      </c>
      <c r="L798" t="n">
        <v>0</v>
      </c>
      <c r="M798" t="n">
        <v>1</v>
      </c>
      <c r="N798" t="n">
        <v>0</v>
      </c>
      <c r="O798" t="n">
        <v>0</v>
      </c>
      <c r="P798" t="n">
        <v>0</v>
      </c>
      <c r="Q798" t="n">
        <v>1</v>
      </c>
      <c r="R798" t="n">
        <v>1</v>
      </c>
      <c r="S798" t="n">
        <v>1</v>
      </c>
      <c r="T798" t="n">
        <v>3</v>
      </c>
      <c r="U798" t="n">
        <v>2</v>
      </c>
      <c r="V798" s="2" t="inlineStr">
        <is>
          <t>Slåttergubbe</t>
        </is>
      </c>
      <c r="W798">
        <f>HYPERLINK("https://klasma.github.io/Logging_1256/artfynd/S 1917-2025 artfynd.xlsx", "S 1917-2025")</f>
        <v/>
      </c>
      <c r="X798">
        <f>HYPERLINK("https://klasma.github.io/Logging_1256/kartor/S 1917-2025 karta.png", "S 1917-2025")</f>
        <v/>
      </c>
      <c r="Y798">
        <f>HYPERLINK("https://klasma.github.io/Logging_1256/kartor_geotiff/S 1917-2025 georefererad karta.tif", "S 1917-2025")</f>
        <v/>
      </c>
      <c r="AA798">
        <f>HYPERLINK("https://klasma.github.io/Logging_1256/klagomål/S 1917-2025 FSC-klagomål.docx", "S 1917-2025")</f>
        <v/>
      </c>
      <c r="AB798">
        <f>HYPERLINK("https://klasma.github.io/Logging_1256/klagomålsmail/S 1917-2025 FSC-klagomål mail.docx", "S 1917-2025")</f>
        <v/>
      </c>
      <c r="AC798">
        <f>HYPERLINK("https://klasma.github.io/Logging_1256/tillsyn/S 1917-2025 tillsynsbegäran.docx", "S 1917-2025")</f>
        <v/>
      </c>
      <c r="AD798">
        <f>HYPERLINK("https://klasma.github.io/Logging_1256/tillsynsmail/S 1917-2025 tillsynsbegäran mail.docx", "S 1917-2025")</f>
        <v/>
      </c>
    </row>
    <row r="799" ht="15" customHeight="1">
      <c r="A799" t="inlineStr">
        <is>
          <t>S 2229-2025</t>
        </is>
      </c>
      <c r="B799" t="inlineStr">
        <is>
          <t>samrådsanmälan</t>
        </is>
      </c>
      <c r="C799" t="inlineStr">
        <is>
          <t>Annan skogsbruksåtgärd</t>
        </is>
      </c>
      <c r="D799" s="1" t="n">
        <v>45867</v>
      </c>
      <c r="E799" s="1" t="n">
        <v>46312</v>
      </c>
      <c r="F799" t="inlineStr">
        <is>
          <t>SKÅNE LÄN</t>
        </is>
      </c>
      <c r="G799" t="inlineStr">
        <is>
          <t>HÖGANÄS</t>
        </is>
      </c>
      <c r="I799" t="n">
        <v>1.1</v>
      </c>
      <c r="J799" t="n">
        <v>0</v>
      </c>
      <c r="K799" t="n">
        <v>1</v>
      </c>
      <c r="L799" t="n">
        <v>0</v>
      </c>
      <c r="M799" t="n">
        <v>0</v>
      </c>
      <c r="N799" t="n">
        <v>0</v>
      </c>
      <c r="O799" t="n">
        <v>0</v>
      </c>
      <c r="P799" t="n">
        <v>0</v>
      </c>
      <c r="Q799" t="n">
        <v>0</v>
      </c>
      <c r="R799" t="n">
        <v>0</v>
      </c>
      <c r="S799" t="n">
        <v>1</v>
      </c>
      <c r="T799" t="n">
        <v>1</v>
      </c>
      <c r="U799" t="n">
        <v>0</v>
      </c>
      <c r="V799" s="2" t="inlineStr">
        <is>
          <t>Bokoxe</t>
        </is>
      </c>
      <c r="W799">
        <f>HYPERLINK("https://klasma.github.io/Logging_1284/artfynd/S 2229-2025 artfynd.xlsx", "S 2229-2025")</f>
        <v/>
      </c>
      <c r="X799">
        <f>HYPERLINK("https://klasma.github.io/Logging_1284/kartor/S 2229-2025 karta.png", "S 2229-2025")</f>
        <v/>
      </c>
      <c r="Y799">
        <f>HYPERLINK("https://klasma.github.io/Logging_1284/kartor_geotiff/S 2229-2025 georefererad karta.tif", "S 2229-2025")</f>
        <v/>
      </c>
      <c r="AA799">
        <f>HYPERLINK("https://klasma.github.io/Logging_1284/klagomål/S 2229-2025 FSC-klagomål.docx", "S 2229-2025")</f>
        <v/>
      </c>
      <c r="AB799">
        <f>HYPERLINK("https://klasma.github.io/Logging_1284/klagomålsmail/S 2229-2025 FSC-klagomål mail.docx", "S 2229-2025")</f>
        <v/>
      </c>
      <c r="AC799">
        <f>HYPERLINK("https://klasma.github.io/Logging_1284/tillsyn/S 2229-2025 tillsynsbegäran.docx", "S 2229-2025")</f>
        <v/>
      </c>
      <c r="AD799">
        <f>HYPERLINK("https://klasma.github.io/Logging_1284/tillsynsmail/S 2229-2025 tillsynsbegäran mail.docx", "S 2229-2025")</f>
        <v/>
      </c>
    </row>
    <row r="800" ht="15" customHeight="1">
      <c r="A800" t="inlineStr">
        <is>
          <t>S 2466-2025</t>
        </is>
      </c>
      <c r="B800" t="inlineStr">
        <is>
          <t>samrådsanmälan</t>
        </is>
      </c>
      <c r="C800" t="inlineStr">
        <is>
          <t>Askåterföring</t>
        </is>
      </c>
      <c r="D800" s="1" t="n">
        <v>45901</v>
      </c>
      <c r="E800" s="1" t="n">
        <v>46312</v>
      </c>
      <c r="F800" t="inlineStr">
        <is>
          <t>SKÅNE LÄN</t>
        </is>
      </c>
      <c r="G800" t="inlineStr">
        <is>
          <t>PERSTORP</t>
        </is>
      </c>
      <c r="I800" t="n">
        <v>23</v>
      </c>
      <c r="J800" t="n">
        <v>1</v>
      </c>
      <c r="K800" t="n">
        <v>0</v>
      </c>
      <c r="L800" t="n">
        <v>0</v>
      </c>
      <c r="M800" t="n">
        <v>0</v>
      </c>
      <c r="N800" t="n">
        <v>0</v>
      </c>
      <c r="O800" t="n">
        <v>0</v>
      </c>
      <c r="P800" t="n">
        <v>0</v>
      </c>
      <c r="Q800" t="n">
        <v>0</v>
      </c>
      <c r="R800" t="n">
        <v>0</v>
      </c>
      <c r="S800" t="n">
        <v>1</v>
      </c>
      <c r="T800" t="n">
        <v>1</v>
      </c>
      <c r="U800" t="n">
        <v>0</v>
      </c>
      <c r="V800" s="2" t="inlineStr">
        <is>
          <t>Buskskvätta</t>
        </is>
      </c>
      <c r="W800">
        <f>HYPERLINK("https://klasma.github.io/Logging_1275/artfynd/S 2466-2025 artfynd.xlsx", "S 2466-2025")</f>
        <v/>
      </c>
      <c r="X800">
        <f>HYPERLINK("https://klasma.github.io/Logging_1275/kartor/S 2466-2025 karta.png", "S 2466-2025")</f>
        <v/>
      </c>
      <c r="Y800">
        <f>HYPERLINK("https://klasma.github.io/Logging_1275/kartor_geotiff/S 2466-2025 georefererad karta.tif", "S 2466-2025")</f>
        <v/>
      </c>
      <c r="AA800">
        <f>HYPERLINK("https://klasma.github.io/Logging_1275/klagomål/S 2466-2025 FSC-klagomål.docx", "S 2466-2025")</f>
        <v/>
      </c>
      <c r="AB800">
        <f>HYPERLINK("https://klasma.github.io/Logging_1275/klagomålsmail/S 2466-2025 FSC-klagomål mail.docx", "S 2466-2025")</f>
        <v/>
      </c>
      <c r="AC800">
        <f>HYPERLINK("https://klasma.github.io/Logging_1275/tillsyn/S 2466-2025 tillsynsbegäran.docx", "S 2466-2025")</f>
        <v/>
      </c>
      <c r="AD800">
        <f>HYPERLINK("https://klasma.github.io/Logging_1275/tillsynsmail/S 2466-2025 tillsynsbegäran mail.docx", "S 2466-2025")</f>
        <v/>
      </c>
    </row>
    <row r="801" ht="15" customHeight="1">
      <c r="A801" t="inlineStr">
        <is>
          <t>S 4216-2023</t>
        </is>
      </c>
      <c r="B801" t="inlineStr">
        <is>
          <t>samrådsanmälan</t>
        </is>
      </c>
      <c r="C801" t="inlineStr">
        <is>
          <t>Askåterföring</t>
        </is>
      </c>
      <c r="D801" s="1" t="n">
        <v>45251</v>
      </c>
      <c r="E801" s="1" t="n">
        <v>46312</v>
      </c>
      <c r="F801" t="inlineStr">
        <is>
          <t>SKÅNE LÄN</t>
        </is>
      </c>
      <c r="G801" t="inlineStr">
        <is>
          <t>HÖÖR</t>
        </is>
      </c>
      <c r="I801" t="n">
        <v>70.3</v>
      </c>
      <c r="J801" t="n">
        <v>0</v>
      </c>
      <c r="K801" t="n">
        <v>0</v>
      </c>
      <c r="L801" t="n">
        <v>0</v>
      </c>
      <c r="M801" t="n">
        <v>1</v>
      </c>
      <c r="N801" t="n">
        <v>0</v>
      </c>
      <c r="O801" t="n">
        <v>0</v>
      </c>
      <c r="P801" t="n">
        <v>0</v>
      </c>
      <c r="Q801" t="n">
        <v>1</v>
      </c>
      <c r="R801" t="n">
        <v>1</v>
      </c>
      <c r="S801" t="n">
        <v>1</v>
      </c>
      <c r="T801" t="n">
        <v>1</v>
      </c>
      <c r="U801" t="n">
        <v>0</v>
      </c>
      <c r="V801" s="2" t="inlineStr">
        <is>
          <t>Småvänderot</t>
        </is>
      </c>
      <c r="W801">
        <f>HYPERLINK("https://klasma.github.io/Logging_1267/artfynd/S 4216-2023 artfynd.xlsx", "S 4216-2023")</f>
        <v/>
      </c>
      <c r="X801">
        <f>HYPERLINK("https://klasma.github.io/Logging_1267/kartor/S 4216-2023 karta.png", "S 4216-2023")</f>
        <v/>
      </c>
      <c r="Y801">
        <f>HYPERLINK("https://klasma.github.io/Logging_1267/kartor_geotiff/S 4216-2023 georefererad karta.tif", "S 4216-2023")</f>
        <v/>
      </c>
      <c r="AA801">
        <f>HYPERLINK("https://klasma.github.io/Logging_1267/klagomål/S 4216-2023 FSC-klagomål.docx", "S 4216-2023")</f>
        <v/>
      </c>
      <c r="AB801">
        <f>HYPERLINK("https://klasma.github.io/Logging_1267/klagomålsmail/S 4216-2023 FSC-klagomål mail.docx", "S 4216-2023")</f>
        <v/>
      </c>
      <c r="AC801">
        <f>HYPERLINK("https://klasma.github.io/Logging_1267/tillsyn/S 4216-2023 tillsynsbegäran.docx", "S 4216-2023")</f>
        <v/>
      </c>
      <c r="AD801">
        <f>HYPERLINK("https://klasma.github.io/Logging_1267/tillsynsmail/S 4216-2023 tillsynsbegäran mail.docx", "S 4216-2023")</f>
        <v/>
      </c>
    </row>
    <row r="802" ht="15" customHeight="1">
      <c r="A802" t="inlineStr">
        <is>
          <t>S 287-2026</t>
        </is>
      </c>
      <c r="B802" t="inlineStr">
        <is>
          <t>samrådsanmälan</t>
        </is>
      </c>
      <c r="C802" t="inlineStr">
        <is>
          <t>Askåterföring</t>
        </is>
      </c>
      <c r="D802" s="1" t="n">
        <v>46057</v>
      </c>
      <c r="E802" s="1" t="n">
        <v>46312</v>
      </c>
      <c r="F802" t="inlineStr">
        <is>
          <t>SKÅNE LÄN</t>
        </is>
      </c>
      <c r="G802" t="inlineStr">
        <is>
          <t>ÖRKELLJUNGA</t>
        </is>
      </c>
      <c r="I802" t="n">
        <v>31.6</v>
      </c>
      <c r="J802" t="n">
        <v>1</v>
      </c>
      <c r="K802" t="n">
        <v>0</v>
      </c>
      <c r="L802" t="n">
        <v>0</v>
      </c>
      <c r="M802" t="n">
        <v>0</v>
      </c>
      <c r="N802" t="n">
        <v>0</v>
      </c>
      <c r="O802" t="n">
        <v>0</v>
      </c>
      <c r="P802" t="n">
        <v>0</v>
      </c>
      <c r="Q802" t="n">
        <v>0</v>
      </c>
      <c r="R802" t="n">
        <v>0</v>
      </c>
      <c r="S802" t="n">
        <v>1</v>
      </c>
      <c r="T802" t="n">
        <v>1</v>
      </c>
      <c r="U802" t="n">
        <v>0</v>
      </c>
      <c r="V802" s="2" t="inlineStr">
        <is>
          <t>Kungsfågel</t>
        </is>
      </c>
      <c r="W802">
        <f>HYPERLINK("https://klasma.github.io/Logging_1257/artfynd/S 287-2026 artfynd.xlsx", "S 287-2026")</f>
        <v/>
      </c>
      <c r="X802">
        <f>HYPERLINK("https://klasma.github.io/Logging_1257/kartor/S 287-2026 karta.png", "S 287-2026")</f>
        <v/>
      </c>
      <c r="Y802">
        <f>HYPERLINK("https://klasma.github.io/Logging_1257/kartor_geotiff/S 287-2026 georefererad karta.tif", "S 287-2026")</f>
        <v/>
      </c>
      <c r="AA802">
        <f>HYPERLINK("https://klasma.github.io/Logging_1257/klagomål/S 287-2026 FSC-klagomål.docx", "S 287-2026")</f>
        <v/>
      </c>
      <c r="AB802">
        <f>HYPERLINK("https://klasma.github.io/Logging_1257/klagomålsmail/S 287-2026 FSC-klagomål mail.docx", "S 287-2026")</f>
        <v/>
      </c>
      <c r="AC802">
        <f>HYPERLINK("https://klasma.github.io/Logging_1257/tillsyn/S 287-2026 tillsynsbegäran.docx", "S 287-2026")</f>
        <v/>
      </c>
      <c r="AD802">
        <f>HYPERLINK("https://klasma.github.io/Logging_1257/tillsynsmail/S 287-2026 tillsynsbegäran mail.docx", "S 287-2026")</f>
        <v/>
      </c>
    </row>
    <row r="803" ht="15" customHeight="1">
      <c r="A803" t="inlineStr">
        <is>
          <t>S 303-2026</t>
        </is>
      </c>
      <c r="B803" t="inlineStr">
        <is>
          <t>samrådsanmälan</t>
        </is>
      </c>
      <c r="C803" t="inlineStr">
        <is>
          <t>Askåterföring</t>
        </is>
      </c>
      <c r="D803" s="1" t="n">
        <v>46058</v>
      </c>
      <c r="E803" s="1" t="n">
        <v>46312</v>
      </c>
      <c r="F803" t="inlineStr">
        <is>
          <t>SKÅNE LÄN</t>
        </is>
      </c>
      <c r="G803" t="inlineStr">
        <is>
          <t>KRISTIANSTAD</t>
        </is>
      </c>
      <c r="I803" t="n">
        <v>11.5</v>
      </c>
      <c r="J803" t="n">
        <v>0</v>
      </c>
      <c r="K803" t="n">
        <v>1</v>
      </c>
      <c r="L803" t="n">
        <v>0</v>
      </c>
      <c r="M803" t="n">
        <v>0</v>
      </c>
      <c r="N803" t="n">
        <v>0</v>
      </c>
      <c r="O803" t="n">
        <v>0</v>
      </c>
      <c r="P803" t="n">
        <v>0</v>
      </c>
      <c r="Q803" t="n">
        <v>0</v>
      </c>
      <c r="R803" t="n">
        <v>0</v>
      </c>
      <c r="S803" t="n">
        <v>1</v>
      </c>
      <c r="T803" t="n">
        <v>1</v>
      </c>
      <c r="U803" t="n">
        <v>0</v>
      </c>
      <c r="V803" s="2" t="inlineStr">
        <is>
          <t>Brandticka</t>
        </is>
      </c>
      <c r="W803">
        <f>HYPERLINK("https://klasma.github.io/Logging_1290/artfynd/S 303-2026 artfynd.xlsx", "S 303-2026")</f>
        <v/>
      </c>
      <c r="X803">
        <f>HYPERLINK("https://klasma.github.io/Logging_1290/kartor/S 303-2026 karta.png", "S 303-2026")</f>
        <v/>
      </c>
      <c r="Y803">
        <f>HYPERLINK("https://klasma.github.io/Logging_1290/kartor_geotiff/S 303-2026 georefererad karta.tif", "S 303-2026")</f>
        <v/>
      </c>
      <c r="AA803">
        <f>HYPERLINK("https://klasma.github.io/Logging_1290/klagomål/S 303-2026 FSC-klagomål.docx", "S 303-2026")</f>
        <v/>
      </c>
      <c r="AB803">
        <f>HYPERLINK("https://klasma.github.io/Logging_1290/klagomålsmail/S 303-2026 FSC-klagomål mail.docx", "S 303-2026")</f>
        <v/>
      </c>
      <c r="AC803">
        <f>HYPERLINK("https://klasma.github.io/Logging_1290/tillsyn/S 303-2026 tillsynsbegäran.docx", "S 303-2026")</f>
        <v/>
      </c>
      <c r="AD803">
        <f>HYPERLINK("https://klasma.github.io/Logging_1290/tillsynsmail/S 303-2026 tillsynsbegäran mail.docx", "S 303-2026")</f>
        <v/>
      </c>
    </row>
    <row r="804" ht="15" customHeight="1">
      <c r="A804" t="inlineStr">
        <is>
          <t>S 1006-2026</t>
        </is>
      </c>
      <c r="B804" t="inlineStr">
        <is>
          <t>samrådsanmälan</t>
        </is>
      </c>
      <c r="C804" t="inlineStr">
        <is>
          <t>Askåterföring</t>
        </is>
      </c>
      <c r="D804" s="1" t="n">
        <v>46121</v>
      </c>
      <c r="E804" s="1" t="n">
        <v>46312</v>
      </c>
      <c r="F804" t="inlineStr">
        <is>
          <t>SKÅNE LÄN</t>
        </is>
      </c>
      <c r="G804" t="inlineStr">
        <is>
          <t>HÄSSLEHOLM</t>
        </is>
      </c>
      <c r="I804" t="n">
        <v>26.7</v>
      </c>
      <c r="J804" t="n">
        <v>0</v>
      </c>
      <c r="K804" t="n">
        <v>1</v>
      </c>
      <c r="L804" t="n">
        <v>0</v>
      </c>
      <c r="M804" t="n">
        <v>0</v>
      </c>
      <c r="N804" t="n">
        <v>0</v>
      </c>
      <c r="O804" t="n">
        <v>0</v>
      </c>
      <c r="P804" t="n">
        <v>0</v>
      </c>
      <c r="Q804" t="n">
        <v>0</v>
      </c>
      <c r="R804" t="n">
        <v>0</v>
      </c>
      <c r="S804" t="n">
        <v>1</v>
      </c>
      <c r="T804" t="n">
        <v>1</v>
      </c>
      <c r="U804" t="n">
        <v>0</v>
      </c>
      <c r="V804" s="2" t="inlineStr">
        <is>
          <t>Kambräken</t>
        </is>
      </c>
      <c r="W804">
        <f>HYPERLINK("https://klasma.github.io/Logging_1293/artfynd/S 1006-2026 artfynd.xlsx", "S 1006-2026")</f>
        <v/>
      </c>
      <c r="X804">
        <f>HYPERLINK("https://klasma.github.io/Logging_1293/kartor/S 1006-2026 karta.png", "S 1006-2026")</f>
        <v/>
      </c>
      <c r="Y804">
        <f>HYPERLINK("https://klasma.github.io/Logging_1293/kartor_geotiff/S 1006-2026 georefererad karta.tif", "S 1006-2026")</f>
        <v/>
      </c>
      <c r="AA804">
        <f>HYPERLINK("https://klasma.github.io/Logging_1293/klagomål/S 1006-2026 FSC-klagomål.docx", "S 1006-2026")</f>
        <v/>
      </c>
      <c r="AB804">
        <f>HYPERLINK("https://klasma.github.io/Logging_1293/klagomålsmail/S 1006-2026 FSC-klagomål mail.docx", "S 1006-2026")</f>
        <v/>
      </c>
      <c r="AC804">
        <f>HYPERLINK("https://klasma.github.io/Logging_1293/tillsyn/S 1006-2026 tillsynsbegäran.docx", "S 1006-2026")</f>
        <v/>
      </c>
      <c r="AD804">
        <f>HYPERLINK("https://klasma.github.io/Logging_1293/tillsynsmail/S 1006-2026 tillsynsbegäran mail.docx", "S 1006-2026")</f>
        <v/>
      </c>
    </row>
    <row r="805" ht="15" customHeight="1">
      <c r="A805" t="inlineStr">
        <is>
          <t>S 836-2026</t>
        </is>
      </c>
      <c r="B805" t="inlineStr">
        <is>
          <t>samrådsanmälan</t>
        </is>
      </c>
      <c r="C805" t="inlineStr">
        <is>
          <t>Askåterföring</t>
        </is>
      </c>
      <c r="D805" s="1" t="n">
        <v>46104</v>
      </c>
      <c r="E805" s="1" t="n">
        <v>46312</v>
      </c>
      <c r="F805" t="inlineStr">
        <is>
          <t>SKÅNE LÄN</t>
        </is>
      </c>
      <c r="G805" t="inlineStr">
        <is>
          <t>BROMÖLLA</t>
        </is>
      </c>
      <c r="I805" t="n">
        <v>77.09999999999999</v>
      </c>
      <c r="J805" t="n">
        <v>1</v>
      </c>
      <c r="K805" t="n">
        <v>0</v>
      </c>
      <c r="L805" t="n">
        <v>0</v>
      </c>
      <c r="M805" t="n">
        <v>0</v>
      </c>
      <c r="N805" t="n">
        <v>0</v>
      </c>
      <c r="O805" t="n">
        <v>0</v>
      </c>
      <c r="P805" t="n">
        <v>0</v>
      </c>
      <c r="Q805" t="n">
        <v>0</v>
      </c>
      <c r="R805" t="n">
        <v>0</v>
      </c>
      <c r="S805" t="n">
        <v>1</v>
      </c>
      <c r="T805" t="n">
        <v>1</v>
      </c>
      <c r="U805" t="n">
        <v>0</v>
      </c>
      <c r="V805" s="2" t="inlineStr">
        <is>
          <t>Spillkråka</t>
        </is>
      </c>
      <c r="W805">
        <f>HYPERLINK("https://klasma.github.io/Logging_1272/artfynd/S 836-2026 artfynd.xlsx", "S 836-2026")</f>
        <v/>
      </c>
      <c r="X805">
        <f>HYPERLINK("https://klasma.github.io/Logging_1272/kartor/S 836-2026 karta.png", "S 836-2026")</f>
        <v/>
      </c>
      <c r="Y805">
        <f>HYPERLINK("https://klasma.github.io/Logging_1272/kartor_geotiff/S 836-2026 georefererad karta.tif", "S 836-2026")</f>
        <v/>
      </c>
      <c r="AA805">
        <f>HYPERLINK("https://klasma.github.io/Logging_1272/klagomål/S 836-2026 FSC-klagomål.docx", "S 836-2026")</f>
        <v/>
      </c>
      <c r="AB805">
        <f>HYPERLINK("https://klasma.github.io/Logging_1272/klagomålsmail/S 836-2026 FSC-klagomål mail.docx", "S 836-2026")</f>
        <v/>
      </c>
      <c r="AC805">
        <f>HYPERLINK("https://klasma.github.io/Logging_1272/tillsyn/S 836-2026 tillsynsbegäran.docx", "S 836-2026")</f>
        <v/>
      </c>
      <c r="AD805">
        <f>HYPERLINK("https://klasma.github.io/Logging_1272/tillsynsmail/S 836-2026 tillsynsbegäran mail.docx", "S 836-2026")</f>
        <v/>
      </c>
      <c r="AE805">
        <f>HYPERLINK("https://klasma.github.io/Logging_1272/fåglar/S 836-2026 prioriterade fågelarter.docx", "S 836-2026")</f>
        <v/>
      </c>
    </row>
    <row r="806" ht="15" customHeight="1">
      <c r="A806" t="inlineStr">
        <is>
          <t>S 1380-2026</t>
        </is>
      </c>
      <c r="B806" t="inlineStr">
        <is>
          <t>samrådsanmälan</t>
        </is>
      </c>
      <c r="C806" t="inlineStr">
        <is>
          <t>Askåterföring</t>
        </is>
      </c>
      <c r="D806" s="1" t="n">
        <v>46148</v>
      </c>
      <c r="E806" s="1" t="n">
        <v>46312</v>
      </c>
      <c r="F806" t="inlineStr">
        <is>
          <t>SKÅNE LÄN</t>
        </is>
      </c>
      <c r="G806" t="inlineStr">
        <is>
          <t>KRISTIANSTAD</t>
        </is>
      </c>
      <c r="I806" t="n">
        <v>8</v>
      </c>
      <c r="J806" t="n">
        <v>1</v>
      </c>
      <c r="K806" t="n">
        <v>0</v>
      </c>
      <c r="L806" t="n">
        <v>0</v>
      </c>
      <c r="M806" t="n">
        <v>0</v>
      </c>
      <c r="N806" t="n">
        <v>0</v>
      </c>
      <c r="O806" t="n">
        <v>0</v>
      </c>
      <c r="P806" t="n">
        <v>0</v>
      </c>
      <c r="Q806" t="n">
        <v>0</v>
      </c>
      <c r="R806" t="n">
        <v>0</v>
      </c>
      <c r="S806" t="n">
        <v>1</v>
      </c>
      <c r="T806" t="n">
        <v>1</v>
      </c>
      <c r="U806" t="n">
        <v>1</v>
      </c>
      <c r="V806" s="2" t="inlineStr">
        <is>
          <t>Lopplummer (aggregat)</t>
        </is>
      </c>
      <c r="W806">
        <f>HYPERLINK("https://klasma.github.io/Logging_1290/artfynd/S 1380-2026 artfynd.xlsx", "S 1380-2026")</f>
        <v/>
      </c>
      <c r="X806">
        <f>HYPERLINK("https://klasma.github.io/Logging_1290/kartor/S 1380-2026 karta.png", "S 1380-2026")</f>
        <v/>
      </c>
      <c r="Y806">
        <f>HYPERLINK("https://klasma.github.io/Logging_1290/kartor_geotiff/S 1380-2026 georefererad karta.tif", "S 1380-2026")</f>
        <v/>
      </c>
      <c r="AA806">
        <f>HYPERLINK("https://klasma.github.io/Logging_1290/klagomål/S 1380-2026 FSC-klagomål.docx", "S 1380-2026")</f>
        <v/>
      </c>
      <c r="AB806">
        <f>HYPERLINK("https://klasma.github.io/Logging_1290/klagomålsmail/S 1380-2026 FSC-klagomål mail.docx", "S 1380-2026")</f>
        <v/>
      </c>
      <c r="AC806">
        <f>HYPERLINK("https://klasma.github.io/Logging_1290/tillsyn/S 1380-2026 tillsynsbegäran.docx", "S 1380-2026")</f>
        <v/>
      </c>
      <c r="AD806">
        <f>HYPERLINK("https://klasma.github.io/Logging_1290/tillsynsmail/S 1380-2026 tillsynsbegäran mail.docx", "S 1380-2026")</f>
        <v/>
      </c>
    </row>
    <row r="807" ht="15" customHeight="1">
      <c r="A807" t="inlineStr">
        <is>
          <t>S 1376-2026</t>
        </is>
      </c>
      <c r="B807" t="inlineStr">
        <is>
          <t>samrådsanmälan</t>
        </is>
      </c>
      <c r="C807" t="inlineStr">
        <is>
          <t>Askåterföring</t>
        </is>
      </c>
      <c r="D807" s="1" t="n">
        <v>46147</v>
      </c>
      <c r="E807" s="1" t="n">
        <v>46312</v>
      </c>
      <c r="F807" t="inlineStr">
        <is>
          <t>SKÅNE LÄN</t>
        </is>
      </c>
      <c r="G807" t="inlineStr">
        <is>
          <t>BROMÖLLA</t>
        </is>
      </c>
      <c r="I807" t="n">
        <v>30.1</v>
      </c>
      <c r="J807" t="n">
        <v>1</v>
      </c>
      <c r="K807" t="n">
        <v>0</v>
      </c>
      <c r="L807" t="n">
        <v>0</v>
      </c>
      <c r="M807" t="n">
        <v>0</v>
      </c>
      <c r="N807" t="n">
        <v>0</v>
      </c>
      <c r="O807" t="n">
        <v>0</v>
      </c>
      <c r="P807" t="n">
        <v>0</v>
      </c>
      <c r="Q807" t="n">
        <v>0</v>
      </c>
      <c r="R807" t="n">
        <v>0</v>
      </c>
      <c r="S807" t="n">
        <v>1</v>
      </c>
      <c r="T807" t="n">
        <v>1</v>
      </c>
      <c r="U807" t="n">
        <v>0</v>
      </c>
      <c r="V807" s="2" t="inlineStr">
        <is>
          <t>Spillkråka</t>
        </is>
      </c>
      <c r="W807">
        <f>HYPERLINK("https://klasma.github.io/Logging_1272/artfynd/S 1376-2026 artfynd.xlsx", "S 1376-2026")</f>
        <v/>
      </c>
      <c r="X807">
        <f>HYPERLINK("https://klasma.github.io/Logging_1272/kartor/S 1376-2026 karta.png", "S 1376-2026")</f>
        <v/>
      </c>
      <c r="Y807">
        <f>HYPERLINK("https://klasma.github.io/Logging_1272/kartor_geotiff/S 1376-2026 georefererad karta.tif", "S 1376-2026")</f>
        <v/>
      </c>
      <c r="AA807">
        <f>HYPERLINK("https://klasma.github.io/Logging_1272/klagomål/S 1376-2026 FSC-klagomål.docx", "S 1376-2026")</f>
        <v/>
      </c>
      <c r="AB807">
        <f>HYPERLINK("https://klasma.github.io/Logging_1272/klagomålsmail/S 1376-2026 FSC-klagomål mail.docx", "S 1376-2026")</f>
        <v/>
      </c>
      <c r="AC807">
        <f>HYPERLINK("https://klasma.github.io/Logging_1272/tillsyn/S 1376-2026 tillsynsbegäran.docx", "S 1376-2026")</f>
        <v/>
      </c>
      <c r="AD807">
        <f>HYPERLINK("https://klasma.github.io/Logging_1272/tillsynsmail/S 1376-2026 tillsynsbegäran mail.docx", "S 1376-2026")</f>
        <v/>
      </c>
      <c r="AE807">
        <f>HYPERLINK("https://klasma.github.io/Logging_1272/fåglar/S 1376-2026 prioriterade fågelarter.docx", "S 1376-2026")</f>
        <v/>
      </c>
    </row>
    <row r="808" ht="15" customHeight="1">
      <c r="A808" t="inlineStr">
        <is>
          <t>S 1516-2026</t>
        </is>
      </c>
      <c r="B808" t="inlineStr">
        <is>
          <t>samrådsanmälan</t>
        </is>
      </c>
      <c r="C808" t="inlineStr">
        <is>
          <t>Askåterföring</t>
        </is>
      </c>
      <c r="D808" s="1" t="n">
        <v>46164</v>
      </c>
      <c r="E808" s="1" t="n">
        <v>46312</v>
      </c>
      <c r="F808" t="inlineStr">
        <is>
          <t>SKÅNE LÄN</t>
        </is>
      </c>
      <c r="G808" t="inlineStr">
        <is>
          <t>PERSTORP</t>
        </is>
      </c>
      <c r="I808" t="n">
        <v>43.2</v>
      </c>
      <c r="J808" t="n">
        <v>0</v>
      </c>
      <c r="K808" t="n">
        <v>1</v>
      </c>
      <c r="L808" t="n">
        <v>0</v>
      </c>
      <c r="M808" t="n">
        <v>0</v>
      </c>
      <c r="N808" t="n">
        <v>0</v>
      </c>
      <c r="O808" t="n">
        <v>0</v>
      </c>
      <c r="P808" t="n">
        <v>0</v>
      </c>
      <c r="Q808" t="n">
        <v>0</v>
      </c>
      <c r="R808" t="n">
        <v>0</v>
      </c>
      <c r="S808" t="n">
        <v>1</v>
      </c>
      <c r="T808" t="n">
        <v>1</v>
      </c>
      <c r="U808" t="n">
        <v>0</v>
      </c>
      <c r="V808" s="2" t="inlineStr">
        <is>
          <t>Tibast</t>
        </is>
      </c>
      <c r="W808">
        <f>HYPERLINK("https://klasma.github.io/Logging_1275/artfynd/S 1516-2026 artfynd.xlsx", "S 1516-2026")</f>
        <v/>
      </c>
      <c r="X808">
        <f>HYPERLINK("https://klasma.github.io/Logging_1275/kartor/S 1516-2026 karta.png", "S 1516-2026")</f>
        <v/>
      </c>
      <c r="Y808">
        <f>HYPERLINK("https://klasma.github.io/Logging_1275/kartor_geotiff/S 1516-2026 georefererad karta.tif", "S 1516-2026")</f>
        <v/>
      </c>
      <c r="AA808">
        <f>HYPERLINK("https://klasma.github.io/Logging_1275/klagomål/S 1516-2026 FSC-klagomål.docx", "S 1516-2026")</f>
        <v/>
      </c>
      <c r="AB808">
        <f>HYPERLINK("https://klasma.github.io/Logging_1275/klagomålsmail/S 1516-2026 FSC-klagomål mail.docx", "S 1516-2026")</f>
        <v/>
      </c>
      <c r="AC808">
        <f>HYPERLINK("https://klasma.github.io/Logging_1275/tillsyn/S 1516-2026 tillsynsbegäran.docx", "S 1516-2026")</f>
        <v/>
      </c>
      <c r="AD808">
        <f>HYPERLINK("https://klasma.github.io/Logging_1275/tillsynsmail/S 1516-2026 tillsynsbegäran mail.docx", "S 1516-2026")</f>
        <v/>
      </c>
    </row>
    <row r="809" ht="15" customHeight="1">
      <c r="A809" t="inlineStr">
        <is>
          <t>S 1996-2026</t>
        </is>
      </c>
      <c r="B809" t="inlineStr">
        <is>
          <t>samrådsanmälan</t>
        </is>
      </c>
      <c r="C809" t="inlineStr">
        <is>
          <t>Askåterföring</t>
        </is>
      </c>
      <c r="D809" s="1" t="n">
        <v>46213</v>
      </c>
      <c r="E809" s="1" t="n">
        <v>46312</v>
      </c>
      <c r="F809" t="inlineStr">
        <is>
          <t>SKÅNE LÄN</t>
        </is>
      </c>
      <c r="G809" t="inlineStr">
        <is>
          <t>SVEDALA</t>
        </is>
      </c>
      <c r="I809" t="n">
        <v>6.3</v>
      </c>
      <c r="J809" t="n">
        <v>1</v>
      </c>
      <c r="K809" t="n">
        <v>0</v>
      </c>
      <c r="L809" t="n">
        <v>0</v>
      </c>
      <c r="M809" t="n">
        <v>1</v>
      </c>
      <c r="N809" t="n">
        <v>0</v>
      </c>
      <c r="O809" t="n">
        <v>0</v>
      </c>
      <c r="P809" t="n">
        <v>0</v>
      </c>
      <c r="Q809" t="n">
        <v>1</v>
      </c>
      <c r="R809" t="n">
        <v>1</v>
      </c>
      <c r="S809" t="n">
        <v>1</v>
      </c>
      <c r="T809" t="n">
        <v>1</v>
      </c>
      <c r="U809" t="n">
        <v>0</v>
      </c>
      <c r="V809" s="2" t="inlineStr">
        <is>
          <t>Stare</t>
        </is>
      </c>
      <c r="W809">
        <f>HYPERLINK("https://klasma.github.io/Logging_1263/artfynd/S 1996-2026 artfynd.xlsx", "S 1996-2026")</f>
        <v/>
      </c>
      <c r="X809">
        <f>HYPERLINK("https://klasma.github.io/Logging_1263/kartor/S 1996-2026 karta.png", "S 1996-2026")</f>
        <v/>
      </c>
      <c r="Y809">
        <f>HYPERLINK("https://klasma.github.io/Logging_1263/kartor_geotiff/S 1996-2026 georefererad karta.tif", "S 1996-2026")</f>
        <v/>
      </c>
      <c r="AA809">
        <f>HYPERLINK("https://klasma.github.io/Logging_1263/klagomål/S 1996-2026 FSC-klagomål.docx", "S 1996-2026")</f>
        <v/>
      </c>
      <c r="AB809">
        <f>HYPERLINK("https://klasma.github.io/Logging_1263/klagomålsmail/S 1996-2026 FSC-klagomål mail.docx", "S 1996-2026")</f>
        <v/>
      </c>
      <c r="AC809">
        <f>HYPERLINK("https://klasma.github.io/Logging_1263/tillsyn/S 1996-2026 tillsynsbegäran.docx", "S 1996-2026")</f>
        <v/>
      </c>
      <c r="AD809">
        <f>HYPERLINK("https://klasma.github.io/Logging_1263/tillsynsmail/S 1996-2026 tillsynsbegäran mail.docx", "S 1996-2026")</f>
        <v/>
      </c>
      <c r="AE809">
        <f>HYPERLINK("https://klasma.github.io/Logging_1263/fåglar/S 1996-2026 prioriterade fågelarter.docx", "S 1996-2026")</f>
        <v/>
      </c>
    </row>
    <row r="810" ht="15" customHeight="1">
      <c r="A810" t="inlineStr">
        <is>
          <t>S 2622-2026</t>
        </is>
      </c>
      <c r="B810" t="inlineStr">
        <is>
          <t>samrådsanmälan</t>
        </is>
      </c>
      <c r="C810" t="inlineStr">
        <is>
          <t>Annan skogsbruksåtgärd</t>
        </is>
      </c>
      <c r="D810" s="1" t="n">
        <v>46302</v>
      </c>
      <c r="E810" s="1" t="n">
        <v>46312</v>
      </c>
      <c r="F810" t="inlineStr">
        <is>
          <t>SKÅNE LÄN</t>
        </is>
      </c>
      <c r="G810" t="inlineStr">
        <is>
          <t>TOMELILLA</t>
        </is>
      </c>
      <c r="I810" t="n">
        <v>15</v>
      </c>
      <c r="J810" t="n">
        <v>1</v>
      </c>
      <c r="K810" t="n">
        <v>0</v>
      </c>
      <c r="L810" t="n">
        <v>0</v>
      </c>
      <c r="M810" t="n">
        <v>1</v>
      </c>
      <c r="N810" t="n">
        <v>0</v>
      </c>
      <c r="O810" t="n">
        <v>0</v>
      </c>
      <c r="P810" t="n">
        <v>0</v>
      </c>
      <c r="Q810" t="n">
        <v>1</v>
      </c>
      <c r="R810" t="n">
        <v>1</v>
      </c>
      <c r="S810" t="n">
        <v>1</v>
      </c>
      <c r="T810" t="n">
        <v>1</v>
      </c>
      <c r="U810" t="n">
        <v>0</v>
      </c>
      <c r="V810" s="2" t="inlineStr">
        <is>
          <t>Hedblomster</t>
        </is>
      </c>
      <c r="W810">
        <f>HYPERLINK("https://klasma.github.io/Logging_1270/artfynd/S 2622-2026 artfynd.xlsx", "S 2622-2026")</f>
        <v/>
      </c>
      <c r="X810">
        <f>HYPERLINK("https://klasma.github.io/Logging_1270/kartor/S 2622-2026 karta.png", "S 2622-2026")</f>
        <v/>
      </c>
      <c r="Y810">
        <f>HYPERLINK("https://klasma.github.io/Logging_1270/kartor_geotiff/S 2622-2026 georefererad karta.tif", "S 2622-2026")</f>
        <v/>
      </c>
      <c r="AA810">
        <f>HYPERLINK("https://klasma.github.io/Logging_1270/klagomål/S 2622-2026 FSC-klagomål.docx", "S 2622-2026")</f>
        <v/>
      </c>
      <c r="AB810">
        <f>HYPERLINK("https://klasma.github.io/Logging_1270/klagomålsmail/S 2622-2026 FSC-klagomål mail.docx", "S 2622-2026")</f>
        <v/>
      </c>
      <c r="AC810">
        <f>HYPERLINK("https://klasma.github.io/Logging_1270/tillsyn/S 2622-2026 tillsynsbegäran.docx", "S 2622-2026")</f>
        <v/>
      </c>
      <c r="AD810">
        <f>HYPERLINK("https://klasma.github.io/Logging_1270/tillsynsmail/S 2622-2026 tillsynsbegäran mail.docx", "S 2622-2026")</f>
        <v/>
      </c>
    </row>
    <row r="811" ht="15" customHeight="1">
      <c r="A811" t="inlineStr">
        <is>
          <t>A 1694-2022</t>
        </is>
      </c>
      <c r="B811" t="inlineStr">
        <is>
          <t>avverkningsanmälan</t>
        </is>
      </c>
      <c r="C811" t="inlineStr">
        <is>
          <t>Avverkning för annat ändamål</t>
        </is>
      </c>
      <c r="D811" s="1" t="n">
        <v>44574</v>
      </c>
      <c r="E811" s="1" t="n">
        <v>46312</v>
      </c>
      <c r="F811" t="inlineStr">
        <is>
          <t>SKÅNE LÄN</t>
        </is>
      </c>
      <c r="G811" t="inlineStr">
        <is>
          <t>KRISTIANSTAD</t>
        </is>
      </c>
      <c r="I811" t="n">
        <v>0.4</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55618-2022</t>
        </is>
      </c>
      <c r="B812" t="inlineStr">
        <is>
          <t>avverkningsanmälan</t>
        </is>
      </c>
      <c r="C812" t="inlineStr">
        <is>
          <t>Föryngringsavverkning</t>
        </is>
      </c>
      <c r="D812" s="1" t="n">
        <v>44883</v>
      </c>
      <c r="E812" s="1" t="n">
        <v>46312</v>
      </c>
      <c r="F812" t="inlineStr">
        <is>
          <t>SKÅNE LÄN</t>
        </is>
      </c>
      <c r="G812" t="inlineStr">
        <is>
          <t>HÄSSLEHOLM</t>
        </is>
      </c>
      <c r="H812" t="inlineStr">
        <is>
          <t>Övriga Aktiebolag</t>
        </is>
      </c>
      <c r="I812" t="n">
        <v>0.7</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55629-2022</t>
        </is>
      </c>
      <c r="B813" t="inlineStr">
        <is>
          <t>avverkningsanmälan</t>
        </is>
      </c>
      <c r="C813" t="inlineStr">
        <is>
          <t>Föryngringsavverkning</t>
        </is>
      </c>
      <c r="D813" s="1" t="n">
        <v>44883</v>
      </c>
      <c r="E813" s="1" t="n">
        <v>46312</v>
      </c>
      <c r="F813" t="inlineStr">
        <is>
          <t>SKÅNE LÄN</t>
        </is>
      </c>
      <c r="G813" t="inlineStr">
        <is>
          <t>KLIPPAN</t>
        </is>
      </c>
      <c r="H813" t="inlineStr">
        <is>
          <t>Övriga Aktiebolag</t>
        </is>
      </c>
      <c r="I813" t="n">
        <v>0.7</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63913-2021</t>
        </is>
      </c>
      <c r="B814" t="inlineStr">
        <is>
          <t>avverkningsanmälan</t>
        </is>
      </c>
      <c r="C814" t="inlineStr">
        <is>
          <t>Föryngringsavverkning</t>
        </is>
      </c>
      <c r="D814" s="1" t="n">
        <v>44509</v>
      </c>
      <c r="E814" s="1" t="n">
        <v>46312</v>
      </c>
      <c r="F814" t="inlineStr">
        <is>
          <t>SKÅNE LÄN</t>
        </is>
      </c>
      <c r="G814" t="inlineStr">
        <is>
          <t>HÖRBY</t>
        </is>
      </c>
      <c r="I814" t="n">
        <v>0.7</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3646-2022</t>
        </is>
      </c>
      <c r="B815" t="inlineStr">
        <is>
          <t>avverkningsanmälan</t>
        </is>
      </c>
      <c r="C815" t="inlineStr">
        <is>
          <t>Föryngringsavverkning</t>
        </is>
      </c>
      <c r="D815" s="1" t="n">
        <v>44586</v>
      </c>
      <c r="E815" s="1" t="n">
        <v>46312</v>
      </c>
      <c r="F815" t="inlineStr">
        <is>
          <t>SKÅNE LÄN</t>
        </is>
      </c>
      <c r="G815" t="inlineStr">
        <is>
          <t>OSBY</t>
        </is>
      </c>
      <c r="I815" t="n">
        <v>1.7</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30657-2022</t>
        </is>
      </c>
      <c r="B816" t="inlineStr">
        <is>
          <t>avverkningsanmälan</t>
        </is>
      </c>
      <c r="C816" t="inlineStr">
        <is>
          <t>Föryngringsavverkning</t>
        </is>
      </c>
      <c r="D816" s="1" t="n">
        <v>44763</v>
      </c>
      <c r="E816" s="1" t="n">
        <v>46312</v>
      </c>
      <c r="F816" t="inlineStr">
        <is>
          <t>SKÅNE LÄN</t>
        </is>
      </c>
      <c r="G816" t="inlineStr">
        <is>
          <t>SVALÖV</t>
        </is>
      </c>
      <c r="I816" t="n">
        <v>0.6</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14709-2022</t>
        </is>
      </c>
      <c r="B817" t="inlineStr">
        <is>
          <t>avverkningsanmälan</t>
        </is>
      </c>
      <c r="C817" t="inlineStr">
        <is>
          <t>Föryngringsavverkning</t>
        </is>
      </c>
      <c r="D817" s="1" t="n">
        <v>44656</v>
      </c>
      <c r="E817" s="1" t="n">
        <v>46312</v>
      </c>
      <c r="F817" t="inlineStr">
        <is>
          <t>SKÅNE LÄN</t>
        </is>
      </c>
      <c r="G817" t="inlineStr">
        <is>
          <t>SJÖBO</t>
        </is>
      </c>
      <c r="H817" t="inlineStr">
        <is>
          <t>Övriga Aktiebolag</t>
        </is>
      </c>
      <c r="I817" t="n">
        <v>5.1</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28932-2022</t>
        </is>
      </c>
      <c r="B818" t="inlineStr">
        <is>
          <t>avverkningsanmälan</t>
        </is>
      </c>
      <c r="C818" t="inlineStr">
        <is>
          <t>Föryngringsavverkning</t>
        </is>
      </c>
      <c r="D818" s="1" t="n">
        <v>44749</v>
      </c>
      <c r="E818" s="1" t="n">
        <v>46312</v>
      </c>
      <c r="F818" t="inlineStr">
        <is>
          <t>SKÅNE LÄN</t>
        </is>
      </c>
      <c r="G818" t="inlineStr">
        <is>
          <t>SJÖBO</t>
        </is>
      </c>
      <c r="I818" t="n">
        <v>0.4</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18158-2022</t>
        </is>
      </c>
      <c r="B819" t="inlineStr">
        <is>
          <t>avverkningsanmälan</t>
        </is>
      </c>
      <c r="C819" t="inlineStr">
        <is>
          <t>Föryngringsavverkning</t>
        </is>
      </c>
      <c r="D819" s="1" t="n">
        <v>44684</v>
      </c>
      <c r="E819" s="1" t="n">
        <v>46312</v>
      </c>
      <c r="F819" t="inlineStr">
        <is>
          <t>SKÅNE LÄN</t>
        </is>
      </c>
      <c r="G819" t="inlineStr">
        <is>
          <t>TOMELILLA</t>
        </is>
      </c>
      <c r="I819" t="n">
        <v>1.6</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15794-2022</t>
        </is>
      </c>
      <c r="B820" t="inlineStr">
        <is>
          <t>avverkningsanmälan</t>
        </is>
      </c>
      <c r="C820" t="inlineStr">
        <is>
          <t>Avverkning för annat ändamål</t>
        </is>
      </c>
      <c r="D820" s="1" t="n">
        <v>44663</v>
      </c>
      <c r="E820" s="1" t="n">
        <v>46312</v>
      </c>
      <c r="F820" t="inlineStr">
        <is>
          <t>SKÅNE LÄN</t>
        </is>
      </c>
      <c r="G820" t="inlineStr">
        <is>
          <t>HÖRBY</t>
        </is>
      </c>
      <c r="I820" t="n">
        <v>0.5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35099-2022</t>
        </is>
      </c>
      <c r="B821" t="inlineStr">
        <is>
          <t>avverkningsanmälan</t>
        </is>
      </c>
      <c r="C821" t="inlineStr">
        <is>
          <t>Föryngringsavverkning</t>
        </is>
      </c>
      <c r="D821" s="1" t="n">
        <v>44797</v>
      </c>
      <c r="E821" s="1" t="n">
        <v>46312</v>
      </c>
      <c r="F821" t="inlineStr">
        <is>
          <t>SKÅNE LÄN</t>
        </is>
      </c>
      <c r="G821" t="inlineStr">
        <is>
          <t>HÄSSLEHOLM</t>
        </is>
      </c>
      <c r="I821" t="n">
        <v>4.1</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53742-2022</t>
        </is>
      </c>
      <c r="B822" t="inlineStr">
        <is>
          <t>avverkningsanmälan</t>
        </is>
      </c>
      <c r="C822" t="inlineStr">
        <is>
          <t>Föryngringsavverkning</t>
        </is>
      </c>
      <c r="D822" s="1" t="n">
        <v>44880</v>
      </c>
      <c r="E822" s="1" t="n">
        <v>46312</v>
      </c>
      <c r="F822" t="inlineStr">
        <is>
          <t>SKÅNE LÄN</t>
        </is>
      </c>
      <c r="G822" t="inlineStr">
        <is>
          <t>ÄNGELHOLM</t>
        </is>
      </c>
      <c r="I822" t="n">
        <v>0.5</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54563-2022</t>
        </is>
      </c>
      <c r="B823" t="inlineStr">
        <is>
          <t>avverkningsanmälan</t>
        </is>
      </c>
      <c r="C823" t="inlineStr">
        <is>
          <t>Föryngringsavverkning</t>
        </is>
      </c>
      <c r="D823" s="1" t="n">
        <v>44882</v>
      </c>
      <c r="E823" s="1" t="n">
        <v>46312</v>
      </c>
      <c r="F823" t="inlineStr">
        <is>
          <t>SKÅNE LÄN</t>
        </is>
      </c>
      <c r="G823" t="inlineStr">
        <is>
          <t>HÖÖR</t>
        </is>
      </c>
      <c r="I823" t="n">
        <v>0.8</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55154-2022</t>
        </is>
      </c>
      <c r="B824" t="inlineStr">
        <is>
          <t>avverkningsanmälan</t>
        </is>
      </c>
      <c r="C824" t="inlineStr">
        <is>
          <t>Föryngringsavverkning</t>
        </is>
      </c>
      <c r="D824" s="1" t="n">
        <v>44886</v>
      </c>
      <c r="E824" s="1" t="n">
        <v>46312</v>
      </c>
      <c r="F824" t="inlineStr">
        <is>
          <t>SKÅNE LÄN</t>
        </is>
      </c>
      <c r="G824" t="inlineStr">
        <is>
          <t>HÄSSLEHOLM</t>
        </is>
      </c>
      <c r="I824" t="n">
        <v>1.4</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55155-2022</t>
        </is>
      </c>
      <c r="B825" t="inlineStr">
        <is>
          <t>avverkningsanmälan</t>
        </is>
      </c>
      <c r="C825" t="inlineStr">
        <is>
          <t>Föryngringsavverkning</t>
        </is>
      </c>
      <c r="D825" s="1" t="n">
        <v>44886</v>
      </c>
      <c r="E825" s="1" t="n">
        <v>46312</v>
      </c>
      <c r="F825" t="inlineStr">
        <is>
          <t>SKÅNE LÄN</t>
        </is>
      </c>
      <c r="G825" t="inlineStr">
        <is>
          <t>HÄSSLEHOLM</t>
        </is>
      </c>
      <c r="I825" t="n">
        <v>1.1</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55637-2022</t>
        </is>
      </c>
      <c r="B826" t="inlineStr">
        <is>
          <t>avverkningsanmälan</t>
        </is>
      </c>
      <c r="C826" t="inlineStr">
        <is>
          <t>Föryngringsavverkning</t>
        </is>
      </c>
      <c r="D826" s="1" t="n">
        <v>44883</v>
      </c>
      <c r="E826" s="1" t="n">
        <v>46312</v>
      </c>
      <c r="F826" t="inlineStr">
        <is>
          <t>SKÅNE LÄN</t>
        </is>
      </c>
      <c r="G826" t="inlineStr">
        <is>
          <t>KLIPPAN</t>
        </is>
      </c>
      <c r="H826" t="inlineStr">
        <is>
          <t>Övriga Aktiebolag</t>
        </is>
      </c>
      <c r="I826" t="n">
        <v>2.4</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27452-2022</t>
        </is>
      </c>
      <c r="B827" t="inlineStr">
        <is>
          <t>avverkningsanmälan</t>
        </is>
      </c>
      <c r="C827" t="inlineStr">
        <is>
          <t>Föryngringsavverkning</t>
        </is>
      </c>
      <c r="D827" s="1" t="n">
        <v>44742</v>
      </c>
      <c r="E827" s="1" t="n">
        <v>46312</v>
      </c>
      <c r="F827" t="inlineStr">
        <is>
          <t>SKÅNE LÄN</t>
        </is>
      </c>
      <c r="G827" t="inlineStr">
        <is>
          <t>HÄSSLEHOLM</t>
        </is>
      </c>
      <c r="I827" t="n">
        <v>4.2</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21393-2022</t>
        </is>
      </c>
      <c r="B828" t="inlineStr">
        <is>
          <t>avverkningsanmälan</t>
        </is>
      </c>
      <c r="C828" t="inlineStr">
        <is>
          <t>Föryngringsavverkning</t>
        </is>
      </c>
      <c r="D828" s="1" t="n">
        <v>44705</v>
      </c>
      <c r="E828" s="1" t="n">
        <v>46312</v>
      </c>
      <c r="F828" t="inlineStr">
        <is>
          <t>SKÅNE LÄN</t>
        </is>
      </c>
      <c r="G828" t="inlineStr">
        <is>
          <t>KRISTIANSTAD</t>
        </is>
      </c>
      <c r="I828" t="n">
        <v>1.9</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43868-2022</t>
        </is>
      </c>
      <c r="B829" t="inlineStr">
        <is>
          <t>avverkningsanmälan</t>
        </is>
      </c>
      <c r="C829" t="inlineStr">
        <is>
          <t>Föryngringsavverkning</t>
        </is>
      </c>
      <c r="D829" s="1" t="n">
        <v>44838</v>
      </c>
      <c r="E829" s="1" t="n">
        <v>46312</v>
      </c>
      <c r="F829" t="inlineStr">
        <is>
          <t>SKÅNE LÄN</t>
        </is>
      </c>
      <c r="G829" t="inlineStr">
        <is>
          <t>KRISTIANSTAD</t>
        </is>
      </c>
      <c r="H829" t="inlineStr">
        <is>
          <t>Sveaskog</t>
        </is>
      </c>
      <c r="I829" t="n">
        <v>0.6</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48038-2022</t>
        </is>
      </c>
      <c r="B830" t="inlineStr">
        <is>
          <t>avverkningsanmälan</t>
        </is>
      </c>
      <c r="C830" t="inlineStr">
        <is>
          <t>Föryngringsavverkning</t>
        </is>
      </c>
      <c r="D830" s="1" t="n">
        <v>44855</v>
      </c>
      <c r="E830" s="1" t="n">
        <v>46312</v>
      </c>
      <c r="F830" t="inlineStr">
        <is>
          <t>SKÅNE LÄN</t>
        </is>
      </c>
      <c r="G830" t="inlineStr">
        <is>
          <t>ÖSTRA GÖINGE</t>
        </is>
      </c>
      <c r="I830" t="n">
        <v>1.9</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61510-2021</t>
        </is>
      </c>
      <c r="B831" t="inlineStr">
        <is>
          <t>avverkningsanmälan</t>
        </is>
      </c>
      <c r="C831" t="inlineStr">
        <is>
          <t>Föryngringsavverkning</t>
        </is>
      </c>
      <c r="D831" s="1" t="n">
        <v>44501</v>
      </c>
      <c r="E831" s="1" t="n">
        <v>46312</v>
      </c>
      <c r="F831" t="inlineStr">
        <is>
          <t>SKÅNE LÄN</t>
        </is>
      </c>
      <c r="G831" t="inlineStr">
        <is>
          <t>HÄSSLEHOLM</t>
        </is>
      </c>
      <c r="I831" t="n">
        <v>6.1</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73927-2021</t>
        </is>
      </c>
      <c r="B832" t="inlineStr">
        <is>
          <t>avverkningsanmälan</t>
        </is>
      </c>
      <c r="C832" t="inlineStr">
        <is>
          <t>Föryngringsavverkning</t>
        </is>
      </c>
      <c r="D832" s="1" t="n">
        <v>44553</v>
      </c>
      <c r="E832" s="1" t="n">
        <v>46312</v>
      </c>
      <c r="F832" t="inlineStr">
        <is>
          <t>SKÅNE LÄN</t>
        </is>
      </c>
      <c r="G832" t="inlineStr">
        <is>
          <t>OSBY</t>
        </is>
      </c>
      <c r="I832" t="n">
        <v>1.3</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74078-2021</t>
        </is>
      </c>
      <c r="B833" t="inlineStr">
        <is>
          <t>avverkningsanmälan</t>
        </is>
      </c>
      <c r="C833" t="inlineStr">
        <is>
          <t>Föryngringsavverkning</t>
        </is>
      </c>
      <c r="D833" s="1" t="n">
        <v>44557</v>
      </c>
      <c r="E833" s="1" t="n">
        <v>46312</v>
      </c>
      <c r="F833" t="inlineStr">
        <is>
          <t>SKÅNE LÄN</t>
        </is>
      </c>
      <c r="G833" t="inlineStr">
        <is>
          <t>ÖSTRA GÖINGE</t>
        </is>
      </c>
      <c r="I833" t="n">
        <v>0.5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64128-2021</t>
        </is>
      </c>
      <c r="B834" t="inlineStr">
        <is>
          <t>avverkningsanmälan</t>
        </is>
      </c>
      <c r="C834" t="inlineStr">
        <is>
          <t>Avverkning för annat ändamål</t>
        </is>
      </c>
      <c r="D834" s="1" t="n">
        <v>44509</v>
      </c>
      <c r="E834" s="1" t="n">
        <v>46312</v>
      </c>
      <c r="F834" t="inlineStr">
        <is>
          <t>SKÅNE LÄN</t>
        </is>
      </c>
      <c r="G834" t="inlineStr">
        <is>
          <t>HÖRBY</t>
        </is>
      </c>
      <c r="I834" t="n">
        <v>0.4</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69993-2021</t>
        </is>
      </c>
      <c r="B835" t="inlineStr">
        <is>
          <t>avverkningsanmälan</t>
        </is>
      </c>
      <c r="C835" t="inlineStr">
        <is>
          <t>Föryngringsavverkning</t>
        </is>
      </c>
      <c r="D835" s="1" t="n">
        <v>44533</v>
      </c>
      <c r="E835" s="1" t="n">
        <v>46312</v>
      </c>
      <c r="F835" t="inlineStr">
        <is>
          <t>SKÅNE LÄN</t>
        </is>
      </c>
      <c r="G835" t="inlineStr">
        <is>
          <t>KRISTIANSTAD</t>
        </is>
      </c>
      <c r="I835" t="n">
        <v>6</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74476-2021</t>
        </is>
      </c>
      <c r="B836" t="inlineStr">
        <is>
          <t>avverkningsanmälan</t>
        </is>
      </c>
      <c r="C836" t="inlineStr">
        <is>
          <t>Föryngringsavverkning</t>
        </is>
      </c>
      <c r="D836" s="1" t="n">
        <v>44560</v>
      </c>
      <c r="E836" s="1" t="n">
        <v>46312</v>
      </c>
      <c r="F836" t="inlineStr">
        <is>
          <t>SKÅNE LÄN</t>
        </is>
      </c>
      <c r="G836" t="inlineStr">
        <is>
          <t>HÄSSLEHOLM</t>
        </is>
      </c>
      <c r="I836" t="n">
        <v>0.4</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74093-2021</t>
        </is>
      </c>
      <c r="B837" t="inlineStr">
        <is>
          <t>avverkningsanmälan</t>
        </is>
      </c>
      <c r="C837" t="inlineStr">
        <is>
          <t>Föryngringsavverkning</t>
        </is>
      </c>
      <c r="D837" s="1" t="n">
        <v>44557</v>
      </c>
      <c r="E837" s="1" t="n">
        <v>46312</v>
      </c>
      <c r="F837" t="inlineStr">
        <is>
          <t>SKÅNE LÄN</t>
        </is>
      </c>
      <c r="G837" t="inlineStr">
        <is>
          <t>ÖSTRA GÖINGE</t>
        </is>
      </c>
      <c r="I837" t="n">
        <v>0.5</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33323-2022</t>
        </is>
      </c>
      <c r="B838" t="inlineStr">
        <is>
          <t>avverkningsanmälan</t>
        </is>
      </c>
      <c r="C838" t="inlineStr">
        <is>
          <t>Föryngringsavverkning</t>
        </is>
      </c>
      <c r="D838" s="1" t="n">
        <v>44788</v>
      </c>
      <c r="E838" s="1" t="n">
        <v>46312</v>
      </c>
      <c r="F838" t="inlineStr">
        <is>
          <t>SKÅNE LÄN</t>
        </is>
      </c>
      <c r="G838" t="inlineStr">
        <is>
          <t>ÖRKELLJUNGA</t>
        </is>
      </c>
      <c r="I838" t="n">
        <v>2</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70357-2021</t>
        </is>
      </c>
      <c r="B839" t="inlineStr">
        <is>
          <t>avverkningsanmälan</t>
        </is>
      </c>
      <c r="C839" t="inlineStr">
        <is>
          <t>Föryngringsavverkning</t>
        </is>
      </c>
      <c r="D839" s="1" t="n">
        <v>44536</v>
      </c>
      <c r="E839" s="1" t="n">
        <v>46312</v>
      </c>
      <c r="F839" t="inlineStr">
        <is>
          <t>SKÅNE LÄN</t>
        </is>
      </c>
      <c r="G839" t="inlineStr">
        <is>
          <t>KRISTIANSTAD</t>
        </is>
      </c>
      <c r="I839" t="n">
        <v>4.2</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220-2022</t>
        </is>
      </c>
      <c r="B840" t="inlineStr">
        <is>
          <t>avverkningsanmälan</t>
        </is>
      </c>
      <c r="C840" t="inlineStr">
        <is>
          <t>Föryngringsavverkning</t>
        </is>
      </c>
      <c r="D840" s="1" t="n">
        <v>44564</v>
      </c>
      <c r="E840" s="1" t="n">
        <v>46312</v>
      </c>
      <c r="F840" t="inlineStr">
        <is>
          <t>SKÅNE LÄN</t>
        </is>
      </c>
      <c r="G840" t="inlineStr">
        <is>
          <t>HÄSSLEHOLM</t>
        </is>
      </c>
      <c r="I840" t="n">
        <v>0.8</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5937-2022</t>
        </is>
      </c>
      <c r="B841" t="inlineStr">
        <is>
          <t>avverkningsanmälan</t>
        </is>
      </c>
      <c r="C841" t="inlineStr">
        <is>
          <t>Föryngringsavverkning</t>
        </is>
      </c>
      <c r="D841" s="1" t="n">
        <v>44598</v>
      </c>
      <c r="E841" s="1" t="n">
        <v>46312</v>
      </c>
      <c r="F841" t="inlineStr">
        <is>
          <t>SKÅNE LÄN</t>
        </is>
      </c>
      <c r="G841" t="inlineStr">
        <is>
          <t>SVALÖV</t>
        </is>
      </c>
      <c r="I841" t="n">
        <v>1</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40196-2022</t>
        </is>
      </c>
      <c r="B842" t="inlineStr">
        <is>
          <t>avverkningsanmälan</t>
        </is>
      </c>
      <c r="C842" t="inlineStr">
        <is>
          <t>Föryngringsavverkning</t>
        </is>
      </c>
      <c r="D842" s="1" t="n">
        <v>44820</v>
      </c>
      <c r="E842" s="1" t="n">
        <v>46312</v>
      </c>
      <c r="F842" t="inlineStr">
        <is>
          <t>SKÅNE LÄN</t>
        </is>
      </c>
      <c r="G842" t="inlineStr">
        <is>
          <t>ÖRKELLJUNGA</t>
        </is>
      </c>
      <c r="I842" t="n">
        <v>0.4</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16326-2022</t>
        </is>
      </c>
      <c r="B843" t="inlineStr">
        <is>
          <t>avverkningsanmälan</t>
        </is>
      </c>
      <c r="C843" t="inlineStr">
        <is>
          <t>Föryngringsavverkning</t>
        </is>
      </c>
      <c r="D843" s="1" t="n">
        <v>44670</v>
      </c>
      <c r="E843" s="1" t="n">
        <v>46312</v>
      </c>
      <c r="F843" t="inlineStr">
        <is>
          <t>SKÅNE LÄN</t>
        </is>
      </c>
      <c r="G843" t="inlineStr">
        <is>
          <t>KRISTIANSTAD</t>
        </is>
      </c>
      <c r="I843" t="n">
        <v>15.3</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35727-2022</t>
        </is>
      </c>
      <c r="B844" t="inlineStr">
        <is>
          <t>avverkningsanmälan</t>
        </is>
      </c>
      <c r="C844" t="inlineStr">
        <is>
          <t>Föryngringsavverkning</t>
        </is>
      </c>
      <c r="D844" s="1" t="n">
        <v>44799</v>
      </c>
      <c r="E844" s="1" t="n">
        <v>46312</v>
      </c>
      <c r="F844" t="inlineStr">
        <is>
          <t>SKÅNE LÄN</t>
        </is>
      </c>
      <c r="G844" t="inlineStr">
        <is>
          <t>HÄSSLEHOLM</t>
        </is>
      </c>
      <c r="I844" t="n">
        <v>0.8</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44247-2022</t>
        </is>
      </c>
      <c r="B845" t="inlineStr">
        <is>
          <t>avverkningsanmälan</t>
        </is>
      </c>
      <c r="C845" t="inlineStr">
        <is>
          <t>Föryngringsavverkning</t>
        </is>
      </c>
      <c r="D845" s="1" t="n">
        <v>44839</v>
      </c>
      <c r="E845" s="1" t="n">
        <v>46312</v>
      </c>
      <c r="F845" t="inlineStr">
        <is>
          <t>SKÅNE LÄN</t>
        </is>
      </c>
      <c r="G845" t="inlineStr">
        <is>
          <t>ÄNGELHOLM</t>
        </is>
      </c>
      <c r="I845" t="n">
        <v>0.5</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2442-2022</t>
        </is>
      </c>
      <c r="B846" t="inlineStr">
        <is>
          <t>avverkningsanmälan</t>
        </is>
      </c>
      <c r="C846" t="inlineStr">
        <is>
          <t>Föryngringsavverkning</t>
        </is>
      </c>
      <c r="D846" s="1" t="n">
        <v>44579</v>
      </c>
      <c r="E846" s="1" t="n">
        <v>46312</v>
      </c>
      <c r="F846" t="inlineStr">
        <is>
          <t>SKÅNE LÄN</t>
        </is>
      </c>
      <c r="G846" t="inlineStr">
        <is>
          <t>OSBY</t>
        </is>
      </c>
      <c r="I846" t="n">
        <v>2.8</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9808-2022</t>
        </is>
      </c>
      <c r="B847" t="inlineStr">
        <is>
          <t>avverkningsanmälan</t>
        </is>
      </c>
      <c r="C847" t="inlineStr">
        <is>
          <t>Föryngringsavverkning</t>
        </is>
      </c>
      <c r="D847" s="1" t="n">
        <v>44620</v>
      </c>
      <c r="E847" s="1" t="n">
        <v>46312</v>
      </c>
      <c r="F847" t="inlineStr">
        <is>
          <t>SKÅNE LÄN</t>
        </is>
      </c>
      <c r="G847" t="inlineStr">
        <is>
          <t>ÖSTRA GÖINGE</t>
        </is>
      </c>
      <c r="I847" t="n">
        <v>0.2</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61353-2021</t>
        </is>
      </c>
      <c r="B848" t="inlineStr">
        <is>
          <t>avverkningsanmälan</t>
        </is>
      </c>
      <c r="C848" t="inlineStr">
        <is>
          <t>Föryngringsavverkning</t>
        </is>
      </c>
      <c r="D848" s="1" t="n">
        <v>44498</v>
      </c>
      <c r="E848" s="1" t="n">
        <v>46312</v>
      </c>
      <c r="F848" t="inlineStr">
        <is>
          <t>SKÅNE LÄN</t>
        </is>
      </c>
      <c r="G848" t="inlineStr">
        <is>
          <t>ÖSTRA GÖINGE</t>
        </is>
      </c>
      <c r="I848" t="n">
        <v>0.8</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67332-2021</t>
        </is>
      </c>
      <c r="B849" t="inlineStr">
        <is>
          <t>avverkningsanmälan</t>
        </is>
      </c>
      <c r="C849" t="inlineStr">
        <is>
          <t>Föryngringsavverkning</t>
        </is>
      </c>
      <c r="D849" s="1" t="n">
        <v>44523</v>
      </c>
      <c r="E849" s="1" t="n">
        <v>46312</v>
      </c>
      <c r="F849" t="inlineStr">
        <is>
          <t>SKÅNE LÄN</t>
        </is>
      </c>
      <c r="G849" t="inlineStr">
        <is>
          <t>OSBY</t>
        </is>
      </c>
      <c r="I849" t="n">
        <v>0.6</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33328-2022</t>
        </is>
      </c>
      <c r="B850" t="inlineStr">
        <is>
          <t>avverkningsanmälan</t>
        </is>
      </c>
      <c r="C850" t="inlineStr">
        <is>
          <t>Föryngringsavverkning</t>
        </is>
      </c>
      <c r="D850" s="1" t="n">
        <v>44788</v>
      </c>
      <c r="E850" s="1" t="n">
        <v>46312</v>
      </c>
      <c r="F850" t="inlineStr">
        <is>
          <t>SKÅNE LÄN</t>
        </is>
      </c>
      <c r="G850" t="inlineStr">
        <is>
          <t>ÖRKELLJUNGA</t>
        </is>
      </c>
      <c r="I850" t="n">
        <v>3.7</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14402-2022</t>
        </is>
      </c>
      <c r="B851" t="inlineStr">
        <is>
          <t>avverkningsanmälan</t>
        </is>
      </c>
      <c r="C851" t="inlineStr">
        <is>
          <t>Föryngringsavverkning</t>
        </is>
      </c>
      <c r="D851" s="1" t="n">
        <v>44652</v>
      </c>
      <c r="E851" s="1" t="n">
        <v>46312</v>
      </c>
      <c r="F851" t="inlineStr">
        <is>
          <t>SKÅNE LÄN</t>
        </is>
      </c>
      <c r="G851" t="inlineStr">
        <is>
          <t>HÄSSLEHOLM</t>
        </is>
      </c>
      <c r="I851" t="n">
        <v>0.5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7249-2022</t>
        </is>
      </c>
      <c r="B852" t="inlineStr">
        <is>
          <t>avverkningsanmälan</t>
        </is>
      </c>
      <c r="C852" t="inlineStr">
        <is>
          <t>Föryngringsavverkning</t>
        </is>
      </c>
      <c r="D852" s="1" t="n">
        <v>44606</v>
      </c>
      <c r="E852" s="1" t="n">
        <v>46312</v>
      </c>
      <c r="F852" t="inlineStr">
        <is>
          <t>SKÅNE LÄN</t>
        </is>
      </c>
      <c r="G852" t="inlineStr">
        <is>
          <t>HÄSSLEHOLM</t>
        </is>
      </c>
      <c r="H852" t="inlineStr">
        <is>
          <t>Övriga Aktiebolag</t>
        </is>
      </c>
      <c r="I852" t="n">
        <v>0.6</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74408-2021</t>
        </is>
      </c>
      <c r="B853" t="inlineStr">
        <is>
          <t>avverkningsanmälan</t>
        </is>
      </c>
      <c r="C853" t="inlineStr">
        <is>
          <t>Föryngringsavverkning</t>
        </is>
      </c>
      <c r="D853" s="1" t="n">
        <v>44560</v>
      </c>
      <c r="E853" s="1" t="n">
        <v>46312</v>
      </c>
      <c r="F853" t="inlineStr">
        <is>
          <t>SKÅNE LÄN</t>
        </is>
      </c>
      <c r="G853" t="inlineStr">
        <is>
          <t>TOMELILLA</t>
        </is>
      </c>
      <c r="I853" t="n">
        <v>0.9</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16920-2022</t>
        </is>
      </c>
      <c r="B854" t="inlineStr">
        <is>
          <t>avverkningsanmälan</t>
        </is>
      </c>
      <c r="C854" t="inlineStr">
        <is>
          <t>Föryngringsavverkning</t>
        </is>
      </c>
      <c r="D854" s="1" t="n">
        <v>44676</v>
      </c>
      <c r="E854" s="1" t="n">
        <v>46312</v>
      </c>
      <c r="F854" t="inlineStr">
        <is>
          <t>SKÅNE LÄN</t>
        </is>
      </c>
      <c r="G854" t="inlineStr">
        <is>
          <t>ÖRKELLJUNGA</t>
        </is>
      </c>
      <c r="I854" t="n">
        <v>1.2</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24415-2022</t>
        </is>
      </c>
      <c r="B855" t="inlineStr">
        <is>
          <t>avverkningsanmälan</t>
        </is>
      </c>
      <c r="C855" t="inlineStr">
        <is>
          <t>Föryngringsavverkning</t>
        </is>
      </c>
      <c r="D855" s="1" t="n">
        <v>44725</v>
      </c>
      <c r="E855" s="1" t="n">
        <v>46312</v>
      </c>
      <c r="F855" t="inlineStr">
        <is>
          <t>SKÅNE LÄN</t>
        </is>
      </c>
      <c r="G855" t="inlineStr">
        <is>
          <t>KRISTIANSTAD</t>
        </is>
      </c>
      <c r="I855" t="n">
        <v>0.5</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74507-2021</t>
        </is>
      </c>
      <c r="B856" t="inlineStr">
        <is>
          <t>avverkningsanmälan</t>
        </is>
      </c>
      <c r="C856" t="inlineStr">
        <is>
          <t>Föryngringsavverkning</t>
        </is>
      </c>
      <c r="D856" s="1" t="n">
        <v>44560</v>
      </c>
      <c r="E856" s="1" t="n">
        <v>46312</v>
      </c>
      <c r="F856" t="inlineStr">
        <is>
          <t>SKÅNE LÄN</t>
        </is>
      </c>
      <c r="G856" t="inlineStr">
        <is>
          <t>KRISTIANSTAD</t>
        </is>
      </c>
      <c r="I856" t="n">
        <v>1.2</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16588-2022</t>
        </is>
      </c>
      <c r="B857" t="inlineStr">
        <is>
          <t>avverkningsanmälan</t>
        </is>
      </c>
      <c r="C857" t="inlineStr">
        <is>
          <t>Föryngringsavverkning</t>
        </is>
      </c>
      <c r="D857" s="1" t="n">
        <v>44672</v>
      </c>
      <c r="E857" s="1" t="n">
        <v>46312</v>
      </c>
      <c r="F857" t="inlineStr">
        <is>
          <t>SKÅNE LÄN</t>
        </is>
      </c>
      <c r="G857" t="inlineStr">
        <is>
          <t>KRISTIANSTAD</t>
        </is>
      </c>
      <c r="I857" t="n">
        <v>0.8</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24233-2022</t>
        </is>
      </c>
      <c r="B858" t="inlineStr">
        <is>
          <t>avverkningsanmälan</t>
        </is>
      </c>
      <c r="C858" t="inlineStr">
        <is>
          <t>Föryngringsavverkning</t>
        </is>
      </c>
      <c r="D858" s="1" t="n">
        <v>44725</v>
      </c>
      <c r="E858" s="1" t="n">
        <v>46312</v>
      </c>
      <c r="F858" t="inlineStr">
        <is>
          <t>SKÅNE LÄN</t>
        </is>
      </c>
      <c r="G858" t="inlineStr">
        <is>
          <t>ÄNGELHOLM</t>
        </is>
      </c>
      <c r="I858" t="n">
        <v>1.5</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21390-2022</t>
        </is>
      </c>
      <c r="B859" t="inlineStr">
        <is>
          <t>avverkningsanmälan</t>
        </is>
      </c>
      <c r="C859" t="inlineStr">
        <is>
          <t>Föryngringsavverkning</t>
        </is>
      </c>
      <c r="D859" s="1" t="n">
        <v>44705</v>
      </c>
      <c r="E859" s="1" t="n">
        <v>46312</v>
      </c>
      <c r="F859" t="inlineStr">
        <is>
          <t>SKÅNE LÄN</t>
        </is>
      </c>
      <c r="G859" t="inlineStr">
        <is>
          <t>KRISTIANSTAD</t>
        </is>
      </c>
      <c r="I859" t="n">
        <v>3.3</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74289-2021</t>
        </is>
      </c>
      <c r="B860" t="inlineStr">
        <is>
          <t>avverkningsanmälan</t>
        </is>
      </c>
      <c r="C860" t="inlineStr">
        <is>
          <t>Föryngringsavverkning</t>
        </is>
      </c>
      <c r="D860" s="1" t="n">
        <v>44558</v>
      </c>
      <c r="E860" s="1" t="n">
        <v>46312</v>
      </c>
      <c r="F860" t="inlineStr">
        <is>
          <t>SKÅNE LÄN</t>
        </is>
      </c>
      <c r="G860" t="inlineStr">
        <is>
          <t>KRISTIANSTAD</t>
        </is>
      </c>
      <c r="I860" t="n">
        <v>4.2</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74294-2021</t>
        </is>
      </c>
      <c r="B861" t="inlineStr">
        <is>
          <t>avverkningsanmälan</t>
        </is>
      </c>
      <c r="C861" t="inlineStr">
        <is>
          <t>Föryngringsavverkning</t>
        </is>
      </c>
      <c r="D861" s="1" t="n">
        <v>44558</v>
      </c>
      <c r="E861" s="1" t="n">
        <v>46312</v>
      </c>
      <c r="F861" t="inlineStr">
        <is>
          <t>SKÅNE LÄN</t>
        </is>
      </c>
      <c r="G861" t="inlineStr">
        <is>
          <t>HÄSSLEHOLM</t>
        </is>
      </c>
      <c r="H861" t="inlineStr">
        <is>
          <t>Kyrkan</t>
        </is>
      </c>
      <c r="I861" t="n">
        <v>16.2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19437-2022</t>
        </is>
      </c>
      <c r="B862" t="inlineStr">
        <is>
          <t>avverkningsanmälan</t>
        </is>
      </c>
      <c r="C862" t="inlineStr">
        <is>
          <t>Föryngringsavverkning</t>
        </is>
      </c>
      <c r="D862" s="1" t="n">
        <v>44693</v>
      </c>
      <c r="E862" s="1" t="n">
        <v>46312</v>
      </c>
      <c r="F862" t="inlineStr">
        <is>
          <t>SKÅNE LÄN</t>
        </is>
      </c>
      <c r="G862" t="inlineStr">
        <is>
          <t>OSBY</t>
        </is>
      </c>
      <c r="I862" t="n">
        <v>2.5</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27960-2022</t>
        </is>
      </c>
      <c r="B863" t="inlineStr">
        <is>
          <t>avverkningsanmälan</t>
        </is>
      </c>
      <c r="C863" t="inlineStr">
        <is>
          <t>Avverkning för annat ändamål</t>
        </is>
      </c>
      <c r="D863" s="1" t="n">
        <v>44744</v>
      </c>
      <c r="E863" s="1" t="n">
        <v>46312</v>
      </c>
      <c r="F863" t="inlineStr">
        <is>
          <t>SKÅNE LÄN</t>
        </is>
      </c>
      <c r="G863" t="inlineStr">
        <is>
          <t>KRISTIANSTAD</t>
        </is>
      </c>
      <c r="I863" t="n">
        <v>0.5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30864-2022</t>
        </is>
      </c>
      <c r="B864" t="inlineStr">
        <is>
          <t>avverkningsanmälan</t>
        </is>
      </c>
      <c r="C864" t="inlineStr">
        <is>
          <t>Föryngringsavverkning</t>
        </is>
      </c>
      <c r="D864" s="1" t="n">
        <v>44767</v>
      </c>
      <c r="E864" s="1" t="n">
        <v>46312</v>
      </c>
      <c r="F864" t="inlineStr">
        <is>
          <t>SKÅNE LÄN</t>
        </is>
      </c>
      <c r="G864" t="inlineStr">
        <is>
          <t>KRISTIANSTAD</t>
        </is>
      </c>
      <c r="I864" t="n">
        <v>0.6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23962-2022</t>
        </is>
      </c>
      <c r="B865" t="inlineStr">
        <is>
          <t>avverkningsanmälan</t>
        </is>
      </c>
      <c r="C865" t="inlineStr">
        <is>
          <t>Föryngringsavverkning</t>
        </is>
      </c>
      <c r="D865" s="1" t="n">
        <v>44722</v>
      </c>
      <c r="E865" s="1" t="n">
        <v>46312</v>
      </c>
      <c r="F865" t="inlineStr">
        <is>
          <t>SKÅNE LÄN</t>
        </is>
      </c>
      <c r="G865" t="inlineStr">
        <is>
          <t>HÄSSLEHOLM</t>
        </is>
      </c>
      <c r="H865" t="inlineStr">
        <is>
          <t>Kyrkan</t>
        </is>
      </c>
      <c r="I865" t="n">
        <v>5.8</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5791-2022</t>
        </is>
      </c>
      <c r="B866" t="inlineStr">
        <is>
          <t>avverkningsanmälan</t>
        </is>
      </c>
      <c r="C866" t="inlineStr">
        <is>
          <t>Föryngringsavverkning</t>
        </is>
      </c>
      <c r="D866" s="1" t="n">
        <v>44596</v>
      </c>
      <c r="E866" s="1" t="n">
        <v>46312</v>
      </c>
      <c r="F866" t="inlineStr">
        <is>
          <t>SKÅNE LÄN</t>
        </is>
      </c>
      <c r="G866" t="inlineStr">
        <is>
          <t>KLIPPAN</t>
        </is>
      </c>
      <c r="H866" t="inlineStr">
        <is>
          <t>Övriga Aktiebolag</t>
        </is>
      </c>
      <c r="I866" t="n">
        <v>0.9</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58566-2021</t>
        </is>
      </c>
      <c r="B867" t="inlineStr">
        <is>
          <t>avverkningsanmälan</t>
        </is>
      </c>
      <c r="C867" t="inlineStr">
        <is>
          <t>Föryngringsavverkning</t>
        </is>
      </c>
      <c r="D867" s="1" t="n">
        <v>44488</v>
      </c>
      <c r="E867" s="1" t="n">
        <v>46312</v>
      </c>
      <c r="F867" t="inlineStr">
        <is>
          <t>SKÅNE LÄN</t>
        </is>
      </c>
      <c r="G867" t="inlineStr">
        <is>
          <t>HÄSSLEHOLM</t>
        </is>
      </c>
      <c r="I867" t="n">
        <v>0.6</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58633-2021</t>
        </is>
      </c>
      <c r="B868" t="inlineStr">
        <is>
          <t>avverkningsanmälan</t>
        </is>
      </c>
      <c r="C868" t="inlineStr">
        <is>
          <t>Föryngringsavverkning</t>
        </is>
      </c>
      <c r="D868" s="1" t="n">
        <v>44489</v>
      </c>
      <c r="E868" s="1" t="n">
        <v>46312</v>
      </c>
      <c r="F868" t="inlineStr">
        <is>
          <t>SKÅNE LÄN</t>
        </is>
      </c>
      <c r="G868" t="inlineStr">
        <is>
          <t>KLIPPAN</t>
        </is>
      </c>
      <c r="I868" t="n">
        <v>0.3</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57997-2021</t>
        </is>
      </c>
      <c r="B869" t="inlineStr">
        <is>
          <t>avverkningsanmälan</t>
        </is>
      </c>
      <c r="C869" t="inlineStr">
        <is>
          <t>Föryngringsavverkning</t>
        </is>
      </c>
      <c r="D869" s="1" t="n">
        <v>44487</v>
      </c>
      <c r="E869" s="1" t="n">
        <v>46312</v>
      </c>
      <c r="F869" t="inlineStr">
        <is>
          <t>SKÅNE LÄN</t>
        </is>
      </c>
      <c r="G869" t="inlineStr">
        <is>
          <t>PERSTORP</t>
        </is>
      </c>
      <c r="I869" t="n">
        <v>3.1</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58564-2021</t>
        </is>
      </c>
      <c r="B870" t="inlineStr">
        <is>
          <t>avverkningsanmälan</t>
        </is>
      </c>
      <c r="C870" t="inlineStr">
        <is>
          <t>Föryngringsavverkning</t>
        </is>
      </c>
      <c r="D870" s="1" t="n">
        <v>44488</v>
      </c>
      <c r="E870" s="1" t="n">
        <v>46312</v>
      </c>
      <c r="F870" t="inlineStr">
        <is>
          <t>SKÅNE LÄN</t>
        </is>
      </c>
      <c r="G870" t="inlineStr">
        <is>
          <t>HÄSSLEHOLM</t>
        </is>
      </c>
      <c r="I870" t="n">
        <v>1.5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59131-2021</t>
        </is>
      </c>
      <c r="B871" t="inlineStr">
        <is>
          <t>avverkningsanmälan</t>
        </is>
      </c>
      <c r="C871" t="inlineStr">
        <is>
          <t>Föryngringsavverkning</t>
        </is>
      </c>
      <c r="D871" s="1" t="n">
        <v>44490</v>
      </c>
      <c r="E871" s="1" t="n">
        <v>46312</v>
      </c>
      <c r="F871" t="inlineStr">
        <is>
          <t>SKÅNE LÄN</t>
        </is>
      </c>
      <c r="G871" t="inlineStr">
        <is>
          <t>TOMELILLA</t>
        </is>
      </c>
      <c r="I871" t="n">
        <v>3.2</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45447-2022</t>
        </is>
      </c>
      <c r="B872" t="inlineStr">
        <is>
          <t>avverkningsanmälan</t>
        </is>
      </c>
      <c r="C872" t="inlineStr">
        <is>
          <t>Föryngringsavverkning</t>
        </is>
      </c>
      <c r="D872" s="1" t="n">
        <v>44845</v>
      </c>
      <c r="E872" s="1" t="n">
        <v>46312</v>
      </c>
      <c r="F872" t="inlineStr">
        <is>
          <t>SKÅNE LÄN</t>
        </is>
      </c>
      <c r="G872" t="inlineStr">
        <is>
          <t>OSBY</t>
        </is>
      </c>
      <c r="I872" t="n">
        <v>0.6</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45214-2022</t>
        </is>
      </c>
      <c r="B873" t="inlineStr">
        <is>
          <t>avverkningsanmälan</t>
        </is>
      </c>
      <c r="C873" t="inlineStr">
        <is>
          <t>Föryngringsavverkning</t>
        </is>
      </c>
      <c r="D873" s="1" t="n">
        <v>44844</v>
      </c>
      <c r="E873" s="1" t="n">
        <v>46312</v>
      </c>
      <c r="F873" t="inlineStr">
        <is>
          <t>SKÅNE LÄN</t>
        </is>
      </c>
      <c r="G873" t="inlineStr">
        <is>
          <t>SJÖBO</t>
        </is>
      </c>
      <c r="I873" t="n">
        <v>0</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51508-2022</t>
        </is>
      </c>
      <c r="B874" t="inlineStr">
        <is>
          <t>avverkningsanmälan</t>
        </is>
      </c>
      <c r="C874" t="inlineStr">
        <is>
          <t>Föryngringsavverkning</t>
        </is>
      </c>
      <c r="D874" s="1" t="n">
        <v>44869</v>
      </c>
      <c r="E874" s="1" t="n">
        <v>46312</v>
      </c>
      <c r="F874" t="inlineStr">
        <is>
          <t>SKÅNE LÄN</t>
        </is>
      </c>
      <c r="G874" t="inlineStr">
        <is>
          <t>OSBY</t>
        </is>
      </c>
      <c r="I874" t="n">
        <v>0.4</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42153-2022</t>
        </is>
      </c>
      <c r="B875" t="inlineStr">
        <is>
          <t>avverkningsanmälan</t>
        </is>
      </c>
      <c r="C875" t="inlineStr">
        <is>
          <t>Föryngringsavverkning</t>
        </is>
      </c>
      <c r="D875" s="1" t="n">
        <v>44830</v>
      </c>
      <c r="E875" s="1" t="n">
        <v>46312</v>
      </c>
      <c r="F875" t="inlineStr">
        <is>
          <t>SKÅNE LÄN</t>
        </is>
      </c>
      <c r="G875" t="inlineStr">
        <is>
          <t>OSBY</t>
        </is>
      </c>
      <c r="I875" t="n">
        <v>4.9</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8204-2022</t>
        </is>
      </c>
      <c r="B876" t="inlineStr">
        <is>
          <t>avverkningsanmälan</t>
        </is>
      </c>
      <c r="C876" t="inlineStr">
        <is>
          <t>Föryngringsavverkning</t>
        </is>
      </c>
      <c r="D876" s="1" t="n">
        <v>44609</v>
      </c>
      <c r="E876" s="1" t="n">
        <v>46312</v>
      </c>
      <c r="F876" t="inlineStr">
        <is>
          <t>SKÅNE LÄN</t>
        </is>
      </c>
      <c r="G876" t="inlineStr">
        <is>
          <t>HÄSSLEHOLM</t>
        </is>
      </c>
      <c r="I876" t="n">
        <v>0.9</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8206-2022</t>
        </is>
      </c>
      <c r="B877" t="inlineStr">
        <is>
          <t>avverkningsanmälan</t>
        </is>
      </c>
      <c r="C877" t="inlineStr">
        <is>
          <t>Föryngringsavverkning</t>
        </is>
      </c>
      <c r="D877" s="1" t="n">
        <v>44609</v>
      </c>
      <c r="E877" s="1" t="n">
        <v>46312</v>
      </c>
      <c r="F877" t="inlineStr">
        <is>
          <t>SKÅNE LÄN</t>
        </is>
      </c>
      <c r="G877" t="inlineStr">
        <is>
          <t>KRISTIANSTAD</t>
        </is>
      </c>
      <c r="H877" t="inlineStr">
        <is>
          <t>Kyrkan</t>
        </is>
      </c>
      <c r="I877" t="n">
        <v>2.5</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6964-2022</t>
        </is>
      </c>
      <c r="B878" t="inlineStr">
        <is>
          <t>avverkningsanmälan</t>
        </is>
      </c>
      <c r="C878" t="inlineStr">
        <is>
          <t>Föryngringsavverkning</t>
        </is>
      </c>
      <c r="D878" s="1" t="n">
        <v>44603</v>
      </c>
      <c r="E878" s="1" t="n">
        <v>46312</v>
      </c>
      <c r="F878" t="inlineStr">
        <is>
          <t>SKÅNE LÄN</t>
        </is>
      </c>
      <c r="G878" t="inlineStr">
        <is>
          <t>OSBY</t>
        </is>
      </c>
      <c r="I878" t="n">
        <v>1.5</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11054-2022</t>
        </is>
      </c>
      <c r="B879" t="inlineStr">
        <is>
          <t>avverkningsanmälan</t>
        </is>
      </c>
      <c r="C879" t="inlineStr">
        <is>
          <t>Föryngringsavverkning</t>
        </is>
      </c>
      <c r="D879" s="1" t="n">
        <v>44628</v>
      </c>
      <c r="E879" s="1" t="n">
        <v>46312</v>
      </c>
      <c r="F879" t="inlineStr">
        <is>
          <t>SKÅNE LÄN</t>
        </is>
      </c>
      <c r="G879" t="inlineStr">
        <is>
          <t>KRISTIANSTAD</t>
        </is>
      </c>
      <c r="I879" t="n">
        <v>14.5</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46254-2022</t>
        </is>
      </c>
      <c r="B880" t="inlineStr">
        <is>
          <t>avverkningsanmälan</t>
        </is>
      </c>
      <c r="C880" t="inlineStr">
        <is>
          <t>Föryngringsavverkning</t>
        </is>
      </c>
      <c r="D880" s="1" t="n">
        <v>44847</v>
      </c>
      <c r="E880" s="1" t="n">
        <v>46312</v>
      </c>
      <c r="F880" t="inlineStr">
        <is>
          <t>SKÅNE LÄN</t>
        </is>
      </c>
      <c r="G880" t="inlineStr">
        <is>
          <t>SVALÖV</t>
        </is>
      </c>
      <c r="I880" t="n">
        <v>0.5</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41560-2022</t>
        </is>
      </c>
      <c r="B881" t="inlineStr">
        <is>
          <t>avverkningsanmälan</t>
        </is>
      </c>
      <c r="C881" t="inlineStr">
        <is>
          <t>Föryngringsavverkning</t>
        </is>
      </c>
      <c r="D881" s="1" t="n">
        <v>44827</v>
      </c>
      <c r="E881" s="1" t="n">
        <v>46312</v>
      </c>
      <c r="F881" t="inlineStr">
        <is>
          <t>SKÅNE LÄN</t>
        </is>
      </c>
      <c r="G881" t="inlineStr">
        <is>
          <t>OSBY</t>
        </is>
      </c>
      <c r="I881" t="n">
        <v>3.2</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1218-2022</t>
        </is>
      </c>
      <c r="B882" t="inlineStr">
        <is>
          <t>avverkningsanmälan</t>
        </is>
      </c>
      <c r="C882" t="inlineStr">
        <is>
          <t>Föryngringsavverkning</t>
        </is>
      </c>
      <c r="D882" s="1" t="n">
        <v>44572</v>
      </c>
      <c r="E882" s="1" t="n">
        <v>46312</v>
      </c>
      <c r="F882" t="inlineStr">
        <is>
          <t>SKÅNE LÄN</t>
        </is>
      </c>
      <c r="G882" t="inlineStr">
        <is>
          <t>KRISTIANSTAD</t>
        </is>
      </c>
      <c r="I882" t="n">
        <v>0.9</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74137-2021</t>
        </is>
      </c>
      <c r="B883" t="inlineStr">
        <is>
          <t>avverkningsanmälan</t>
        </is>
      </c>
      <c r="C883" t="inlineStr">
        <is>
          <t>Föryngringsavverkning</t>
        </is>
      </c>
      <c r="D883" s="1" t="n">
        <v>44557</v>
      </c>
      <c r="E883" s="1" t="n">
        <v>46312</v>
      </c>
      <c r="F883" t="inlineStr">
        <is>
          <t>SKÅNE LÄN</t>
        </is>
      </c>
      <c r="G883" t="inlineStr">
        <is>
          <t>ÖSTRA GÖINGE</t>
        </is>
      </c>
      <c r="I883" t="n">
        <v>0.4</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64627-2021</t>
        </is>
      </c>
      <c r="B884" t="inlineStr">
        <is>
          <t>avverkningsanmälan</t>
        </is>
      </c>
      <c r="C884" t="inlineStr">
        <is>
          <t>Föryngringsavverkning</t>
        </is>
      </c>
      <c r="D884" s="1" t="n">
        <v>44511</v>
      </c>
      <c r="E884" s="1" t="n">
        <v>46312</v>
      </c>
      <c r="F884" t="inlineStr">
        <is>
          <t>SKÅNE LÄN</t>
        </is>
      </c>
      <c r="G884" t="inlineStr">
        <is>
          <t>PERSTORP</t>
        </is>
      </c>
      <c r="I884" t="n">
        <v>1.3</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66987-2021</t>
        </is>
      </c>
      <c r="B885" t="inlineStr">
        <is>
          <t>avverkningsanmälan</t>
        </is>
      </c>
      <c r="C885" t="inlineStr">
        <is>
          <t>Föryngringsavverkning</t>
        </is>
      </c>
      <c r="D885" s="1" t="n">
        <v>44522</v>
      </c>
      <c r="E885" s="1" t="n">
        <v>46312</v>
      </c>
      <c r="F885" t="inlineStr">
        <is>
          <t>SKÅNE LÄN</t>
        </is>
      </c>
      <c r="G885" t="inlineStr">
        <is>
          <t>OSBY</t>
        </is>
      </c>
      <c r="I885" t="n">
        <v>0.6</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4053-2022</t>
        </is>
      </c>
      <c r="B886" t="inlineStr">
        <is>
          <t>avverkningsanmälan</t>
        </is>
      </c>
      <c r="C886" t="inlineStr">
        <is>
          <t>Föryngringsavverkning</t>
        </is>
      </c>
      <c r="D886" s="1" t="n">
        <v>44588</v>
      </c>
      <c r="E886" s="1" t="n">
        <v>46312</v>
      </c>
      <c r="F886" t="inlineStr">
        <is>
          <t>SKÅNE LÄN</t>
        </is>
      </c>
      <c r="G886" t="inlineStr">
        <is>
          <t>ÖSTRA GÖINGE</t>
        </is>
      </c>
      <c r="I886" t="n">
        <v>0.2</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18590-2022</t>
        </is>
      </c>
      <c r="B887" t="inlineStr">
        <is>
          <t>avverkningsanmälan</t>
        </is>
      </c>
      <c r="C887" t="inlineStr">
        <is>
          <t>Föryngringsavverkning</t>
        </is>
      </c>
      <c r="D887" s="1" t="n">
        <v>44687</v>
      </c>
      <c r="E887" s="1" t="n">
        <v>46312</v>
      </c>
      <c r="F887" t="inlineStr">
        <is>
          <t>SKÅNE LÄN</t>
        </is>
      </c>
      <c r="G887" t="inlineStr">
        <is>
          <t>OSBY</t>
        </is>
      </c>
      <c r="I887" t="n">
        <v>0.6</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19651-2022</t>
        </is>
      </c>
      <c r="B888" t="inlineStr">
        <is>
          <t>avverkningsanmälan</t>
        </is>
      </c>
      <c r="C888" t="inlineStr">
        <is>
          <t>Föryngringsavverkning</t>
        </is>
      </c>
      <c r="D888" s="1" t="n">
        <v>44694</v>
      </c>
      <c r="E888" s="1" t="n">
        <v>46312</v>
      </c>
      <c r="F888" t="inlineStr">
        <is>
          <t>SKÅNE LÄN</t>
        </is>
      </c>
      <c r="G888" t="inlineStr">
        <is>
          <t>TOMELILLA</t>
        </is>
      </c>
      <c r="I888" t="n">
        <v>0.4</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3855-2022</t>
        </is>
      </c>
      <c r="B889" t="inlineStr">
        <is>
          <t>avverkningsanmälan</t>
        </is>
      </c>
      <c r="C889" t="inlineStr">
        <is>
          <t>Föryngringsavverkning</t>
        </is>
      </c>
      <c r="D889" s="1" t="n">
        <v>44587</v>
      </c>
      <c r="E889" s="1" t="n">
        <v>46312</v>
      </c>
      <c r="F889" t="inlineStr">
        <is>
          <t>SKÅNE LÄN</t>
        </is>
      </c>
      <c r="G889" t="inlineStr">
        <is>
          <t>HÄSSLEHOLM</t>
        </is>
      </c>
      <c r="H889" t="inlineStr">
        <is>
          <t>Övriga Aktiebolag</t>
        </is>
      </c>
      <c r="I889" t="n">
        <v>0.9</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20010-2022</t>
        </is>
      </c>
      <c r="B890" t="inlineStr">
        <is>
          <t>avverkningsanmälan</t>
        </is>
      </c>
      <c r="C890" t="inlineStr">
        <is>
          <t>Föryngringsavverkning</t>
        </is>
      </c>
      <c r="D890" s="1" t="n">
        <v>44697</v>
      </c>
      <c r="E890" s="1" t="n">
        <v>46312</v>
      </c>
      <c r="F890" t="inlineStr">
        <is>
          <t>SKÅNE LÄN</t>
        </is>
      </c>
      <c r="G890" t="inlineStr">
        <is>
          <t>KLIPPAN</t>
        </is>
      </c>
      <c r="I890" t="n">
        <v>0.3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54106-2022</t>
        </is>
      </c>
      <c r="B891" t="inlineStr">
        <is>
          <t>avverkningsanmälan</t>
        </is>
      </c>
      <c r="C891" t="inlineStr">
        <is>
          <t>Föryngringsavverkning</t>
        </is>
      </c>
      <c r="D891" s="1" t="n">
        <v>44879</v>
      </c>
      <c r="E891" s="1" t="n">
        <v>46312</v>
      </c>
      <c r="F891" t="inlineStr">
        <is>
          <t>SKÅNE LÄN</t>
        </is>
      </c>
      <c r="G891" t="inlineStr">
        <is>
          <t>HÄSSLEHOLM</t>
        </is>
      </c>
      <c r="H891" t="inlineStr">
        <is>
          <t>Övriga Aktiebolag</t>
        </is>
      </c>
      <c r="I891" t="n">
        <v>0.7</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55364-2022</t>
        </is>
      </c>
      <c r="B892" t="inlineStr">
        <is>
          <t>avverkningsanmälan</t>
        </is>
      </c>
      <c r="C892" t="inlineStr">
        <is>
          <t>Föryngringsavverkning</t>
        </is>
      </c>
      <c r="D892" s="1" t="n">
        <v>44887</v>
      </c>
      <c r="E892" s="1" t="n">
        <v>46312</v>
      </c>
      <c r="F892" t="inlineStr">
        <is>
          <t>SKÅNE LÄN</t>
        </is>
      </c>
      <c r="G892" t="inlineStr">
        <is>
          <t>HÄSSLEHOLM</t>
        </is>
      </c>
      <c r="I892" t="n">
        <v>0.4</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19097-2022</t>
        </is>
      </c>
      <c r="B893" t="inlineStr">
        <is>
          <t>avverkningsanmälan</t>
        </is>
      </c>
      <c r="C893" t="inlineStr">
        <is>
          <t>Föryngringsavverkning</t>
        </is>
      </c>
      <c r="D893" s="1" t="n">
        <v>44691</v>
      </c>
      <c r="E893" s="1" t="n">
        <v>46312</v>
      </c>
      <c r="F893" t="inlineStr">
        <is>
          <t>SKÅNE LÄN</t>
        </is>
      </c>
      <c r="G893" t="inlineStr">
        <is>
          <t>KLIPPAN</t>
        </is>
      </c>
      <c r="I893" t="n">
        <v>0.6</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19981-2022</t>
        </is>
      </c>
      <c r="B894" t="inlineStr">
        <is>
          <t>avverkningsanmälan</t>
        </is>
      </c>
      <c r="C894" t="inlineStr">
        <is>
          <t>Avverkning för annat ändamål</t>
        </is>
      </c>
      <c r="D894" s="1" t="n">
        <v>44697</v>
      </c>
      <c r="E894" s="1" t="n">
        <v>46312</v>
      </c>
      <c r="F894" t="inlineStr">
        <is>
          <t>SKÅNE LÄN</t>
        </is>
      </c>
      <c r="G894" t="inlineStr">
        <is>
          <t>HÖRBY</t>
        </is>
      </c>
      <c r="I894" t="n">
        <v>2.9</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19999-2022</t>
        </is>
      </c>
      <c r="B895" t="inlineStr">
        <is>
          <t>avverkningsanmälan</t>
        </is>
      </c>
      <c r="C895" t="inlineStr">
        <is>
          <t>Föryngringsavverkning</t>
        </is>
      </c>
      <c r="D895" s="1" t="n">
        <v>44697</v>
      </c>
      <c r="E895" s="1" t="n">
        <v>46312</v>
      </c>
      <c r="F895" t="inlineStr">
        <is>
          <t>SKÅNE LÄN</t>
        </is>
      </c>
      <c r="G895" t="inlineStr">
        <is>
          <t>KLIPPAN</t>
        </is>
      </c>
      <c r="I895" t="n">
        <v>1.3</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67222-2021</t>
        </is>
      </c>
      <c r="B896" t="inlineStr">
        <is>
          <t>avverkningsanmälan</t>
        </is>
      </c>
      <c r="C896" t="inlineStr">
        <is>
          <t>Föryngringsavverkning</t>
        </is>
      </c>
      <c r="D896" s="1" t="n">
        <v>44523</v>
      </c>
      <c r="E896" s="1" t="n">
        <v>46312</v>
      </c>
      <c r="F896" t="inlineStr">
        <is>
          <t>SKÅNE LÄN</t>
        </is>
      </c>
      <c r="G896" t="inlineStr">
        <is>
          <t>OSBY</t>
        </is>
      </c>
      <c r="I896" t="n">
        <v>2.4</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69392-2021</t>
        </is>
      </c>
      <c r="B897" t="inlineStr">
        <is>
          <t>avverkningsanmälan</t>
        </is>
      </c>
      <c r="C897" t="inlineStr">
        <is>
          <t>Föryngringsavverkning</t>
        </is>
      </c>
      <c r="D897" s="1" t="n">
        <v>44531</v>
      </c>
      <c r="E897" s="1" t="n">
        <v>46312</v>
      </c>
      <c r="F897" t="inlineStr">
        <is>
          <t>SKÅNE LÄN</t>
        </is>
      </c>
      <c r="G897" t="inlineStr">
        <is>
          <t>KLIPPAN</t>
        </is>
      </c>
      <c r="I897" t="n">
        <v>1.2</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69419-2021</t>
        </is>
      </c>
      <c r="B898" t="inlineStr">
        <is>
          <t>avverkningsanmälan</t>
        </is>
      </c>
      <c r="C898" t="inlineStr">
        <is>
          <t>Föryngringsavverkning</t>
        </is>
      </c>
      <c r="D898" s="1" t="n">
        <v>44531</v>
      </c>
      <c r="E898" s="1" t="n">
        <v>46312</v>
      </c>
      <c r="F898" t="inlineStr">
        <is>
          <t>SKÅNE LÄN</t>
        </is>
      </c>
      <c r="G898" t="inlineStr">
        <is>
          <t>HÄSSLEHOLM</t>
        </is>
      </c>
      <c r="I898" t="n">
        <v>0.6</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8844-2022</t>
        </is>
      </c>
      <c r="B899" t="inlineStr">
        <is>
          <t>avverkningsanmälan</t>
        </is>
      </c>
      <c r="C899" t="inlineStr">
        <is>
          <t>Föryngringsavverkning</t>
        </is>
      </c>
      <c r="D899" s="1" t="n">
        <v>44607</v>
      </c>
      <c r="E899" s="1" t="n">
        <v>46312</v>
      </c>
      <c r="F899" t="inlineStr">
        <is>
          <t>SKÅNE LÄN</t>
        </is>
      </c>
      <c r="G899" t="inlineStr">
        <is>
          <t>KRISTIANSTAD</t>
        </is>
      </c>
      <c r="I899" t="n">
        <v>0.6</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15197-2022</t>
        </is>
      </c>
      <c r="B900" t="inlineStr">
        <is>
          <t>avverkningsanmälan</t>
        </is>
      </c>
      <c r="C900" t="inlineStr">
        <is>
          <t>Föryngringsavverkning</t>
        </is>
      </c>
      <c r="D900" s="1" t="n">
        <v>44658</v>
      </c>
      <c r="E900" s="1" t="n">
        <v>46312</v>
      </c>
      <c r="F900" t="inlineStr">
        <is>
          <t>SKÅNE LÄN</t>
        </is>
      </c>
      <c r="G900" t="inlineStr">
        <is>
          <t>TOMELILLA</t>
        </is>
      </c>
      <c r="H900" t="inlineStr">
        <is>
          <t>Övriga Aktiebolag</t>
        </is>
      </c>
      <c r="I900" t="n">
        <v>4.9</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44473-2022</t>
        </is>
      </c>
      <c r="B901" t="inlineStr">
        <is>
          <t>avverkningsanmälan</t>
        </is>
      </c>
      <c r="C901" t="inlineStr">
        <is>
          <t>Föryngringsavverkning</t>
        </is>
      </c>
      <c r="D901" s="1" t="n">
        <v>44840</v>
      </c>
      <c r="E901" s="1" t="n">
        <v>46312</v>
      </c>
      <c r="F901" t="inlineStr">
        <is>
          <t>SKÅNE LÄN</t>
        </is>
      </c>
      <c r="G901" t="inlineStr">
        <is>
          <t>ÄNGELHOLM</t>
        </is>
      </c>
      <c r="I901" t="n">
        <v>0</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26387-2022</t>
        </is>
      </c>
      <c r="B902" t="inlineStr">
        <is>
          <t>avverkningsanmälan</t>
        </is>
      </c>
      <c r="C902" t="inlineStr">
        <is>
          <t>Föryngringsavverkning</t>
        </is>
      </c>
      <c r="D902" s="1" t="n">
        <v>44735</v>
      </c>
      <c r="E902" s="1" t="n">
        <v>46312</v>
      </c>
      <c r="F902" t="inlineStr">
        <is>
          <t>SKÅNE LÄN</t>
        </is>
      </c>
      <c r="G902" t="inlineStr">
        <is>
          <t>HÄSSLEHOLM</t>
        </is>
      </c>
      <c r="I902" t="n">
        <v>0.4</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40764-2022</t>
        </is>
      </c>
      <c r="B903" t="inlineStr">
        <is>
          <t>avverkningsanmälan</t>
        </is>
      </c>
      <c r="C903" t="inlineStr">
        <is>
          <t>Föryngringsavverkning</t>
        </is>
      </c>
      <c r="D903" s="1" t="n">
        <v>44820</v>
      </c>
      <c r="E903" s="1" t="n">
        <v>46312</v>
      </c>
      <c r="F903" t="inlineStr">
        <is>
          <t>SKÅNE LÄN</t>
        </is>
      </c>
      <c r="G903" t="inlineStr">
        <is>
          <t>HÄSSLEHOLM</t>
        </is>
      </c>
      <c r="I903" t="n">
        <v>0.3</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7391-2022</t>
        </is>
      </c>
      <c r="B904" t="inlineStr">
        <is>
          <t>avverkningsanmälan</t>
        </is>
      </c>
      <c r="C904" t="inlineStr">
        <is>
          <t>Föryngringsavverkning</t>
        </is>
      </c>
      <c r="D904" s="1" t="n">
        <v>44606</v>
      </c>
      <c r="E904" s="1" t="n">
        <v>46312</v>
      </c>
      <c r="F904" t="inlineStr">
        <is>
          <t>SKÅNE LÄN</t>
        </is>
      </c>
      <c r="G904" t="inlineStr">
        <is>
          <t>ÖSTRA GÖINGE</t>
        </is>
      </c>
      <c r="I904" t="n">
        <v>1.8</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4673-2022</t>
        </is>
      </c>
      <c r="B905" t="inlineStr">
        <is>
          <t>avverkningsanmälan</t>
        </is>
      </c>
      <c r="C905" t="inlineStr">
        <is>
          <t>Föryngringsavverkning</t>
        </is>
      </c>
      <c r="D905" s="1" t="n">
        <v>44592</v>
      </c>
      <c r="E905" s="1" t="n">
        <v>46312</v>
      </c>
      <c r="F905" t="inlineStr">
        <is>
          <t>SKÅNE LÄN</t>
        </is>
      </c>
      <c r="G905" t="inlineStr">
        <is>
          <t>KRISTIANSTAD</t>
        </is>
      </c>
      <c r="I905" t="n">
        <v>0.6</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8386-2022</t>
        </is>
      </c>
      <c r="B906" t="inlineStr">
        <is>
          <t>avverkningsanmälan</t>
        </is>
      </c>
      <c r="C906" t="inlineStr">
        <is>
          <t>Föryngringsavverkning</t>
        </is>
      </c>
      <c r="D906" s="1" t="n">
        <v>44610</v>
      </c>
      <c r="E906" s="1" t="n">
        <v>46312</v>
      </c>
      <c r="F906" t="inlineStr">
        <is>
          <t>SKÅNE LÄN</t>
        </is>
      </c>
      <c r="G906" t="inlineStr">
        <is>
          <t>ÖSTRA GÖINGE</t>
        </is>
      </c>
      <c r="I906" t="n">
        <v>0.5</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13903-2022</t>
        </is>
      </c>
      <c r="B907" t="inlineStr">
        <is>
          <t>avverkningsanmälan</t>
        </is>
      </c>
      <c r="C907" t="inlineStr">
        <is>
          <t>Föryngringsavverkning</t>
        </is>
      </c>
      <c r="D907" s="1" t="n">
        <v>44650</v>
      </c>
      <c r="E907" s="1" t="n">
        <v>46312</v>
      </c>
      <c r="F907" t="inlineStr">
        <is>
          <t>SKÅNE LÄN</t>
        </is>
      </c>
      <c r="G907" t="inlineStr">
        <is>
          <t>OSBY</t>
        </is>
      </c>
      <c r="I907" t="n">
        <v>0.6</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10352-2022</t>
        </is>
      </c>
      <c r="B908" t="inlineStr">
        <is>
          <t>avverkningsanmälan</t>
        </is>
      </c>
      <c r="C908" t="inlineStr">
        <is>
          <t>Föryngringsavverkning</t>
        </is>
      </c>
      <c r="D908" s="1" t="n">
        <v>44623</v>
      </c>
      <c r="E908" s="1" t="n">
        <v>46312</v>
      </c>
      <c r="F908" t="inlineStr">
        <is>
          <t>SKÅNE LÄN</t>
        </is>
      </c>
      <c r="G908" t="inlineStr">
        <is>
          <t>KRISTIANSTAD</t>
        </is>
      </c>
      <c r="I908" t="n">
        <v>0</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38629-2022</t>
        </is>
      </c>
      <c r="B909" t="inlineStr">
        <is>
          <t>avverkningsanmälan</t>
        </is>
      </c>
      <c r="C909" t="inlineStr">
        <is>
          <t>Föryngringsavverkning</t>
        </is>
      </c>
      <c r="D909" s="1" t="n">
        <v>44813</v>
      </c>
      <c r="E909" s="1" t="n">
        <v>46312</v>
      </c>
      <c r="F909" t="inlineStr">
        <is>
          <t>SKÅNE LÄN</t>
        </is>
      </c>
      <c r="G909" t="inlineStr">
        <is>
          <t>OSBY</t>
        </is>
      </c>
      <c r="H909" t="inlineStr">
        <is>
          <t>Kyrkan</t>
        </is>
      </c>
      <c r="I909" t="n">
        <v>1</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10355-2022</t>
        </is>
      </c>
      <c r="B910" t="inlineStr">
        <is>
          <t>avverkningsanmälan</t>
        </is>
      </c>
      <c r="C910" t="inlineStr">
        <is>
          <t>Föryngringsavverkning</t>
        </is>
      </c>
      <c r="D910" s="1" t="n">
        <v>44623</v>
      </c>
      <c r="E910" s="1" t="n">
        <v>46312</v>
      </c>
      <c r="F910" t="inlineStr">
        <is>
          <t>SKÅNE LÄN</t>
        </is>
      </c>
      <c r="G910" t="inlineStr">
        <is>
          <t>KRISTIANSTAD</t>
        </is>
      </c>
      <c r="I910" t="n">
        <v>0.9</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19750-2022</t>
        </is>
      </c>
      <c r="B911" t="inlineStr">
        <is>
          <t>avverkningsanmälan</t>
        </is>
      </c>
      <c r="C911" t="inlineStr">
        <is>
          <t>Föryngringsavverkning</t>
        </is>
      </c>
      <c r="D911" s="1" t="n">
        <v>44694</v>
      </c>
      <c r="E911" s="1" t="n">
        <v>46312</v>
      </c>
      <c r="F911" t="inlineStr">
        <is>
          <t>SKÅNE LÄN</t>
        </is>
      </c>
      <c r="G911" t="inlineStr">
        <is>
          <t>OSBY</t>
        </is>
      </c>
      <c r="I911" t="n">
        <v>0.8</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38560-2022</t>
        </is>
      </c>
      <c r="B912" t="inlineStr">
        <is>
          <t>avverkningsanmälan</t>
        </is>
      </c>
      <c r="C912" t="inlineStr">
        <is>
          <t>Föryngringsavverkning</t>
        </is>
      </c>
      <c r="D912" s="1" t="n">
        <v>44813</v>
      </c>
      <c r="E912" s="1" t="n">
        <v>46312</v>
      </c>
      <c r="F912" t="inlineStr">
        <is>
          <t>SKÅNE LÄN</t>
        </is>
      </c>
      <c r="G912" t="inlineStr">
        <is>
          <t>ÖRKELLJUNGA</t>
        </is>
      </c>
      <c r="I912" t="n">
        <v>1.7</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28143-2022</t>
        </is>
      </c>
      <c r="B913" t="inlineStr">
        <is>
          <t>avverkningsanmälan</t>
        </is>
      </c>
      <c r="C913" t="inlineStr">
        <is>
          <t>Föryngringsavverkning</t>
        </is>
      </c>
      <c r="D913" s="1" t="n">
        <v>44746</v>
      </c>
      <c r="E913" s="1" t="n">
        <v>46312</v>
      </c>
      <c r="F913" t="inlineStr">
        <is>
          <t>SKÅNE LÄN</t>
        </is>
      </c>
      <c r="G913" t="inlineStr">
        <is>
          <t>ÖSTRA GÖINGE</t>
        </is>
      </c>
      <c r="I913" t="n">
        <v>5.5</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2765-2022</t>
        </is>
      </c>
      <c r="B914" t="inlineStr">
        <is>
          <t>avverkningsanmälan</t>
        </is>
      </c>
      <c r="C914" t="inlineStr">
        <is>
          <t>Föryngringsavverkning</t>
        </is>
      </c>
      <c r="D914" s="1" t="n">
        <v>44580</v>
      </c>
      <c r="E914" s="1" t="n">
        <v>46312</v>
      </c>
      <c r="F914" t="inlineStr">
        <is>
          <t>SKÅNE LÄN</t>
        </is>
      </c>
      <c r="G914" t="inlineStr">
        <is>
          <t>HÄSSLEHOLM</t>
        </is>
      </c>
      <c r="I914" t="n">
        <v>0.6</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28174-2022</t>
        </is>
      </c>
      <c r="B915" t="inlineStr">
        <is>
          <t>avverkningsanmälan</t>
        </is>
      </c>
      <c r="C915" t="inlineStr">
        <is>
          <t>Föryngringsavverkning</t>
        </is>
      </c>
      <c r="D915" s="1" t="n">
        <v>44746</v>
      </c>
      <c r="E915" s="1" t="n">
        <v>46312</v>
      </c>
      <c r="F915" t="inlineStr">
        <is>
          <t>SKÅNE LÄN</t>
        </is>
      </c>
      <c r="G915" t="inlineStr">
        <is>
          <t>OSBY</t>
        </is>
      </c>
      <c r="H915" t="inlineStr">
        <is>
          <t>Kyrkan</t>
        </is>
      </c>
      <c r="I915" t="n">
        <v>1.4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37181-2022</t>
        </is>
      </c>
      <c r="B916" t="inlineStr">
        <is>
          <t>avverkningsanmälan</t>
        </is>
      </c>
      <c r="C916" t="inlineStr">
        <is>
          <t>Föryngringsavverkning</t>
        </is>
      </c>
      <c r="D916" s="1" t="n">
        <v>44806</v>
      </c>
      <c r="E916" s="1" t="n">
        <v>46312</v>
      </c>
      <c r="F916" t="inlineStr">
        <is>
          <t>SKÅNE LÄN</t>
        </is>
      </c>
      <c r="G916" t="inlineStr">
        <is>
          <t>HÄSSLEHOLM</t>
        </is>
      </c>
      <c r="H916" t="inlineStr">
        <is>
          <t>Kyrkan</t>
        </is>
      </c>
      <c r="I916" t="n">
        <v>3.5</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61073-2021</t>
        </is>
      </c>
      <c r="B917" t="inlineStr">
        <is>
          <t>avverkningsanmälan</t>
        </is>
      </c>
      <c r="C917" t="inlineStr">
        <is>
          <t>Föryngringsavverkning</t>
        </is>
      </c>
      <c r="D917" s="1" t="n">
        <v>44497</v>
      </c>
      <c r="E917" s="1" t="n">
        <v>46312</v>
      </c>
      <c r="F917" t="inlineStr">
        <is>
          <t>SKÅNE LÄN</t>
        </is>
      </c>
      <c r="G917" t="inlineStr">
        <is>
          <t>HÄSSLEHOLM</t>
        </is>
      </c>
      <c r="I917" t="n">
        <v>0.4</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74143-2021</t>
        </is>
      </c>
      <c r="B918" t="inlineStr">
        <is>
          <t>avverkningsanmälan</t>
        </is>
      </c>
      <c r="C918" t="inlineStr">
        <is>
          <t>Föryngringsavverkning</t>
        </is>
      </c>
      <c r="D918" s="1" t="n">
        <v>44557</v>
      </c>
      <c r="E918" s="1" t="n">
        <v>46312</v>
      </c>
      <c r="F918" t="inlineStr">
        <is>
          <t>SKÅNE LÄN</t>
        </is>
      </c>
      <c r="G918" t="inlineStr">
        <is>
          <t>ÖSTRA GÖINGE</t>
        </is>
      </c>
      <c r="I918" t="n">
        <v>1.1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74008-2021</t>
        </is>
      </c>
      <c r="B919" t="inlineStr">
        <is>
          <t>avverkningsanmälan</t>
        </is>
      </c>
      <c r="C919" t="inlineStr">
        <is>
          <t>Föryngringsavverkning</t>
        </is>
      </c>
      <c r="D919" s="1" t="n">
        <v>44553</v>
      </c>
      <c r="E919" s="1" t="n">
        <v>46312</v>
      </c>
      <c r="F919" t="inlineStr">
        <is>
          <t>SKÅNE LÄN</t>
        </is>
      </c>
      <c r="G919" t="inlineStr">
        <is>
          <t>ESLÖV</t>
        </is>
      </c>
      <c r="I919" t="n">
        <v>0.8</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64255-2021</t>
        </is>
      </c>
      <c r="B920" t="inlineStr">
        <is>
          <t>avverkningsanmälan</t>
        </is>
      </c>
      <c r="C920" t="inlineStr">
        <is>
          <t>Föryngringsavverkning</t>
        </is>
      </c>
      <c r="D920" s="1" t="n">
        <v>44510</v>
      </c>
      <c r="E920" s="1" t="n">
        <v>46312</v>
      </c>
      <c r="F920" t="inlineStr">
        <is>
          <t>SKÅNE LÄN</t>
        </is>
      </c>
      <c r="G920" t="inlineStr">
        <is>
          <t>HÖRBY</t>
        </is>
      </c>
      <c r="I920" t="n">
        <v>0.5</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72707-2021</t>
        </is>
      </c>
      <c r="B921" t="inlineStr">
        <is>
          <t>avverkningsanmälan</t>
        </is>
      </c>
      <c r="C921" t="inlineStr">
        <is>
          <t>Föryngringsavverkning</t>
        </is>
      </c>
      <c r="D921" s="1" t="n">
        <v>44546</v>
      </c>
      <c r="E921" s="1" t="n">
        <v>46312</v>
      </c>
      <c r="F921" t="inlineStr">
        <is>
          <t>SKÅNE LÄN</t>
        </is>
      </c>
      <c r="G921" t="inlineStr">
        <is>
          <t>ÖRKELLJUNGA</t>
        </is>
      </c>
      <c r="I921" t="n">
        <v>1</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54738-2022</t>
        </is>
      </c>
      <c r="B922" t="inlineStr">
        <is>
          <t>avverkningsanmälan</t>
        </is>
      </c>
      <c r="C922" t="inlineStr">
        <is>
          <t>Föryngringsavverkning</t>
        </is>
      </c>
      <c r="D922" s="1" t="n">
        <v>44883</v>
      </c>
      <c r="E922" s="1" t="n">
        <v>46312</v>
      </c>
      <c r="F922" t="inlineStr">
        <is>
          <t>SKÅNE LÄN</t>
        </is>
      </c>
      <c r="G922" t="inlineStr">
        <is>
          <t>HÖÖR</t>
        </is>
      </c>
      <c r="I922" t="n">
        <v>0.4</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61072-2021</t>
        </is>
      </c>
      <c r="B923" t="inlineStr">
        <is>
          <t>avverkningsanmälan</t>
        </is>
      </c>
      <c r="C923" t="inlineStr">
        <is>
          <t>Föryngringsavverkning</t>
        </is>
      </c>
      <c r="D923" s="1" t="n">
        <v>44497</v>
      </c>
      <c r="E923" s="1" t="n">
        <v>46312</v>
      </c>
      <c r="F923" t="inlineStr">
        <is>
          <t>SKÅNE LÄN</t>
        </is>
      </c>
      <c r="G923" t="inlineStr">
        <is>
          <t>HÄSSLEHOLM</t>
        </is>
      </c>
      <c r="I923" t="n">
        <v>0.4</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1310-2022</t>
        </is>
      </c>
      <c r="B924" t="inlineStr">
        <is>
          <t>avverkningsanmälan</t>
        </is>
      </c>
      <c r="C924" t="inlineStr">
        <is>
          <t>Föryngringsavverkning</t>
        </is>
      </c>
      <c r="D924" s="1" t="n">
        <v>44572</v>
      </c>
      <c r="E924" s="1" t="n">
        <v>46312</v>
      </c>
      <c r="F924" t="inlineStr">
        <is>
          <t>SKÅNE LÄN</t>
        </is>
      </c>
      <c r="G924" t="inlineStr">
        <is>
          <t>OSBY</t>
        </is>
      </c>
      <c r="I924" t="n">
        <v>3.4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34982-2022</t>
        </is>
      </c>
      <c r="B925" t="inlineStr">
        <is>
          <t>avverkningsanmälan</t>
        </is>
      </c>
      <c r="C925" t="inlineStr">
        <is>
          <t>Föryngringsavverkning</t>
        </is>
      </c>
      <c r="D925" s="1" t="n">
        <v>44796</v>
      </c>
      <c r="E925" s="1" t="n">
        <v>46312</v>
      </c>
      <c r="F925" t="inlineStr">
        <is>
          <t>SKÅNE LÄN</t>
        </is>
      </c>
      <c r="G925" t="inlineStr">
        <is>
          <t>HÄSSLEHOLM</t>
        </is>
      </c>
      <c r="H925" t="inlineStr">
        <is>
          <t>Kyrkan</t>
        </is>
      </c>
      <c r="I925" t="n">
        <v>3.4</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57952-2021</t>
        </is>
      </c>
      <c r="B926" t="inlineStr">
        <is>
          <t>avverkningsanmälan</t>
        </is>
      </c>
      <c r="C926" t="inlineStr">
        <is>
          <t>Föryngringsavverkning</t>
        </is>
      </c>
      <c r="D926" s="1" t="n">
        <v>44487</v>
      </c>
      <c r="E926" s="1" t="n">
        <v>46312</v>
      </c>
      <c r="F926" t="inlineStr">
        <is>
          <t>SKÅNE LÄN</t>
        </is>
      </c>
      <c r="G926" t="inlineStr">
        <is>
          <t>KLIPPAN</t>
        </is>
      </c>
      <c r="H926" t="inlineStr">
        <is>
          <t>Övriga Aktiebolag</t>
        </is>
      </c>
      <c r="I926" t="n">
        <v>1.8</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37170-2022</t>
        </is>
      </c>
      <c r="B927" t="inlineStr">
        <is>
          <t>avverkningsanmälan</t>
        </is>
      </c>
      <c r="C927" t="inlineStr">
        <is>
          <t>Föryngringsavverkning</t>
        </is>
      </c>
      <c r="D927" s="1" t="n">
        <v>44806</v>
      </c>
      <c r="E927" s="1" t="n">
        <v>46312</v>
      </c>
      <c r="F927" t="inlineStr">
        <is>
          <t>SKÅNE LÄN</t>
        </is>
      </c>
      <c r="G927" t="inlineStr">
        <is>
          <t>HÄSSLEHOLM</t>
        </is>
      </c>
      <c r="H927" t="inlineStr">
        <is>
          <t>Kyrkan</t>
        </is>
      </c>
      <c r="I927" t="n">
        <v>4.5</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2045-2022</t>
        </is>
      </c>
      <c r="B928" t="inlineStr">
        <is>
          <t>avverkningsanmälan</t>
        </is>
      </c>
      <c r="C928" t="inlineStr">
        <is>
          <t>Föryngringsavverkning</t>
        </is>
      </c>
      <c r="D928" s="1" t="n">
        <v>44575</v>
      </c>
      <c r="E928" s="1" t="n">
        <v>46312</v>
      </c>
      <c r="F928" t="inlineStr">
        <is>
          <t>SKÅNE LÄN</t>
        </is>
      </c>
      <c r="G928" t="inlineStr">
        <is>
          <t>KLIPPAN</t>
        </is>
      </c>
      <c r="H928" t="inlineStr">
        <is>
          <t>Sveaskog</t>
        </is>
      </c>
      <c r="I928" t="n">
        <v>0.5</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47407-2022</t>
        </is>
      </c>
      <c r="B929" t="inlineStr">
        <is>
          <t>avverkningsanmälan</t>
        </is>
      </c>
      <c r="C929" t="inlineStr">
        <is>
          <t>Föryngringsavverkning</t>
        </is>
      </c>
      <c r="D929" s="1" t="n">
        <v>44853</v>
      </c>
      <c r="E929" s="1" t="n">
        <v>46312</v>
      </c>
      <c r="F929" t="inlineStr">
        <is>
          <t>SKÅNE LÄN</t>
        </is>
      </c>
      <c r="G929" t="inlineStr">
        <is>
          <t>ÖSTRA GÖINGE</t>
        </is>
      </c>
      <c r="I929" t="n">
        <v>1.1</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43663-2022</t>
        </is>
      </c>
      <c r="B930" t="inlineStr">
        <is>
          <t>avverkningsanmälan</t>
        </is>
      </c>
      <c r="C930" t="inlineStr">
        <is>
          <t>Avverkning för annat ändamål</t>
        </is>
      </c>
      <c r="D930" s="1" t="n">
        <v>44837</v>
      </c>
      <c r="E930" s="1" t="n">
        <v>46312</v>
      </c>
      <c r="F930" t="inlineStr">
        <is>
          <t>SKÅNE LÄN</t>
        </is>
      </c>
      <c r="G930" t="inlineStr">
        <is>
          <t>KRISTIANSTAD</t>
        </is>
      </c>
      <c r="H930" t="inlineStr">
        <is>
          <t>Övriga Aktiebolag</t>
        </is>
      </c>
      <c r="I930" t="n">
        <v>0.6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55425-2022</t>
        </is>
      </c>
      <c r="B931" t="inlineStr">
        <is>
          <t>avverkningsanmälan</t>
        </is>
      </c>
      <c r="C931" t="inlineStr">
        <is>
          <t>Föryngringsavverkning</t>
        </is>
      </c>
      <c r="D931" s="1" t="n">
        <v>44887</v>
      </c>
      <c r="E931" s="1" t="n">
        <v>46312</v>
      </c>
      <c r="F931" t="inlineStr">
        <is>
          <t>SKÅNE LÄN</t>
        </is>
      </c>
      <c r="G931" t="inlineStr">
        <is>
          <t>HÄSSLEHOLM</t>
        </is>
      </c>
      <c r="I931" t="n">
        <v>0.5</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38632-2022</t>
        </is>
      </c>
      <c r="B932" t="inlineStr">
        <is>
          <t>avverkningsanmälan</t>
        </is>
      </c>
      <c r="C932" t="inlineStr">
        <is>
          <t>Föryngringsavverkning</t>
        </is>
      </c>
      <c r="D932" s="1" t="n">
        <v>44813</v>
      </c>
      <c r="E932" s="1" t="n">
        <v>46312</v>
      </c>
      <c r="F932" t="inlineStr">
        <is>
          <t>SKÅNE LÄN</t>
        </is>
      </c>
      <c r="G932" t="inlineStr">
        <is>
          <t>OSBY</t>
        </is>
      </c>
      <c r="H932" t="inlineStr">
        <is>
          <t>Kyrkan</t>
        </is>
      </c>
      <c r="I932" t="n">
        <v>2.2</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38647-2022</t>
        </is>
      </c>
      <c r="B933" t="inlineStr">
        <is>
          <t>avverkningsanmälan</t>
        </is>
      </c>
      <c r="C933" t="inlineStr">
        <is>
          <t>Föryngringsavverkning</t>
        </is>
      </c>
      <c r="D933" s="1" t="n">
        <v>44813</v>
      </c>
      <c r="E933" s="1" t="n">
        <v>46312</v>
      </c>
      <c r="F933" t="inlineStr">
        <is>
          <t>SKÅNE LÄN</t>
        </is>
      </c>
      <c r="G933" t="inlineStr">
        <is>
          <t>OSBY</t>
        </is>
      </c>
      <c r="H933" t="inlineStr">
        <is>
          <t>Kyrkan</t>
        </is>
      </c>
      <c r="I933" t="n">
        <v>0.5</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45968-2022</t>
        </is>
      </c>
      <c r="B934" t="inlineStr">
        <is>
          <t>avverkningsanmälan</t>
        </is>
      </c>
      <c r="C934" t="inlineStr">
        <is>
          <t>Föryngringsavverkning</t>
        </is>
      </c>
      <c r="D934" s="1" t="n">
        <v>44846</v>
      </c>
      <c r="E934" s="1" t="n">
        <v>46312</v>
      </c>
      <c r="F934" t="inlineStr">
        <is>
          <t>SKÅNE LÄN</t>
        </is>
      </c>
      <c r="G934" t="inlineStr">
        <is>
          <t>ÖRKELLJUNGA</t>
        </is>
      </c>
      <c r="I934" t="n">
        <v>1.2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68487-2021</t>
        </is>
      </c>
      <c r="B935" t="inlineStr">
        <is>
          <t>avverkningsanmälan</t>
        </is>
      </c>
      <c r="C935" t="inlineStr">
        <is>
          <t>Föryngringsavverkning</t>
        </is>
      </c>
      <c r="D935" s="1" t="n">
        <v>44529</v>
      </c>
      <c r="E935" s="1" t="n">
        <v>46312</v>
      </c>
      <c r="F935" t="inlineStr">
        <is>
          <t>SKÅNE LÄN</t>
        </is>
      </c>
      <c r="G935" t="inlineStr">
        <is>
          <t>OSBY</t>
        </is>
      </c>
      <c r="I935" t="n">
        <v>0.6</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7258-2022</t>
        </is>
      </c>
      <c r="B936" t="inlineStr">
        <is>
          <t>avverkningsanmälan</t>
        </is>
      </c>
      <c r="C936" t="inlineStr">
        <is>
          <t>Föryngringsavverkning</t>
        </is>
      </c>
      <c r="D936" s="1" t="n">
        <v>44606</v>
      </c>
      <c r="E936" s="1" t="n">
        <v>46312</v>
      </c>
      <c r="F936" t="inlineStr">
        <is>
          <t>SKÅNE LÄN</t>
        </is>
      </c>
      <c r="G936" t="inlineStr">
        <is>
          <t>SIMRISHAMN</t>
        </is>
      </c>
      <c r="I936" t="n">
        <v>1</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18872-2022</t>
        </is>
      </c>
      <c r="B937" t="inlineStr">
        <is>
          <t>avverkningsanmälan</t>
        </is>
      </c>
      <c r="C937" t="inlineStr">
        <is>
          <t>Föryngringsavverkning</t>
        </is>
      </c>
      <c r="D937" s="1" t="n">
        <v>44690</v>
      </c>
      <c r="E937" s="1" t="n">
        <v>46312</v>
      </c>
      <c r="F937" t="inlineStr">
        <is>
          <t>SKÅNE LÄN</t>
        </is>
      </c>
      <c r="G937" t="inlineStr">
        <is>
          <t>ESLÖV</t>
        </is>
      </c>
      <c r="I937" t="n">
        <v>1.4</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3277-2022</t>
        </is>
      </c>
      <c r="B938" t="inlineStr">
        <is>
          <t>avverkningsanmälan</t>
        </is>
      </c>
      <c r="C938" t="inlineStr">
        <is>
          <t>Avverkning för annat ändamål</t>
        </is>
      </c>
      <c r="D938" s="1" t="n">
        <v>44584</v>
      </c>
      <c r="E938" s="1" t="n">
        <v>46312</v>
      </c>
      <c r="F938" t="inlineStr">
        <is>
          <t>SKÅNE LÄN</t>
        </is>
      </c>
      <c r="G938" t="inlineStr">
        <is>
          <t>HÄSSLEHOLM</t>
        </is>
      </c>
      <c r="I938" t="n">
        <v>0.2</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9292-2022</t>
        </is>
      </c>
      <c r="B939" t="inlineStr">
        <is>
          <t>avverkningsanmälan</t>
        </is>
      </c>
      <c r="C939" t="inlineStr">
        <is>
          <t>Föryngringsavverkning</t>
        </is>
      </c>
      <c r="D939" s="1" t="n">
        <v>44616</v>
      </c>
      <c r="E939" s="1" t="n">
        <v>46312</v>
      </c>
      <c r="F939" t="inlineStr">
        <is>
          <t>SKÅNE LÄN</t>
        </is>
      </c>
      <c r="G939" t="inlineStr">
        <is>
          <t>HÄSSLEHOLM</t>
        </is>
      </c>
      <c r="I939" t="n">
        <v>1.6</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10805-2022</t>
        </is>
      </c>
      <c r="B940" t="inlineStr">
        <is>
          <t>avverkningsanmälan</t>
        </is>
      </c>
      <c r="C940" t="inlineStr">
        <is>
          <t>Föryngringsavverkning</t>
        </is>
      </c>
      <c r="D940" s="1" t="n">
        <v>44627</v>
      </c>
      <c r="E940" s="1" t="n">
        <v>46312</v>
      </c>
      <c r="F940" t="inlineStr">
        <is>
          <t>SKÅNE LÄN</t>
        </is>
      </c>
      <c r="G940" t="inlineStr">
        <is>
          <t>KRISTIANSTAD</t>
        </is>
      </c>
      <c r="I940" t="n">
        <v>3.2</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53582-2022</t>
        </is>
      </c>
      <c r="B941" t="inlineStr">
        <is>
          <t>avverkningsanmälan</t>
        </is>
      </c>
      <c r="C941" t="inlineStr">
        <is>
          <t>Föryngringsavverkning</t>
        </is>
      </c>
      <c r="D941" s="1" t="n">
        <v>44875</v>
      </c>
      <c r="E941" s="1" t="n">
        <v>46312</v>
      </c>
      <c r="F941" t="inlineStr">
        <is>
          <t>SKÅNE LÄN</t>
        </is>
      </c>
      <c r="G941" t="inlineStr">
        <is>
          <t>KLIPPAN</t>
        </is>
      </c>
      <c r="H941" t="inlineStr">
        <is>
          <t>Övriga Aktiebolag</t>
        </is>
      </c>
      <c r="I941" t="n">
        <v>2.1</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10055-2022</t>
        </is>
      </c>
      <c r="B942" t="inlineStr">
        <is>
          <t>avverkningsanmälan</t>
        </is>
      </c>
      <c r="C942" t="inlineStr">
        <is>
          <t>Föryngringsavverkning</t>
        </is>
      </c>
      <c r="D942" s="1" t="n">
        <v>44621</v>
      </c>
      <c r="E942" s="1" t="n">
        <v>46312</v>
      </c>
      <c r="F942" t="inlineStr">
        <is>
          <t>SKÅNE LÄN</t>
        </is>
      </c>
      <c r="G942" t="inlineStr">
        <is>
          <t>KLIPPAN</t>
        </is>
      </c>
      <c r="I942" t="n">
        <v>0.3</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55670-2022</t>
        </is>
      </c>
      <c r="B943" t="inlineStr">
        <is>
          <t>avverkningsanmälan</t>
        </is>
      </c>
      <c r="C943" t="inlineStr">
        <is>
          <t>Föryngringsavverkning</t>
        </is>
      </c>
      <c r="D943" s="1" t="n">
        <v>44888</v>
      </c>
      <c r="E943" s="1" t="n">
        <v>46312</v>
      </c>
      <c r="F943" t="inlineStr">
        <is>
          <t>SKÅNE LÄN</t>
        </is>
      </c>
      <c r="G943" t="inlineStr">
        <is>
          <t>KRISTIANSTAD</t>
        </is>
      </c>
      <c r="I943" t="n">
        <v>0.9</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30751-2022</t>
        </is>
      </c>
      <c r="B944" t="inlineStr">
        <is>
          <t>avverkningsanmälan</t>
        </is>
      </c>
      <c r="C944" t="inlineStr">
        <is>
          <t>Föryngringsavverkning</t>
        </is>
      </c>
      <c r="D944" s="1" t="n">
        <v>44764</v>
      </c>
      <c r="E944" s="1" t="n">
        <v>46312</v>
      </c>
      <c r="F944" t="inlineStr">
        <is>
          <t>SKÅNE LÄN</t>
        </is>
      </c>
      <c r="G944" t="inlineStr">
        <is>
          <t>OSBY</t>
        </is>
      </c>
      <c r="I944" t="n">
        <v>0.7</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21423-2022</t>
        </is>
      </c>
      <c r="B945" t="inlineStr">
        <is>
          <t>avverkningsanmälan</t>
        </is>
      </c>
      <c r="C945" t="inlineStr">
        <is>
          <t>Föryngringsavverkning</t>
        </is>
      </c>
      <c r="D945" s="1" t="n">
        <v>44706</v>
      </c>
      <c r="E945" s="1" t="n">
        <v>46312</v>
      </c>
      <c r="F945" t="inlineStr">
        <is>
          <t>SKÅNE LÄN</t>
        </is>
      </c>
      <c r="G945" t="inlineStr">
        <is>
          <t>SJÖBO</t>
        </is>
      </c>
      <c r="I945" t="n">
        <v>3.4</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27962-2022</t>
        </is>
      </c>
      <c r="B946" t="inlineStr">
        <is>
          <t>avverkningsanmälan</t>
        </is>
      </c>
      <c r="C946" t="inlineStr">
        <is>
          <t>Föryngringsavverkning</t>
        </is>
      </c>
      <c r="D946" s="1" t="n">
        <v>44744</v>
      </c>
      <c r="E946" s="1" t="n">
        <v>46312</v>
      </c>
      <c r="F946" t="inlineStr">
        <is>
          <t>SKÅNE LÄN</t>
        </is>
      </c>
      <c r="G946" t="inlineStr">
        <is>
          <t>KRISTIANSTAD</t>
        </is>
      </c>
      <c r="I946" t="n">
        <v>0.5</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29333-2022</t>
        </is>
      </c>
      <c r="B947" t="inlineStr">
        <is>
          <t>avverkningsanmälan</t>
        </is>
      </c>
      <c r="C947" t="inlineStr">
        <is>
          <t>Föryngringsavverkning</t>
        </is>
      </c>
      <c r="D947" s="1" t="n">
        <v>44752</v>
      </c>
      <c r="E947" s="1" t="n">
        <v>46312</v>
      </c>
      <c r="F947" t="inlineStr">
        <is>
          <t>SKÅNE LÄN</t>
        </is>
      </c>
      <c r="G947" t="inlineStr">
        <is>
          <t>ÖRKELLJUNGA</t>
        </is>
      </c>
      <c r="I947" t="n">
        <v>1.2</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43389-2022</t>
        </is>
      </c>
      <c r="B948" t="inlineStr">
        <is>
          <t>avverkningsanmälan</t>
        </is>
      </c>
      <c r="C948" t="inlineStr">
        <is>
          <t>Föryngringsavverkning</t>
        </is>
      </c>
      <c r="D948" s="1" t="n">
        <v>44834</v>
      </c>
      <c r="E948" s="1" t="n">
        <v>46312</v>
      </c>
      <c r="F948" t="inlineStr">
        <is>
          <t>SKÅNE LÄN</t>
        </is>
      </c>
      <c r="G948" t="inlineStr">
        <is>
          <t>HÖRBY</t>
        </is>
      </c>
      <c r="I948" t="n">
        <v>0.4</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70982-2021</t>
        </is>
      </c>
      <c r="B949" t="inlineStr">
        <is>
          <t>avverkningsanmälan</t>
        </is>
      </c>
      <c r="C949" t="inlineStr">
        <is>
          <t>Föryngringsavverkning</t>
        </is>
      </c>
      <c r="D949" s="1" t="n">
        <v>44538</v>
      </c>
      <c r="E949" s="1" t="n">
        <v>46312</v>
      </c>
      <c r="F949" t="inlineStr">
        <is>
          <t>SKÅNE LÄN</t>
        </is>
      </c>
      <c r="G949" t="inlineStr">
        <is>
          <t>HÖÖR</t>
        </is>
      </c>
      <c r="I949" t="n">
        <v>1.7</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66520-2021</t>
        </is>
      </c>
      <c r="B950" t="inlineStr">
        <is>
          <t>avverkningsanmälan</t>
        </is>
      </c>
      <c r="C950" t="inlineStr">
        <is>
          <t>Föryngringsavverkning</t>
        </is>
      </c>
      <c r="D950" s="1" t="n">
        <v>44519</v>
      </c>
      <c r="E950" s="1" t="n">
        <v>46312</v>
      </c>
      <c r="F950" t="inlineStr">
        <is>
          <t>SKÅNE LÄN</t>
        </is>
      </c>
      <c r="G950" t="inlineStr">
        <is>
          <t>ÖSTRA GÖINGE</t>
        </is>
      </c>
      <c r="I950" t="n">
        <v>0.6</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31285-2022</t>
        </is>
      </c>
      <c r="B951" t="inlineStr">
        <is>
          <t>avverkningsanmälan</t>
        </is>
      </c>
      <c r="C951" t="inlineStr">
        <is>
          <t>Föryngringsavverkning</t>
        </is>
      </c>
      <c r="D951" s="1" t="n">
        <v>44771</v>
      </c>
      <c r="E951" s="1" t="n">
        <v>46312</v>
      </c>
      <c r="F951" t="inlineStr">
        <is>
          <t>SKÅNE LÄN</t>
        </is>
      </c>
      <c r="G951" t="inlineStr">
        <is>
          <t>HÖRBY</t>
        </is>
      </c>
      <c r="I951" t="n">
        <v>0.7</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25353-2022</t>
        </is>
      </c>
      <c r="B952" t="inlineStr">
        <is>
          <t>avverkningsanmälan</t>
        </is>
      </c>
      <c r="C952" t="inlineStr">
        <is>
          <t>Föryngringsavverkning</t>
        </is>
      </c>
      <c r="D952" s="1" t="n">
        <v>44732</v>
      </c>
      <c r="E952" s="1" t="n">
        <v>46312</v>
      </c>
      <c r="F952" t="inlineStr">
        <is>
          <t>SKÅNE LÄN</t>
        </is>
      </c>
      <c r="G952" t="inlineStr">
        <is>
          <t>ÅSTORP</t>
        </is>
      </c>
      <c r="I952" t="n">
        <v>1.5</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30564-2022</t>
        </is>
      </c>
      <c r="B953" t="inlineStr">
        <is>
          <t>avverkningsanmälan</t>
        </is>
      </c>
      <c r="C953" t="inlineStr">
        <is>
          <t>Föryngringsavverkning</t>
        </is>
      </c>
      <c r="D953" s="1" t="n">
        <v>44762</v>
      </c>
      <c r="E953" s="1" t="n">
        <v>46312</v>
      </c>
      <c r="F953" t="inlineStr">
        <is>
          <t>SKÅNE LÄN</t>
        </is>
      </c>
      <c r="G953" t="inlineStr">
        <is>
          <t>OSBY</t>
        </is>
      </c>
      <c r="I953" t="n">
        <v>0.8</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74293-2021</t>
        </is>
      </c>
      <c r="B954" t="inlineStr">
        <is>
          <t>avverkningsanmälan</t>
        </is>
      </c>
      <c r="C954" t="inlineStr">
        <is>
          <t>Föryngringsavverkning</t>
        </is>
      </c>
      <c r="D954" s="1" t="n">
        <v>44558</v>
      </c>
      <c r="E954" s="1" t="n">
        <v>46312</v>
      </c>
      <c r="F954" t="inlineStr">
        <is>
          <t>SKÅNE LÄN</t>
        </is>
      </c>
      <c r="G954" t="inlineStr">
        <is>
          <t>HÄSSLEHOLM</t>
        </is>
      </c>
      <c r="H954" t="inlineStr">
        <is>
          <t>Kyrkan</t>
        </is>
      </c>
      <c r="I954" t="n">
        <v>3.3</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64141-2021</t>
        </is>
      </c>
      <c r="B955" t="inlineStr">
        <is>
          <t>avverkningsanmälan</t>
        </is>
      </c>
      <c r="C955" t="inlineStr">
        <is>
          <t>Föryngringsavverkning</t>
        </is>
      </c>
      <c r="D955" s="1" t="n">
        <v>44510</v>
      </c>
      <c r="E955" s="1" t="n">
        <v>46312</v>
      </c>
      <c r="F955" t="inlineStr">
        <is>
          <t>SKÅNE LÄN</t>
        </is>
      </c>
      <c r="G955" t="inlineStr">
        <is>
          <t>OSBY</t>
        </is>
      </c>
      <c r="I955" t="n">
        <v>0.6</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64144-2021</t>
        </is>
      </c>
      <c r="B956" t="inlineStr">
        <is>
          <t>avverkningsanmälan</t>
        </is>
      </c>
      <c r="C956" t="inlineStr">
        <is>
          <t>Föryngringsavverkning</t>
        </is>
      </c>
      <c r="D956" s="1" t="n">
        <v>44510</v>
      </c>
      <c r="E956" s="1" t="n">
        <v>46312</v>
      </c>
      <c r="F956" t="inlineStr">
        <is>
          <t>SKÅNE LÄN</t>
        </is>
      </c>
      <c r="G956" t="inlineStr">
        <is>
          <t>OSBY</t>
        </is>
      </c>
      <c r="I956" t="n">
        <v>0.7</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46217-2022</t>
        </is>
      </c>
      <c r="B957" t="inlineStr">
        <is>
          <t>avverkningsanmälan</t>
        </is>
      </c>
      <c r="C957" t="inlineStr">
        <is>
          <t>Föryngringsavverkning</t>
        </is>
      </c>
      <c r="D957" s="1" t="n">
        <v>44846</v>
      </c>
      <c r="E957" s="1" t="n">
        <v>46312</v>
      </c>
      <c r="F957" t="inlineStr">
        <is>
          <t>SKÅNE LÄN</t>
        </is>
      </c>
      <c r="G957" t="inlineStr">
        <is>
          <t>HÄSSLEHOLM</t>
        </is>
      </c>
      <c r="I957" t="n">
        <v>3.1</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5215-2022</t>
        </is>
      </c>
      <c r="B958" t="inlineStr">
        <is>
          <t>avverkningsanmälan</t>
        </is>
      </c>
      <c r="C958" t="inlineStr">
        <is>
          <t>Föryngringsavverkning</t>
        </is>
      </c>
      <c r="D958" s="1" t="n">
        <v>44594</v>
      </c>
      <c r="E958" s="1" t="n">
        <v>46312</v>
      </c>
      <c r="F958" t="inlineStr">
        <is>
          <t>SKÅNE LÄN</t>
        </is>
      </c>
      <c r="G958" t="inlineStr">
        <is>
          <t>ÖSTRA GÖINGE</t>
        </is>
      </c>
      <c r="I958" t="n">
        <v>0.2</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60021-2021</t>
        </is>
      </c>
      <c r="B959" t="inlineStr">
        <is>
          <t>avverkningsanmälan</t>
        </is>
      </c>
      <c r="C959" t="inlineStr">
        <is>
          <t>Föryngringsavverkning</t>
        </is>
      </c>
      <c r="D959" s="1" t="n">
        <v>44494</v>
      </c>
      <c r="E959" s="1" t="n">
        <v>46312</v>
      </c>
      <c r="F959" t="inlineStr">
        <is>
          <t>SKÅNE LÄN</t>
        </is>
      </c>
      <c r="G959" t="inlineStr">
        <is>
          <t>PERSTORP</t>
        </is>
      </c>
      <c r="I959" t="n">
        <v>1</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6802-2022</t>
        </is>
      </c>
      <c r="B960" t="inlineStr">
        <is>
          <t>avverkningsanmälan</t>
        </is>
      </c>
      <c r="C960" t="inlineStr">
        <is>
          <t>Föryngringsavverkning</t>
        </is>
      </c>
      <c r="D960" s="1" t="n">
        <v>44602</v>
      </c>
      <c r="E960" s="1" t="n">
        <v>46312</v>
      </c>
      <c r="F960" t="inlineStr">
        <is>
          <t>SKÅNE LÄN</t>
        </is>
      </c>
      <c r="G960" t="inlineStr">
        <is>
          <t>ÖSTRA GÖINGE</t>
        </is>
      </c>
      <c r="I960" t="n">
        <v>0.6</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1899-2022</t>
        </is>
      </c>
      <c r="B961" t="inlineStr">
        <is>
          <t>avverkningsanmälan</t>
        </is>
      </c>
      <c r="C961" t="inlineStr">
        <is>
          <t>Föryngringsavverkning</t>
        </is>
      </c>
      <c r="D961" s="1" t="n">
        <v>44575</v>
      </c>
      <c r="E961" s="1" t="n">
        <v>46312</v>
      </c>
      <c r="F961" t="inlineStr">
        <is>
          <t>SKÅNE LÄN</t>
        </is>
      </c>
      <c r="G961" t="inlineStr">
        <is>
          <t>OSBY</t>
        </is>
      </c>
      <c r="I961" t="n">
        <v>0.4</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45349-2022</t>
        </is>
      </c>
      <c r="B962" t="inlineStr">
        <is>
          <t>avverkningsanmälan</t>
        </is>
      </c>
      <c r="C962" t="inlineStr">
        <is>
          <t>Föryngringsavverkning</t>
        </is>
      </c>
      <c r="D962" s="1" t="n">
        <v>44844</v>
      </c>
      <c r="E962" s="1" t="n">
        <v>46312</v>
      </c>
      <c r="F962" t="inlineStr">
        <is>
          <t>SKÅNE LÄN</t>
        </is>
      </c>
      <c r="G962" t="inlineStr">
        <is>
          <t>HÄSSLEHOLM</t>
        </is>
      </c>
      <c r="I962" t="n">
        <v>6.2</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15118-2022</t>
        </is>
      </c>
      <c r="B963" t="inlineStr">
        <is>
          <t>avverkningsanmälan</t>
        </is>
      </c>
      <c r="C963" t="inlineStr">
        <is>
          <t>Föryngringsavverkning</t>
        </is>
      </c>
      <c r="D963" s="1" t="n">
        <v>44659</v>
      </c>
      <c r="E963" s="1" t="n">
        <v>46312</v>
      </c>
      <c r="F963" t="inlineStr">
        <is>
          <t>SKÅNE LÄN</t>
        </is>
      </c>
      <c r="G963" t="inlineStr">
        <is>
          <t>HÄSSLEHOLM</t>
        </is>
      </c>
      <c r="H963" t="inlineStr">
        <is>
          <t>Kyrkan</t>
        </is>
      </c>
      <c r="I963" t="n">
        <v>0.7</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8111-2022</t>
        </is>
      </c>
      <c r="B964" t="inlineStr">
        <is>
          <t>avverkningsanmälan</t>
        </is>
      </c>
      <c r="C964" t="inlineStr">
        <is>
          <t>Föryngringsavverkning</t>
        </is>
      </c>
      <c r="D964" s="1" t="n">
        <v>44607</v>
      </c>
      <c r="E964" s="1" t="n">
        <v>46312</v>
      </c>
      <c r="F964" t="inlineStr">
        <is>
          <t>SKÅNE LÄN</t>
        </is>
      </c>
      <c r="G964" t="inlineStr">
        <is>
          <t>ÖRKELLJUNGA</t>
        </is>
      </c>
      <c r="H964" t="inlineStr">
        <is>
          <t>Kyrkan</t>
        </is>
      </c>
      <c r="I964" t="n">
        <v>1.1</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61263-2021</t>
        </is>
      </c>
      <c r="B965" t="inlineStr">
        <is>
          <t>avverkningsanmälan</t>
        </is>
      </c>
      <c r="C965" t="inlineStr">
        <is>
          <t>Föryngringsavverkning</t>
        </is>
      </c>
      <c r="D965" s="1" t="n">
        <v>44498</v>
      </c>
      <c r="E965" s="1" t="n">
        <v>46312</v>
      </c>
      <c r="F965" t="inlineStr">
        <is>
          <t>SKÅNE LÄN</t>
        </is>
      </c>
      <c r="G965" t="inlineStr">
        <is>
          <t>ÄNGELHOLM</t>
        </is>
      </c>
      <c r="I965" t="n">
        <v>1.1</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59831-2021</t>
        </is>
      </c>
      <c r="B966" t="inlineStr">
        <is>
          <t>avverkningsanmälan</t>
        </is>
      </c>
      <c r="C966" t="inlineStr">
        <is>
          <t>Avverkning för annat ändamål</t>
        </is>
      </c>
      <c r="D966" s="1" t="n">
        <v>44491</v>
      </c>
      <c r="E966" s="1" t="n">
        <v>46312</v>
      </c>
      <c r="F966" t="inlineStr">
        <is>
          <t>SKÅNE LÄN</t>
        </is>
      </c>
      <c r="G966" t="inlineStr">
        <is>
          <t>KRISTIANSTAD</t>
        </is>
      </c>
      <c r="I966" t="n">
        <v>0.2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63972-2021</t>
        </is>
      </c>
      <c r="B967" t="inlineStr">
        <is>
          <t>avverkningsanmälan</t>
        </is>
      </c>
      <c r="C967" t="inlineStr">
        <is>
          <t>Föryngringsavverkning</t>
        </is>
      </c>
      <c r="D967" s="1" t="n">
        <v>44509</v>
      </c>
      <c r="E967" s="1" t="n">
        <v>46312</v>
      </c>
      <c r="F967" t="inlineStr">
        <is>
          <t>SKÅNE LÄN</t>
        </is>
      </c>
      <c r="G967" t="inlineStr">
        <is>
          <t>HÄSSLEHOLM</t>
        </is>
      </c>
      <c r="I967" t="n">
        <v>0.8</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5856-2022</t>
        </is>
      </c>
      <c r="B968" t="inlineStr">
        <is>
          <t>avverkningsanmälan</t>
        </is>
      </c>
      <c r="C968" t="inlineStr">
        <is>
          <t>Föryngringsavverkning</t>
        </is>
      </c>
      <c r="D968" s="1" t="n">
        <v>44596</v>
      </c>
      <c r="E968" s="1" t="n">
        <v>46312</v>
      </c>
      <c r="F968" t="inlineStr">
        <is>
          <t>SKÅNE LÄN</t>
        </is>
      </c>
      <c r="G968" t="inlineStr">
        <is>
          <t>KRISTIANSTAD</t>
        </is>
      </c>
      <c r="I968" t="n">
        <v>3.4</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5564-2022</t>
        </is>
      </c>
      <c r="B969" t="inlineStr">
        <is>
          <t>avverkningsanmälan</t>
        </is>
      </c>
      <c r="C969" t="inlineStr">
        <is>
          <t>Föryngringsavverkning</t>
        </is>
      </c>
      <c r="D969" s="1" t="n">
        <v>44595</v>
      </c>
      <c r="E969" s="1" t="n">
        <v>46312</v>
      </c>
      <c r="F969" t="inlineStr">
        <is>
          <t>SKÅNE LÄN</t>
        </is>
      </c>
      <c r="G969" t="inlineStr">
        <is>
          <t>HÄSSLEHOLM</t>
        </is>
      </c>
      <c r="I969" t="n">
        <v>0.3</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5569-2022</t>
        </is>
      </c>
      <c r="B970" t="inlineStr">
        <is>
          <t>avverkningsanmälan</t>
        </is>
      </c>
      <c r="C970" t="inlineStr">
        <is>
          <t>Föryngringsavverkning</t>
        </is>
      </c>
      <c r="D970" s="1" t="n">
        <v>44595</v>
      </c>
      <c r="E970" s="1" t="n">
        <v>46312</v>
      </c>
      <c r="F970" t="inlineStr">
        <is>
          <t>SKÅNE LÄN</t>
        </is>
      </c>
      <c r="G970" t="inlineStr">
        <is>
          <t>OSBY</t>
        </is>
      </c>
      <c r="I970" t="n">
        <v>1.2</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70802-2021</t>
        </is>
      </c>
      <c r="B971" t="inlineStr">
        <is>
          <t>avverkningsanmälan</t>
        </is>
      </c>
      <c r="C971" t="inlineStr">
        <is>
          <t>Föryngringsavverkning</t>
        </is>
      </c>
      <c r="D971" s="1" t="n">
        <v>44537</v>
      </c>
      <c r="E971" s="1" t="n">
        <v>46312</v>
      </c>
      <c r="F971" t="inlineStr">
        <is>
          <t>SKÅNE LÄN</t>
        </is>
      </c>
      <c r="G971" t="inlineStr">
        <is>
          <t>ÖRKELLJUNGA</t>
        </is>
      </c>
      <c r="I971" t="n">
        <v>0.6</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3167-2022</t>
        </is>
      </c>
      <c r="B972" t="inlineStr">
        <is>
          <t>avverkningsanmälan</t>
        </is>
      </c>
      <c r="C972" t="inlineStr">
        <is>
          <t>Föryngringsavverkning</t>
        </is>
      </c>
      <c r="D972" s="1" t="n">
        <v>44582</v>
      </c>
      <c r="E972" s="1" t="n">
        <v>46312</v>
      </c>
      <c r="F972" t="inlineStr">
        <is>
          <t>SKÅNE LÄN</t>
        </is>
      </c>
      <c r="G972" t="inlineStr">
        <is>
          <t>HÄSSLEHOLM</t>
        </is>
      </c>
      <c r="H972" t="inlineStr">
        <is>
          <t>Kommuner</t>
        </is>
      </c>
      <c r="I972" t="n">
        <v>1.5</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61495-2021</t>
        </is>
      </c>
      <c r="B973" t="inlineStr">
        <is>
          <t>avverkningsanmälan</t>
        </is>
      </c>
      <c r="C973" t="inlineStr">
        <is>
          <t>Avverkning för annat ändamål</t>
        </is>
      </c>
      <c r="D973" s="1" t="n">
        <v>44501</v>
      </c>
      <c r="E973" s="1" t="n">
        <v>46312</v>
      </c>
      <c r="F973" t="inlineStr">
        <is>
          <t>SKÅNE LÄN</t>
        </is>
      </c>
      <c r="G973" t="inlineStr">
        <is>
          <t>SVALÖV</t>
        </is>
      </c>
      <c r="I973" t="n">
        <v>1.1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65644-2021</t>
        </is>
      </c>
      <c r="B974" t="inlineStr">
        <is>
          <t>avverkningsanmälan</t>
        </is>
      </c>
      <c r="C974" t="inlineStr">
        <is>
          <t>Föryngringsavverkning</t>
        </is>
      </c>
      <c r="D974" s="1" t="n">
        <v>44516</v>
      </c>
      <c r="E974" s="1" t="n">
        <v>46312</v>
      </c>
      <c r="F974" t="inlineStr">
        <is>
          <t>SKÅNE LÄN</t>
        </is>
      </c>
      <c r="G974" t="inlineStr">
        <is>
          <t>OSBY</t>
        </is>
      </c>
      <c r="I974" t="n">
        <v>6.4</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58346-2021</t>
        </is>
      </c>
      <c r="B975" t="inlineStr">
        <is>
          <t>avverkningsanmälan</t>
        </is>
      </c>
      <c r="C975" t="inlineStr">
        <is>
          <t>Föryngringsavverkning</t>
        </is>
      </c>
      <c r="D975" s="1" t="n">
        <v>44487</v>
      </c>
      <c r="E975" s="1" t="n">
        <v>46312</v>
      </c>
      <c r="F975" t="inlineStr">
        <is>
          <t>SKÅNE LÄN</t>
        </is>
      </c>
      <c r="G975" t="inlineStr">
        <is>
          <t>OSBY</t>
        </is>
      </c>
      <c r="I975" t="n">
        <v>0.6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72746-2021</t>
        </is>
      </c>
      <c r="B976" t="inlineStr">
        <is>
          <t>avverkningsanmälan</t>
        </is>
      </c>
      <c r="C976" t="inlineStr">
        <is>
          <t>Föryngringsavverkning</t>
        </is>
      </c>
      <c r="D976" s="1" t="n">
        <v>44546</v>
      </c>
      <c r="E976" s="1" t="n">
        <v>46312</v>
      </c>
      <c r="F976" t="inlineStr">
        <is>
          <t>SKÅNE LÄN</t>
        </is>
      </c>
      <c r="G976" t="inlineStr">
        <is>
          <t>ÖSTRA GÖINGE</t>
        </is>
      </c>
      <c r="I976" t="n">
        <v>0.6</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63135-2021</t>
        </is>
      </c>
      <c r="B977" t="inlineStr">
        <is>
          <t>avverkningsanmälan</t>
        </is>
      </c>
      <c r="C977" t="inlineStr">
        <is>
          <t>Föryngringsavverkning</t>
        </is>
      </c>
      <c r="D977" s="1" t="n">
        <v>44505</v>
      </c>
      <c r="E977" s="1" t="n">
        <v>46312</v>
      </c>
      <c r="F977" t="inlineStr">
        <is>
          <t>SKÅNE LÄN</t>
        </is>
      </c>
      <c r="G977" t="inlineStr">
        <is>
          <t>OSBY</t>
        </is>
      </c>
      <c r="I977" t="n">
        <v>0.7</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1535-2022</t>
        </is>
      </c>
      <c r="B978" t="inlineStr">
        <is>
          <t>avverkningsanmälan</t>
        </is>
      </c>
      <c r="C978" t="inlineStr">
        <is>
          <t>Föryngringsavverkning</t>
        </is>
      </c>
      <c r="D978" s="1" t="n">
        <v>44573</v>
      </c>
      <c r="E978" s="1" t="n">
        <v>46312</v>
      </c>
      <c r="F978" t="inlineStr">
        <is>
          <t>SKÅNE LÄN</t>
        </is>
      </c>
      <c r="G978" t="inlineStr">
        <is>
          <t>HÄSSLEHOLM</t>
        </is>
      </c>
      <c r="I978" t="n">
        <v>15</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4161-2022</t>
        </is>
      </c>
      <c r="B979" t="inlineStr">
        <is>
          <t>avverkningsanmälan</t>
        </is>
      </c>
      <c r="C979" t="inlineStr">
        <is>
          <t>Föryngringsavverkning</t>
        </is>
      </c>
      <c r="D979" s="1" t="n">
        <v>44588</v>
      </c>
      <c r="E979" s="1" t="n">
        <v>46312</v>
      </c>
      <c r="F979" t="inlineStr">
        <is>
          <t>SKÅNE LÄN</t>
        </is>
      </c>
      <c r="G979" t="inlineStr">
        <is>
          <t>HÄSSLEHOLM</t>
        </is>
      </c>
      <c r="I979" t="n">
        <v>0.5</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64607-2021</t>
        </is>
      </c>
      <c r="B980" t="inlineStr">
        <is>
          <t>avverkningsanmälan</t>
        </is>
      </c>
      <c r="C980" t="inlineStr">
        <is>
          <t>Föryngringsavverkning</t>
        </is>
      </c>
      <c r="D980" s="1" t="n">
        <v>44511</v>
      </c>
      <c r="E980" s="1" t="n">
        <v>46312</v>
      </c>
      <c r="F980" t="inlineStr">
        <is>
          <t>SKÅNE LÄN</t>
        </is>
      </c>
      <c r="G980" t="inlineStr">
        <is>
          <t>HÄSSLEHOLM</t>
        </is>
      </c>
      <c r="I980" t="n">
        <v>1.5</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64621-2021</t>
        </is>
      </c>
      <c r="B981" t="inlineStr">
        <is>
          <t>avverkningsanmälan</t>
        </is>
      </c>
      <c r="C981" t="inlineStr">
        <is>
          <t>Föryngringsavverkning</t>
        </is>
      </c>
      <c r="D981" s="1" t="n">
        <v>44511</v>
      </c>
      <c r="E981" s="1" t="n">
        <v>46312</v>
      </c>
      <c r="F981" t="inlineStr">
        <is>
          <t>SKÅNE LÄN</t>
        </is>
      </c>
      <c r="G981" t="inlineStr">
        <is>
          <t>BROMÖLLA</t>
        </is>
      </c>
      <c r="I981" t="n">
        <v>1.1</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25351-2022</t>
        </is>
      </c>
      <c r="B982" t="inlineStr">
        <is>
          <t>avverkningsanmälan</t>
        </is>
      </c>
      <c r="C982" t="inlineStr">
        <is>
          <t>Föryngringsavverkning</t>
        </is>
      </c>
      <c r="D982" s="1" t="n">
        <v>44732</v>
      </c>
      <c r="E982" s="1" t="n">
        <v>46312</v>
      </c>
      <c r="F982" t="inlineStr">
        <is>
          <t>SKÅNE LÄN</t>
        </is>
      </c>
      <c r="G982" t="inlineStr">
        <is>
          <t>ÅSTORP</t>
        </is>
      </c>
      <c r="I982" t="n">
        <v>2.8</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2631-2022</t>
        </is>
      </c>
      <c r="B983" t="inlineStr">
        <is>
          <t>avverkningsanmälan</t>
        </is>
      </c>
      <c r="C983" t="inlineStr">
        <is>
          <t>Föryngringsavverkning</t>
        </is>
      </c>
      <c r="D983" s="1" t="n">
        <v>44580</v>
      </c>
      <c r="E983" s="1" t="n">
        <v>46312</v>
      </c>
      <c r="F983" t="inlineStr">
        <is>
          <t>SKÅNE LÄN</t>
        </is>
      </c>
      <c r="G983" t="inlineStr">
        <is>
          <t>HÄSSLEHOLM</t>
        </is>
      </c>
      <c r="I983" t="n">
        <v>0.9</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15046-2022</t>
        </is>
      </c>
      <c r="B984" t="inlineStr">
        <is>
          <t>avverkningsanmälan</t>
        </is>
      </c>
      <c r="C984" t="inlineStr">
        <is>
          <t>Föryngringsavverkning</t>
        </is>
      </c>
      <c r="D984" s="1" t="n">
        <v>44657</v>
      </c>
      <c r="E984" s="1" t="n">
        <v>46312</v>
      </c>
      <c r="F984" t="inlineStr">
        <is>
          <t>SKÅNE LÄN</t>
        </is>
      </c>
      <c r="G984" t="inlineStr">
        <is>
          <t>ÄNGELHOLM</t>
        </is>
      </c>
      <c r="I984" t="n">
        <v>0.7</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10939-2022</t>
        </is>
      </c>
      <c r="B985" t="inlineStr">
        <is>
          <t>avverkningsanmälan</t>
        </is>
      </c>
      <c r="C985" t="inlineStr">
        <is>
          <t>Föryngringsavverkning</t>
        </is>
      </c>
      <c r="D985" s="1" t="n">
        <v>44627</v>
      </c>
      <c r="E985" s="1" t="n">
        <v>46312</v>
      </c>
      <c r="F985" t="inlineStr">
        <is>
          <t>SKÅNE LÄN</t>
        </is>
      </c>
      <c r="G985" t="inlineStr">
        <is>
          <t>ÖSTRA GÖINGE</t>
        </is>
      </c>
      <c r="I985" t="n">
        <v>0.4</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11775-2022</t>
        </is>
      </c>
      <c r="B986" t="inlineStr">
        <is>
          <t>avverkningsanmälan</t>
        </is>
      </c>
      <c r="C986" t="inlineStr">
        <is>
          <t>Föryngringsavverkning</t>
        </is>
      </c>
      <c r="D986" s="1" t="n">
        <v>44634</v>
      </c>
      <c r="E986" s="1" t="n">
        <v>46312</v>
      </c>
      <c r="F986" t="inlineStr">
        <is>
          <t>SKÅNE LÄN</t>
        </is>
      </c>
      <c r="G986" t="inlineStr">
        <is>
          <t>ÄNGELHOLM</t>
        </is>
      </c>
      <c r="I986" t="n">
        <v>0.6</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12919-2022</t>
        </is>
      </c>
      <c r="B987" t="inlineStr">
        <is>
          <t>avverkningsanmälan</t>
        </is>
      </c>
      <c r="C987" t="inlineStr">
        <is>
          <t>Föryngringsavverkning</t>
        </is>
      </c>
      <c r="D987" s="1" t="n">
        <v>44642</v>
      </c>
      <c r="E987" s="1" t="n">
        <v>46312</v>
      </c>
      <c r="F987" t="inlineStr">
        <is>
          <t>SKÅNE LÄN</t>
        </is>
      </c>
      <c r="G987" t="inlineStr">
        <is>
          <t>TOMELILLA</t>
        </is>
      </c>
      <c r="H987" t="inlineStr">
        <is>
          <t>Övriga Aktiebolag</t>
        </is>
      </c>
      <c r="I987" t="n">
        <v>3.2</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37073-2022</t>
        </is>
      </c>
      <c r="B988" t="inlineStr">
        <is>
          <t>avverkningsanmälan</t>
        </is>
      </c>
      <c r="C988" t="inlineStr">
        <is>
          <t>Föryngringsavverkning</t>
        </is>
      </c>
      <c r="D988" s="1" t="n">
        <v>44806</v>
      </c>
      <c r="E988" s="1" t="n">
        <v>46312</v>
      </c>
      <c r="F988" t="inlineStr">
        <is>
          <t>SKÅNE LÄN</t>
        </is>
      </c>
      <c r="G988" t="inlineStr">
        <is>
          <t>OSBY</t>
        </is>
      </c>
      <c r="I988" t="n">
        <v>0.5</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65642-2021</t>
        </is>
      </c>
      <c r="B989" t="inlineStr">
        <is>
          <t>avverkningsanmälan</t>
        </is>
      </c>
      <c r="C989" t="inlineStr">
        <is>
          <t>Avverkning för annat ändamål</t>
        </is>
      </c>
      <c r="D989" s="1" t="n">
        <v>44516</v>
      </c>
      <c r="E989" s="1" t="n">
        <v>46312</v>
      </c>
      <c r="F989" t="inlineStr">
        <is>
          <t>SKÅNE LÄN</t>
        </is>
      </c>
      <c r="G989" t="inlineStr">
        <is>
          <t>TRELLEBORG</t>
        </is>
      </c>
      <c r="I989" t="n">
        <v>0.2</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25305-2022</t>
        </is>
      </c>
      <c r="B990" t="inlineStr">
        <is>
          <t>avverkningsanmälan</t>
        </is>
      </c>
      <c r="C990" t="inlineStr">
        <is>
          <t>Föryngringsavverkning</t>
        </is>
      </c>
      <c r="D990" s="1" t="n">
        <v>44731</v>
      </c>
      <c r="E990" s="1" t="n">
        <v>46312</v>
      </c>
      <c r="F990" t="inlineStr">
        <is>
          <t>SKÅNE LÄN</t>
        </is>
      </c>
      <c r="G990" t="inlineStr">
        <is>
          <t>OSBY</t>
        </is>
      </c>
      <c r="I990" t="n">
        <v>0.9</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42617-2022</t>
        </is>
      </c>
      <c r="B991" t="inlineStr">
        <is>
          <t>avverkningsanmälan</t>
        </is>
      </c>
      <c r="C991" t="inlineStr">
        <is>
          <t>Föryngringsavverkning</t>
        </is>
      </c>
      <c r="D991" s="1" t="n">
        <v>44831</v>
      </c>
      <c r="E991" s="1" t="n">
        <v>46312</v>
      </c>
      <c r="F991" t="inlineStr">
        <is>
          <t>SKÅNE LÄN</t>
        </is>
      </c>
      <c r="G991" t="inlineStr">
        <is>
          <t>SVALÖV</t>
        </is>
      </c>
      <c r="I991" t="n">
        <v>0.6</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8370-2022</t>
        </is>
      </c>
      <c r="B992" t="inlineStr">
        <is>
          <t>avverkningsanmälan</t>
        </is>
      </c>
      <c r="C992" t="inlineStr">
        <is>
          <t>Föryngringsavverkning</t>
        </is>
      </c>
      <c r="D992" s="1" t="n">
        <v>44610</v>
      </c>
      <c r="E992" s="1" t="n">
        <v>46312</v>
      </c>
      <c r="F992" t="inlineStr">
        <is>
          <t>SKÅNE LÄN</t>
        </is>
      </c>
      <c r="G992" t="inlineStr">
        <is>
          <t>OSBY</t>
        </is>
      </c>
      <c r="I992" t="n">
        <v>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354-2022</t>
        </is>
      </c>
      <c r="B993" t="inlineStr">
        <is>
          <t>avverkningsanmälan</t>
        </is>
      </c>
      <c r="C993" t="inlineStr">
        <is>
          <t>Föryngringsavverkning</t>
        </is>
      </c>
      <c r="D993" s="1" t="n">
        <v>44565</v>
      </c>
      <c r="E993" s="1" t="n">
        <v>46312</v>
      </c>
      <c r="F993" t="inlineStr">
        <is>
          <t>SKÅNE LÄN</t>
        </is>
      </c>
      <c r="G993" t="inlineStr">
        <is>
          <t>HÄSSLEHOLM</t>
        </is>
      </c>
      <c r="I993" t="n">
        <v>2.4</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74073-2021</t>
        </is>
      </c>
      <c r="B994" t="inlineStr">
        <is>
          <t>avverkningsanmälan</t>
        </is>
      </c>
      <c r="C994" t="inlineStr">
        <is>
          <t>Föryngringsavverkning</t>
        </is>
      </c>
      <c r="D994" s="1" t="n">
        <v>44557</v>
      </c>
      <c r="E994" s="1" t="n">
        <v>46312</v>
      </c>
      <c r="F994" t="inlineStr">
        <is>
          <t>SKÅNE LÄN</t>
        </is>
      </c>
      <c r="G994" t="inlineStr">
        <is>
          <t>OSBY</t>
        </is>
      </c>
      <c r="I994" t="n">
        <v>0.7</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74135-2021</t>
        </is>
      </c>
      <c r="B995" t="inlineStr">
        <is>
          <t>avverkningsanmälan</t>
        </is>
      </c>
      <c r="C995" t="inlineStr">
        <is>
          <t>Föryngringsavverkning</t>
        </is>
      </c>
      <c r="D995" s="1" t="n">
        <v>44557</v>
      </c>
      <c r="E995" s="1" t="n">
        <v>46312</v>
      </c>
      <c r="F995" t="inlineStr">
        <is>
          <t>SKÅNE LÄN</t>
        </is>
      </c>
      <c r="G995" t="inlineStr">
        <is>
          <t>ÖSTRA GÖINGE</t>
        </is>
      </c>
      <c r="I995" t="n">
        <v>0.8</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74141-2021</t>
        </is>
      </c>
      <c r="B996" t="inlineStr">
        <is>
          <t>avverkningsanmälan</t>
        </is>
      </c>
      <c r="C996" t="inlineStr">
        <is>
          <t>Föryngringsavverkning</t>
        </is>
      </c>
      <c r="D996" s="1" t="n">
        <v>44557</v>
      </c>
      <c r="E996" s="1" t="n">
        <v>46312</v>
      </c>
      <c r="F996" t="inlineStr">
        <is>
          <t>SKÅNE LÄN</t>
        </is>
      </c>
      <c r="G996" t="inlineStr">
        <is>
          <t>ÖSTRA GÖINGE</t>
        </is>
      </c>
      <c r="I996" t="n">
        <v>0.4</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39102-2022</t>
        </is>
      </c>
      <c r="B997" t="inlineStr">
        <is>
          <t>avverkningsanmälan</t>
        </is>
      </c>
      <c r="C997" t="inlineStr">
        <is>
          <t>Föryngringsavverkning</t>
        </is>
      </c>
      <c r="D997" s="1" t="n">
        <v>44817</v>
      </c>
      <c r="E997" s="1" t="n">
        <v>46312</v>
      </c>
      <c r="F997" t="inlineStr">
        <is>
          <t>SKÅNE LÄN</t>
        </is>
      </c>
      <c r="G997" t="inlineStr">
        <is>
          <t>HÄSSLEHOLM</t>
        </is>
      </c>
      <c r="I997" t="n">
        <v>0.5</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8248-2022</t>
        </is>
      </c>
      <c r="B998" t="inlineStr">
        <is>
          <t>avverkningsanmälan</t>
        </is>
      </c>
      <c r="C998" t="inlineStr">
        <is>
          <t>Föryngringsavverkning</t>
        </is>
      </c>
      <c r="D998" s="1" t="n">
        <v>44609</v>
      </c>
      <c r="E998" s="1" t="n">
        <v>46312</v>
      </c>
      <c r="F998" t="inlineStr">
        <is>
          <t>SKÅNE LÄN</t>
        </is>
      </c>
      <c r="G998" t="inlineStr">
        <is>
          <t>OSBY</t>
        </is>
      </c>
      <c r="H998" t="inlineStr">
        <is>
          <t>Kyrkan</t>
        </is>
      </c>
      <c r="I998" t="n">
        <v>8.9</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45108-2022</t>
        </is>
      </c>
      <c r="B999" t="inlineStr">
        <is>
          <t>avverkningsanmälan</t>
        </is>
      </c>
      <c r="C999" t="inlineStr">
        <is>
          <t>Föryngringsavverkning</t>
        </is>
      </c>
      <c r="D999" s="1" t="n">
        <v>44843</v>
      </c>
      <c r="E999" s="1" t="n">
        <v>46312</v>
      </c>
      <c r="F999" t="inlineStr">
        <is>
          <t>SKÅNE LÄN</t>
        </is>
      </c>
      <c r="G999" t="inlineStr">
        <is>
          <t>OSBY</t>
        </is>
      </c>
      <c r="I999" t="n">
        <v>1.3</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45043-2022</t>
        </is>
      </c>
      <c r="B1000" t="inlineStr">
        <is>
          <t>avverkningsanmälan</t>
        </is>
      </c>
      <c r="C1000" t="inlineStr">
        <is>
          <t>Föryngringsavverkning</t>
        </is>
      </c>
      <c r="D1000" s="1" t="n">
        <v>44841</v>
      </c>
      <c r="E1000" s="1" t="n">
        <v>46312</v>
      </c>
      <c r="F1000" t="inlineStr">
        <is>
          <t>SKÅNE LÄN</t>
        </is>
      </c>
      <c r="G1000" t="inlineStr">
        <is>
          <t>KRISTIANSTAD</t>
        </is>
      </c>
      <c r="I1000" t="n">
        <v>0.4</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49747-2022</t>
        </is>
      </c>
      <c r="B1001" t="inlineStr">
        <is>
          <t>avverkningsanmälan</t>
        </is>
      </c>
      <c r="C1001" t="inlineStr">
        <is>
          <t>Föryngringsavverkning</t>
        </is>
      </c>
      <c r="D1001" s="1" t="n">
        <v>44862</v>
      </c>
      <c r="E1001" s="1" t="n">
        <v>46312</v>
      </c>
      <c r="F1001" t="inlineStr">
        <is>
          <t>SKÅNE LÄN</t>
        </is>
      </c>
      <c r="G1001" t="inlineStr">
        <is>
          <t>KRISTIANSTAD</t>
        </is>
      </c>
      <c r="I1001" t="n">
        <v>0.7</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6414-2022</t>
        </is>
      </c>
      <c r="B1002" t="inlineStr">
        <is>
          <t>avverkningsanmälan</t>
        </is>
      </c>
      <c r="C1002" t="inlineStr">
        <is>
          <t>Föryngringsavverkning</t>
        </is>
      </c>
      <c r="D1002" s="1" t="n">
        <v>44600</v>
      </c>
      <c r="E1002" s="1" t="n">
        <v>46312</v>
      </c>
      <c r="F1002" t="inlineStr">
        <is>
          <t>SKÅNE LÄN</t>
        </is>
      </c>
      <c r="G1002" t="inlineStr">
        <is>
          <t>HÄSSLEHOLM</t>
        </is>
      </c>
      <c r="I1002" t="n">
        <v>2.9</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50520-2022</t>
        </is>
      </c>
      <c r="B1003" t="inlineStr">
        <is>
          <t>avverkningsanmälan</t>
        </is>
      </c>
      <c r="C1003" t="inlineStr">
        <is>
          <t>Föryngringsavverkning</t>
        </is>
      </c>
      <c r="D1003" s="1" t="n">
        <v>44866</v>
      </c>
      <c r="E1003" s="1" t="n">
        <v>46312</v>
      </c>
      <c r="F1003" t="inlineStr">
        <is>
          <t>SKÅNE LÄN</t>
        </is>
      </c>
      <c r="G1003" t="inlineStr">
        <is>
          <t>KRISTIANSTAD</t>
        </is>
      </c>
      <c r="I1003" t="n">
        <v>0.3</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40139-2022</t>
        </is>
      </c>
      <c r="B1004" t="inlineStr">
        <is>
          <t>avverkningsanmälan</t>
        </is>
      </c>
      <c r="C1004" t="inlineStr">
        <is>
          <t>Föryngringsavverkning</t>
        </is>
      </c>
      <c r="D1004" s="1" t="n">
        <v>44820</v>
      </c>
      <c r="E1004" s="1" t="n">
        <v>46312</v>
      </c>
      <c r="F1004" t="inlineStr">
        <is>
          <t>SKÅNE LÄN</t>
        </is>
      </c>
      <c r="G1004" t="inlineStr">
        <is>
          <t>ÖSTRA GÖINGE</t>
        </is>
      </c>
      <c r="I1004" t="n">
        <v>0.2</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5320-2022</t>
        </is>
      </c>
      <c r="B1005" t="inlineStr">
        <is>
          <t>avverkningsanmälan</t>
        </is>
      </c>
      <c r="C1005" t="inlineStr">
        <is>
          <t>Föryngringsavverkning</t>
        </is>
      </c>
      <c r="D1005" s="1" t="n">
        <v>44594</v>
      </c>
      <c r="E1005" s="1" t="n">
        <v>46312</v>
      </c>
      <c r="F1005" t="inlineStr">
        <is>
          <t>SKÅNE LÄN</t>
        </is>
      </c>
      <c r="G1005" t="inlineStr">
        <is>
          <t>BROMÖLLA</t>
        </is>
      </c>
      <c r="I1005" t="n">
        <v>7.4</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5941-2022</t>
        </is>
      </c>
      <c r="B1006" t="inlineStr">
        <is>
          <t>avverkningsanmälan</t>
        </is>
      </c>
      <c r="C1006" t="inlineStr">
        <is>
          <t>Föryngringsavverkning</t>
        </is>
      </c>
      <c r="D1006" s="1" t="n">
        <v>44598</v>
      </c>
      <c r="E1006" s="1" t="n">
        <v>46312</v>
      </c>
      <c r="F1006" t="inlineStr">
        <is>
          <t>SKÅNE LÄN</t>
        </is>
      </c>
      <c r="G1006" t="inlineStr">
        <is>
          <t>ÖSTRA GÖINGE</t>
        </is>
      </c>
      <c r="I1006" t="n">
        <v>0.7</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63681-2021</t>
        </is>
      </c>
      <c r="B1007" t="inlineStr">
        <is>
          <t>avverkningsanmälan</t>
        </is>
      </c>
      <c r="C1007" t="inlineStr">
        <is>
          <t>Föryngringsavverkning</t>
        </is>
      </c>
      <c r="D1007" s="1" t="n">
        <v>44509</v>
      </c>
      <c r="E1007" s="1" t="n">
        <v>46312</v>
      </c>
      <c r="F1007" t="inlineStr">
        <is>
          <t>SKÅNE LÄN</t>
        </is>
      </c>
      <c r="G1007" t="inlineStr">
        <is>
          <t>BROMÖLLA</t>
        </is>
      </c>
      <c r="I1007" t="n">
        <v>3.2</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20634-2022</t>
        </is>
      </c>
      <c r="B1008" t="inlineStr">
        <is>
          <t>avverkningsanmälan</t>
        </is>
      </c>
      <c r="C1008" t="inlineStr">
        <is>
          <t>Föryngringsavverkning</t>
        </is>
      </c>
      <c r="D1008" s="1" t="n">
        <v>44700</v>
      </c>
      <c r="E1008" s="1" t="n">
        <v>46312</v>
      </c>
      <c r="F1008" t="inlineStr">
        <is>
          <t>SKÅNE LÄN</t>
        </is>
      </c>
      <c r="G1008" t="inlineStr">
        <is>
          <t>OSBY</t>
        </is>
      </c>
      <c r="I1008" t="n">
        <v>1.5</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9655-2022</t>
        </is>
      </c>
      <c r="B1009" t="inlineStr">
        <is>
          <t>avverkningsanmälan</t>
        </is>
      </c>
      <c r="C1009" t="inlineStr">
        <is>
          <t>Föryngringsavverkning</t>
        </is>
      </c>
      <c r="D1009" s="1" t="n">
        <v>44617</v>
      </c>
      <c r="E1009" s="1" t="n">
        <v>46312</v>
      </c>
      <c r="F1009" t="inlineStr">
        <is>
          <t>SKÅNE LÄN</t>
        </is>
      </c>
      <c r="G1009" t="inlineStr">
        <is>
          <t>YSTAD</t>
        </is>
      </c>
      <c r="I1009" t="n">
        <v>2.4</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21417-2022</t>
        </is>
      </c>
      <c r="B1010" t="inlineStr">
        <is>
          <t>avverkningsanmälan</t>
        </is>
      </c>
      <c r="C1010" t="inlineStr">
        <is>
          <t>Föryngringsavverkning</t>
        </is>
      </c>
      <c r="D1010" s="1" t="n">
        <v>44706</v>
      </c>
      <c r="E1010" s="1" t="n">
        <v>46312</v>
      </c>
      <c r="F1010" t="inlineStr">
        <is>
          <t>SKÅNE LÄN</t>
        </is>
      </c>
      <c r="G1010" t="inlineStr">
        <is>
          <t>KRISTIANSTAD</t>
        </is>
      </c>
      <c r="I1010" t="n">
        <v>5.5</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15570-2022</t>
        </is>
      </c>
      <c r="B1011" t="inlineStr">
        <is>
          <t>avverkningsanmälan</t>
        </is>
      </c>
      <c r="C1011" t="inlineStr">
        <is>
          <t>Föryngringsavverkning</t>
        </is>
      </c>
      <c r="D1011" s="1" t="n">
        <v>44662</v>
      </c>
      <c r="E1011" s="1" t="n">
        <v>46312</v>
      </c>
      <c r="F1011" t="inlineStr">
        <is>
          <t>SKÅNE LÄN</t>
        </is>
      </c>
      <c r="G1011" t="inlineStr">
        <is>
          <t>OSBY</t>
        </is>
      </c>
      <c r="I1011" t="n">
        <v>4.6</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74297-2021</t>
        </is>
      </c>
      <c r="B1012" t="inlineStr">
        <is>
          <t>avverkningsanmälan</t>
        </is>
      </c>
      <c r="C1012" t="inlineStr">
        <is>
          <t>Föryngringsavverkning</t>
        </is>
      </c>
      <c r="D1012" s="1" t="n">
        <v>44558</v>
      </c>
      <c r="E1012" s="1" t="n">
        <v>46312</v>
      </c>
      <c r="F1012" t="inlineStr">
        <is>
          <t>SKÅNE LÄN</t>
        </is>
      </c>
      <c r="G1012" t="inlineStr">
        <is>
          <t>HÄSSLEHOLM</t>
        </is>
      </c>
      <c r="H1012" t="inlineStr">
        <is>
          <t>Kyrkan</t>
        </is>
      </c>
      <c r="I1012" t="n">
        <v>3.8</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68909-2021</t>
        </is>
      </c>
      <c r="B1013" t="inlineStr">
        <is>
          <t>avverkningsanmälan</t>
        </is>
      </c>
      <c r="C1013" t="inlineStr">
        <is>
          <t>Föryngringsavverkning</t>
        </is>
      </c>
      <c r="D1013" s="1" t="n">
        <v>44530</v>
      </c>
      <c r="E1013" s="1" t="n">
        <v>46312</v>
      </c>
      <c r="F1013" t="inlineStr">
        <is>
          <t>SKÅNE LÄN</t>
        </is>
      </c>
      <c r="G1013" t="inlineStr">
        <is>
          <t>HÄSSLEHOLM</t>
        </is>
      </c>
      <c r="I1013" t="n">
        <v>0.9</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36036-2022</t>
        </is>
      </c>
      <c r="B1014" t="inlineStr">
        <is>
          <t>avverkningsanmälan</t>
        </is>
      </c>
      <c r="C1014" t="inlineStr">
        <is>
          <t>Föryngringsavverkning</t>
        </is>
      </c>
      <c r="D1014" s="1" t="n">
        <v>44802</v>
      </c>
      <c r="E1014" s="1" t="n">
        <v>46312</v>
      </c>
      <c r="F1014" t="inlineStr">
        <is>
          <t>SKÅNE LÄN</t>
        </is>
      </c>
      <c r="G1014" t="inlineStr">
        <is>
          <t>ÄNGELHOLM</t>
        </is>
      </c>
      <c r="I1014" t="n">
        <v>0.6</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30978-2022</t>
        </is>
      </c>
      <c r="B1015" t="inlineStr">
        <is>
          <t>avverkningsanmälan</t>
        </is>
      </c>
      <c r="C1015" t="inlineStr">
        <is>
          <t>Föryngringsavverkning</t>
        </is>
      </c>
      <c r="D1015" s="1" t="n">
        <v>44768</v>
      </c>
      <c r="E1015" s="1" t="n">
        <v>46312</v>
      </c>
      <c r="F1015" t="inlineStr">
        <is>
          <t>SKÅNE LÄN</t>
        </is>
      </c>
      <c r="G1015" t="inlineStr">
        <is>
          <t>BROMÖLLA</t>
        </is>
      </c>
      <c r="I1015" t="n">
        <v>1.4</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7839-2022</t>
        </is>
      </c>
      <c r="B1016" t="inlineStr">
        <is>
          <t>avverkningsanmälan</t>
        </is>
      </c>
      <c r="C1016" t="inlineStr">
        <is>
          <t>Föryngringsavverkning</t>
        </is>
      </c>
      <c r="D1016" s="1" t="n">
        <v>44608</v>
      </c>
      <c r="E1016" s="1" t="n">
        <v>46312</v>
      </c>
      <c r="F1016" t="inlineStr">
        <is>
          <t>SKÅNE LÄN</t>
        </is>
      </c>
      <c r="G1016" t="inlineStr">
        <is>
          <t>KLIPPAN</t>
        </is>
      </c>
      <c r="H1016" t="inlineStr">
        <is>
          <t>Övriga Aktiebolag</t>
        </is>
      </c>
      <c r="I1016" t="n">
        <v>1.6</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36041-2022</t>
        </is>
      </c>
      <c r="B1017" t="inlineStr">
        <is>
          <t>avverkningsanmälan</t>
        </is>
      </c>
      <c r="C1017" t="inlineStr">
        <is>
          <t>Föryngringsavverkning</t>
        </is>
      </c>
      <c r="D1017" s="1" t="n">
        <v>44802</v>
      </c>
      <c r="E1017" s="1" t="n">
        <v>46312</v>
      </c>
      <c r="F1017" t="inlineStr">
        <is>
          <t>SKÅNE LÄN</t>
        </is>
      </c>
      <c r="G1017" t="inlineStr">
        <is>
          <t>ÄNGELHOLM</t>
        </is>
      </c>
      <c r="I1017" t="n">
        <v>0</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42031-2022</t>
        </is>
      </c>
      <c r="B1018" t="inlineStr">
        <is>
          <t>avverkningsanmälan</t>
        </is>
      </c>
      <c r="C1018" t="inlineStr">
        <is>
          <t>Föryngringsavverkning</t>
        </is>
      </c>
      <c r="D1018" s="1" t="n">
        <v>44830</v>
      </c>
      <c r="E1018" s="1" t="n">
        <v>46312</v>
      </c>
      <c r="F1018" t="inlineStr">
        <is>
          <t>SKÅNE LÄN</t>
        </is>
      </c>
      <c r="G1018" t="inlineStr">
        <is>
          <t>OSBY</t>
        </is>
      </c>
      <c r="I1018" t="n">
        <v>0.5</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42034-2022</t>
        </is>
      </c>
      <c r="B1019" t="inlineStr">
        <is>
          <t>avverkningsanmälan</t>
        </is>
      </c>
      <c r="C1019" t="inlineStr">
        <is>
          <t>Föryngringsavverkning</t>
        </is>
      </c>
      <c r="D1019" s="1" t="n">
        <v>44830</v>
      </c>
      <c r="E1019" s="1" t="n">
        <v>46312</v>
      </c>
      <c r="F1019" t="inlineStr">
        <is>
          <t>SKÅNE LÄN</t>
        </is>
      </c>
      <c r="G1019" t="inlineStr">
        <is>
          <t>OSBY</t>
        </is>
      </c>
      <c r="I1019" t="n">
        <v>0.1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2046-2022</t>
        </is>
      </c>
      <c r="B1020" t="inlineStr">
        <is>
          <t>avverkningsanmälan</t>
        </is>
      </c>
      <c r="C1020" t="inlineStr">
        <is>
          <t>Föryngringsavverkning</t>
        </is>
      </c>
      <c r="D1020" s="1" t="n">
        <v>44575</v>
      </c>
      <c r="E1020" s="1" t="n">
        <v>46312</v>
      </c>
      <c r="F1020" t="inlineStr">
        <is>
          <t>SKÅNE LÄN</t>
        </is>
      </c>
      <c r="G1020" t="inlineStr">
        <is>
          <t>KLIPPAN</t>
        </is>
      </c>
      <c r="H1020" t="inlineStr">
        <is>
          <t>Sveaskog</t>
        </is>
      </c>
      <c r="I1020" t="n">
        <v>0.4</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35533-2022</t>
        </is>
      </c>
      <c r="B1021" t="inlineStr">
        <is>
          <t>avverkningsanmälan</t>
        </is>
      </c>
      <c r="C1021" t="inlineStr">
        <is>
          <t>Föryngringsavverkning</t>
        </is>
      </c>
      <c r="D1021" s="1" t="n">
        <v>44799</v>
      </c>
      <c r="E1021" s="1" t="n">
        <v>46312</v>
      </c>
      <c r="F1021" t="inlineStr">
        <is>
          <t>SKÅNE LÄN</t>
        </is>
      </c>
      <c r="G1021" t="inlineStr">
        <is>
          <t>ÖRKELLJUNGA</t>
        </is>
      </c>
      <c r="H1021" t="inlineStr">
        <is>
          <t>Kommuner</t>
        </is>
      </c>
      <c r="I1021" t="n">
        <v>4.6</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2158-2022</t>
        </is>
      </c>
      <c r="B1022" t="inlineStr">
        <is>
          <t>avverkningsanmälan</t>
        </is>
      </c>
      <c r="C1022" t="inlineStr">
        <is>
          <t>Föryngringsavverkning</t>
        </is>
      </c>
      <c r="D1022" s="1" t="n">
        <v>44578</v>
      </c>
      <c r="E1022" s="1" t="n">
        <v>46312</v>
      </c>
      <c r="F1022" t="inlineStr">
        <is>
          <t>SKÅNE LÄN</t>
        </is>
      </c>
      <c r="G1022" t="inlineStr">
        <is>
          <t>ÖSTRA GÖINGE</t>
        </is>
      </c>
      <c r="I1022" t="n">
        <v>1</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41272-2022</t>
        </is>
      </c>
      <c r="B1023" t="inlineStr">
        <is>
          <t>avverkningsanmälan</t>
        </is>
      </c>
      <c r="C1023" t="inlineStr">
        <is>
          <t>Föryngringsavverkning</t>
        </is>
      </c>
      <c r="D1023" s="1" t="n">
        <v>44825</v>
      </c>
      <c r="E1023" s="1" t="n">
        <v>46312</v>
      </c>
      <c r="F1023" t="inlineStr">
        <is>
          <t>SKÅNE LÄN</t>
        </is>
      </c>
      <c r="G1023" t="inlineStr">
        <is>
          <t>KLIPPAN</t>
        </is>
      </c>
      <c r="H1023" t="inlineStr">
        <is>
          <t>Övriga Aktiebolag</t>
        </is>
      </c>
      <c r="I1023" t="n">
        <v>6.2</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5091-2022</t>
        </is>
      </c>
      <c r="B1024" t="inlineStr">
        <is>
          <t>avverkningsanmälan</t>
        </is>
      </c>
      <c r="C1024" t="inlineStr">
        <is>
          <t>Föryngringsavverkning</t>
        </is>
      </c>
      <c r="D1024" s="1" t="n">
        <v>44593</v>
      </c>
      <c r="E1024" s="1" t="n">
        <v>46312</v>
      </c>
      <c r="F1024" t="inlineStr">
        <is>
          <t>SKÅNE LÄN</t>
        </is>
      </c>
      <c r="G1024" t="inlineStr">
        <is>
          <t>HÄSSLEHOLM</t>
        </is>
      </c>
      <c r="I1024" t="n">
        <v>2.5</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42497-2022</t>
        </is>
      </c>
      <c r="B1025" t="inlineStr">
        <is>
          <t>avverkningsanmälan</t>
        </is>
      </c>
      <c r="C1025" t="inlineStr">
        <is>
          <t>Föryngringsavverkning</t>
        </is>
      </c>
      <c r="D1025" s="1" t="n">
        <v>44831</v>
      </c>
      <c r="E1025" s="1" t="n">
        <v>46312</v>
      </c>
      <c r="F1025" t="inlineStr">
        <is>
          <t>SKÅNE LÄN</t>
        </is>
      </c>
      <c r="G1025" t="inlineStr">
        <is>
          <t>OSBY</t>
        </is>
      </c>
      <c r="I1025" t="n">
        <v>1.8</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60260-2021</t>
        </is>
      </c>
      <c r="B1026" t="inlineStr">
        <is>
          <t>avverkningsanmälan</t>
        </is>
      </c>
      <c r="C1026" t="inlineStr">
        <is>
          <t>Föryngringsavverkning</t>
        </is>
      </c>
      <c r="D1026" s="1" t="n">
        <v>44495</v>
      </c>
      <c r="E1026" s="1" t="n">
        <v>46312</v>
      </c>
      <c r="F1026" t="inlineStr">
        <is>
          <t>SKÅNE LÄN</t>
        </is>
      </c>
      <c r="G1026" t="inlineStr">
        <is>
          <t>HÄSSLEHOLM</t>
        </is>
      </c>
      <c r="I1026" t="n">
        <v>2.1</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15986-2022</t>
        </is>
      </c>
      <c r="B1027" t="inlineStr">
        <is>
          <t>avverkningsanmälan</t>
        </is>
      </c>
      <c r="C1027" t="inlineStr">
        <is>
          <t>Föryngringsavverkning</t>
        </is>
      </c>
      <c r="D1027" s="1" t="n">
        <v>44664</v>
      </c>
      <c r="E1027" s="1" t="n">
        <v>46312</v>
      </c>
      <c r="F1027" t="inlineStr">
        <is>
          <t>SKÅNE LÄN</t>
        </is>
      </c>
      <c r="G1027" t="inlineStr">
        <is>
          <t>HÄSSLEHOLM</t>
        </is>
      </c>
      <c r="H1027" t="inlineStr">
        <is>
          <t>Kyrkan</t>
        </is>
      </c>
      <c r="I1027" t="n">
        <v>6</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30863-2022</t>
        </is>
      </c>
      <c r="B1028" t="inlineStr">
        <is>
          <t>avverkningsanmälan</t>
        </is>
      </c>
      <c r="C1028" t="inlineStr">
        <is>
          <t>Föryngringsavverkning</t>
        </is>
      </c>
      <c r="D1028" s="1" t="n">
        <v>44767</v>
      </c>
      <c r="E1028" s="1" t="n">
        <v>46312</v>
      </c>
      <c r="F1028" t="inlineStr">
        <is>
          <t>SKÅNE LÄN</t>
        </is>
      </c>
      <c r="G1028" t="inlineStr">
        <is>
          <t>KRISTIANSTAD</t>
        </is>
      </c>
      <c r="I1028" t="n">
        <v>0.5</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47717-2022</t>
        </is>
      </c>
      <c r="B1029" t="inlineStr">
        <is>
          <t>avverkningsanmälan</t>
        </is>
      </c>
      <c r="C1029" t="inlineStr">
        <is>
          <t>Föryngringsavverkning</t>
        </is>
      </c>
      <c r="D1029" s="1" t="n">
        <v>44854</v>
      </c>
      <c r="E1029" s="1" t="n">
        <v>46312</v>
      </c>
      <c r="F1029" t="inlineStr">
        <is>
          <t>SKÅNE LÄN</t>
        </is>
      </c>
      <c r="G1029" t="inlineStr">
        <is>
          <t>SVALÖV</t>
        </is>
      </c>
      <c r="I1029" t="n">
        <v>0.6</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68082-2021</t>
        </is>
      </c>
      <c r="B1030" t="inlineStr">
        <is>
          <t>avverkningsanmälan</t>
        </is>
      </c>
      <c r="C1030" t="inlineStr">
        <is>
          <t>Föryngringsavverkning</t>
        </is>
      </c>
      <c r="D1030" s="1" t="n">
        <v>44526</v>
      </c>
      <c r="E1030" s="1" t="n">
        <v>46312</v>
      </c>
      <c r="F1030" t="inlineStr">
        <is>
          <t>SKÅNE LÄN</t>
        </is>
      </c>
      <c r="G1030" t="inlineStr">
        <is>
          <t>ÖRKELLJUNGA</t>
        </is>
      </c>
      <c r="I1030" t="n">
        <v>19.7</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68005-2021</t>
        </is>
      </c>
      <c r="B1031" t="inlineStr">
        <is>
          <t>avverkningsanmälan</t>
        </is>
      </c>
      <c r="C1031" t="inlineStr">
        <is>
          <t>Föryngringsavverkning</t>
        </is>
      </c>
      <c r="D1031" s="1" t="n">
        <v>44525</v>
      </c>
      <c r="E1031" s="1" t="n">
        <v>46312</v>
      </c>
      <c r="F1031" t="inlineStr">
        <is>
          <t>SKÅNE LÄN</t>
        </is>
      </c>
      <c r="G1031" t="inlineStr">
        <is>
          <t>LUND</t>
        </is>
      </c>
      <c r="I1031" t="n">
        <v>0.5</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68007-2021</t>
        </is>
      </c>
      <c r="B1032" t="inlineStr">
        <is>
          <t>avverkningsanmälan</t>
        </is>
      </c>
      <c r="C1032" t="inlineStr">
        <is>
          <t>Föryngringsavverkning</t>
        </is>
      </c>
      <c r="D1032" s="1" t="n">
        <v>44525</v>
      </c>
      <c r="E1032" s="1" t="n">
        <v>46312</v>
      </c>
      <c r="F1032" t="inlineStr">
        <is>
          <t>SKÅNE LÄN</t>
        </is>
      </c>
      <c r="G1032" t="inlineStr">
        <is>
          <t>SJÖBO</t>
        </is>
      </c>
      <c r="I1032" t="n">
        <v>0.8</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26386-2022</t>
        </is>
      </c>
      <c r="B1033" t="inlineStr">
        <is>
          <t>avverkningsanmälan</t>
        </is>
      </c>
      <c r="C1033" t="inlineStr">
        <is>
          <t>Föryngringsavverkning</t>
        </is>
      </c>
      <c r="D1033" s="1" t="n">
        <v>44735</v>
      </c>
      <c r="E1033" s="1" t="n">
        <v>46312</v>
      </c>
      <c r="F1033" t="inlineStr">
        <is>
          <t>SKÅNE LÄN</t>
        </is>
      </c>
      <c r="G1033" t="inlineStr">
        <is>
          <t>HÄSSLEHOLM</t>
        </is>
      </c>
      <c r="I1033" t="n">
        <v>1.5</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26501-2022</t>
        </is>
      </c>
      <c r="B1034" t="inlineStr">
        <is>
          <t>avverkningsanmälan</t>
        </is>
      </c>
      <c r="C1034" t="inlineStr">
        <is>
          <t>Föryngringsavverkning</t>
        </is>
      </c>
      <c r="D1034" s="1" t="n">
        <v>44739</v>
      </c>
      <c r="E1034" s="1" t="n">
        <v>46312</v>
      </c>
      <c r="F1034" t="inlineStr">
        <is>
          <t>SKÅNE LÄN</t>
        </is>
      </c>
      <c r="G1034" t="inlineStr">
        <is>
          <t>PERSTORP</t>
        </is>
      </c>
      <c r="I1034" t="n">
        <v>7</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74144-2021</t>
        </is>
      </c>
      <c r="B1035" t="inlineStr">
        <is>
          <t>avverkningsanmälan</t>
        </is>
      </c>
      <c r="C1035" t="inlineStr">
        <is>
          <t>Föryngringsavverkning</t>
        </is>
      </c>
      <c r="D1035" s="1" t="n">
        <v>44557</v>
      </c>
      <c r="E1035" s="1" t="n">
        <v>46312</v>
      </c>
      <c r="F1035" t="inlineStr">
        <is>
          <t>SKÅNE LÄN</t>
        </is>
      </c>
      <c r="G1035" t="inlineStr">
        <is>
          <t>ÖSTRA GÖINGE</t>
        </is>
      </c>
      <c r="I1035" t="n">
        <v>0.6</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25469-2022</t>
        </is>
      </c>
      <c r="B1036" t="inlineStr">
        <is>
          <t>avverkningsanmälan</t>
        </is>
      </c>
      <c r="C1036" t="inlineStr">
        <is>
          <t>Föryngringsavverkning</t>
        </is>
      </c>
      <c r="D1036" s="1" t="n">
        <v>44732</v>
      </c>
      <c r="E1036" s="1" t="n">
        <v>46312</v>
      </c>
      <c r="F1036" t="inlineStr">
        <is>
          <t>SKÅNE LÄN</t>
        </is>
      </c>
      <c r="G1036" t="inlineStr">
        <is>
          <t>HÄSSLEHOLM</t>
        </is>
      </c>
      <c r="I1036" t="n">
        <v>4.2</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40524-2022</t>
        </is>
      </c>
      <c r="B1037" t="inlineStr">
        <is>
          <t>avverkningsanmälan</t>
        </is>
      </c>
      <c r="C1037" t="inlineStr">
        <is>
          <t>Föryngringsavverkning</t>
        </is>
      </c>
      <c r="D1037" s="1" t="n">
        <v>44823</v>
      </c>
      <c r="E1037" s="1" t="n">
        <v>46312</v>
      </c>
      <c r="F1037" t="inlineStr">
        <is>
          <t>SKÅNE LÄN</t>
        </is>
      </c>
      <c r="G1037" t="inlineStr">
        <is>
          <t>OSBY</t>
        </is>
      </c>
      <c r="I1037" t="n">
        <v>0.2</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73513-2021</t>
        </is>
      </c>
      <c r="B1038" t="inlineStr">
        <is>
          <t>avverkningsanmälan</t>
        </is>
      </c>
      <c r="C1038" t="inlineStr">
        <is>
          <t>Föryngringsavverkning</t>
        </is>
      </c>
      <c r="D1038" s="1" t="n">
        <v>44551</v>
      </c>
      <c r="E1038" s="1" t="n">
        <v>46312</v>
      </c>
      <c r="F1038" t="inlineStr">
        <is>
          <t>SKÅNE LÄN</t>
        </is>
      </c>
      <c r="G1038" t="inlineStr">
        <is>
          <t>HÄSSLEHOLM</t>
        </is>
      </c>
      <c r="I1038" t="n">
        <v>0.6</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73920-2021</t>
        </is>
      </c>
      <c r="B1039" t="inlineStr">
        <is>
          <t>avverkningsanmälan</t>
        </is>
      </c>
      <c r="C1039" t="inlineStr">
        <is>
          <t>Föryngringsavverkning</t>
        </is>
      </c>
      <c r="D1039" s="1" t="n">
        <v>44553</v>
      </c>
      <c r="E1039" s="1" t="n">
        <v>46312</v>
      </c>
      <c r="F1039" t="inlineStr">
        <is>
          <t>SKÅNE LÄN</t>
        </is>
      </c>
      <c r="G1039" t="inlineStr">
        <is>
          <t>OSBY</t>
        </is>
      </c>
      <c r="I1039" t="n">
        <v>0.9</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74418-2021</t>
        </is>
      </c>
      <c r="B1040" t="inlineStr">
        <is>
          <t>avverkningsanmälan</t>
        </is>
      </c>
      <c r="C1040" t="inlineStr">
        <is>
          <t>Föryngringsavverkning</t>
        </is>
      </c>
      <c r="D1040" s="1" t="n">
        <v>44560</v>
      </c>
      <c r="E1040" s="1" t="n">
        <v>46312</v>
      </c>
      <c r="F1040" t="inlineStr">
        <is>
          <t>SKÅNE LÄN</t>
        </is>
      </c>
      <c r="G1040" t="inlineStr">
        <is>
          <t>SJÖBO</t>
        </is>
      </c>
      <c r="I1040" t="n">
        <v>1.1</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32455-2022</t>
        </is>
      </c>
      <c r="B1041" t="inlineStr">
        <is>
          <t>avverkningsanmälan</t>
        </is>
      </c>
      <c r="C1041" t="inlineStr">
        <is>
          <t>Föryngringsavverkning</t>
        </is>
      </c>
      <c r="D1041" s="1" t="n">
        <v>44782</v>
      </c>
      <c r="E1041" s="1" t="n">
        <v>46312</v>
      </c>
      <c r="F1041" t="inlineStr">
        <is>
          <t>SKÅNE LÄN</t>
        </is>
      </c>
      <c r="G1041" t="inlineStr">
        <is>
          <t>KLIPPAN</t>
        </is>
      </c>
      <c r="I1041" t="n">
        <v>0.6</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60263-2021</t>
        </is>
      </c>
      <c r="B1042" t="inlineStr">
        <is>
          <t>avverkningsanmälan</t>
        </is>
      </c>
      <c r="C1042" t="inlineStr">
        <is>
          <t>Föryngringsavverkning</t>
        </is>
      </c>
      <c r="D1042" s="1" t="n">
        <v>44495</v>
      </c>
      <c r="E1042" s="1" t="n">
        <v>46312</v>
      </c>
      <c r="F1042" t="inlineStr">
        <is>
          <t>SKÅNE LÄN</t>
        </is>
      </c>
      <c r="G1042" t="inlineStr">
        <is>
          <t>SJÖBO</t>
        </is>
      </c>
      <c r="I1042" t="n">
        <v>0.9</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43865-2022</t>
        </is>
      </c>
      <c r="B1043" t="inlineStr">
        <is>
          <t>avverkningsanmälan</t>
        </is>
      </c>
      <c r="C1043" t="inlineStr">
        <is>
          <t>Föryngringsavverkning</t>
        </is>
      </c>
      <c r="D1043" s="1" t="n">
        <v>44838</v>
      </c>
      <c r="E1043" s="1" t="n">
        <v>46312</v>
      </c>
      <c r="F1043" t="inlineStr">
        <is>
          <t>SKÅNE LÄN</t>
        </is>
      </c>
      <c r="G1043" t="inlineStr">
        <is>
          <t>KRISTIANSTAD</t>
        </is>
      </c>
      <c r="H1043" t="inlineStr">
        <is>
          <t>Sveaskog</t>
        </is>
      </c>
      <c r="I1043" t="n">
        <v>3.9</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22548-2022</t>
        </is>
      </c>
      <c r="B1044" t="inlineStr">
        <is>
          <t>avverkningsanmälan</t>
        </is>
      </c>
      <c r="C1044" t="inlineStr">
        <is>
          <t>Föryngringsavverkning</t>
        </is>
      </c>
      <c r="D1044" s="1" t="n">
        <v>44713</v>
      </c>
      <c r="E1044" s="1" t="n">
        <v>46312</v>
      </c>
      <c r="F1044" t="inlineStr">
        <is>
          <t>SKÅNE LÄN</t>
        </is>
      </c>
      <c r="G1044" t="inlineStr">
        <is>
          <t>KRISTIANSTAD</t>
        </is>
      </c>
      <c r="I1044" t="n">
        <v>0.9</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2858-2022</t>
        </is>
      </c>
      <c r="B1045" t="inlineStr">
        <is>
          <t>avverkningsanmälan</t>
        </is>
      </c>
      <c r="C1045" t="inlineStr">
        <is>
          <t>Föryngringsavverkning</t>
        </is>
      </c>
      <c r="D1045" s="1" t="n">
        <v>44581</v>
      </c>
      <c r="E1045" s="1" t="n">
        <v>46312</v>
      </c>
      <c r="F1045" t="inlineStr">
        <is>
          <t>SKÅNE LÄN</t>
        </is>
      </c>
      <c r="G1045" t="inlineStr">
        <is>
          <t>HÄSSLEHOLM</t>
        </is>
      </c>
      <c r="H1045" t="inlineStr">
        <is>
          <t>Övriga Aktiebolag</t>
        </is>
      </c>
      <c r="I1045" t="n">
        <v>1.3</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27959-2022</t>
        </is>
      </c>
      <c r="B1046" t="inlineStr">
        <is>
          <t>avverkningsanmälan</t>
        </is>
      </c>
      <c r="C1046" t="inlineStr">
        <is>
          <t>Föryngringsavverkning</t>
        </is>
      </c>
      <c r="D1046" s="1" t="n">
        <v>44744</v>
      </c>
      <c r="E1046" s="1" t="n">
        <v>46312</v>
      </c>
      <c r="F1046" t="inlineStr">
        <is>
          <t>SKÅNE LÄN</t>
        </is>
      </c>
      <c r="G1046" t="inlineStr">
        <is>
          <t>HÄSSLEHOLM</t>
        </is>
      </c>
      <c r="I1046" t="n">
        <v>3</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33571-2022</t>
        </is>
      </c>
      <c r="B1047" t="inlineStr">
        <is>
          <t>avverkningsanmälan</t>
        </is>
      </c>
      <c r="C1047" t="inlineStr">
        <is>
          <t>Avverkning för annat ändamål</t>
        </is>
      </c>
      <c r="D1047" s="1" t="n">
        <v>44789</v>
      </c>
      <c r="E1047" s="1" t="n">
        <v>46312</v>
      </c>
      <c r="F1047" t="inlineStr">
        <is>
          <t>SKÅNE LÄN</t>
        </is>
      </c>
      <c r="G1047" t="inlineStr">
        <is>
          <t>HÖRBY</t>
        </is>
      </c>
      <c r="I1047" t="n">
        <v>0.5</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67024-2021</t>
        </is>
      </c>
      <c r="B1048" t="inlineStr">
        <is>
          <t>avverkningsanmälan</t>
        </is>
      </c>
      <c r="C1048" t="inlineStr">
        <is>
          <t>Föryngringsavverkning</t>
        </is>
      </c>
      <c r="D1048" s="1" t="n">
        <v>44522</v>
      </c>
      <c r="E1048" s="1" t="n">
        <v>46312</v>
      </c>
      <c r="F1048" t="inlineStr">
        <is>
          <t>SKÅNE LÄN</t>
        </is>
      </c>
      <c r="G1048" t="inlineStr">
        <is>
          <t>KRISTIANSTAD</t>
        </is>
      </c>
      <c r="I1048" t="n">
        <v>2.2</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41268-2022</t>
        </is>
      </c>
      <c r="B1049" t="inlineStr">
        <is>
          <t>avverkningsanmälan</t>
        </is>
      </c>
      <c r="C1049" t="inlineStr">
        <is>
          <t>Föryngringsavverkning</t>
        </is>
      </c>
      <c r="D1049" s="1" t="n">
        <v>44825</v>
      </c>
      <c r="E1049" s="1" t="n">
        <v>46312</v>
      </c>
      <c r="F1049" t="inlineStr">
        <is>
          <t>SKÅNE LÄN</t>
        </is>
      </c>
      <c r="G1049" t="inlineStr">
        <is>
          <t>KLIPPAN</t>
        </is>
      </c>
      <c r="H1049" t="inlineStr">
        <is>
          <t>Övriga Aktiebolag</t>
        </is>
      </c>
      <c r="I1049" t="n">
        <v>2</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38556-2022</t>
        </is>
      </c>
      <c r="B1050" t="inlineStr">
        <is>
          <t>avverkningsanmälan</t>
        </is>
      </c>
      <c r="C1050" t="inlineStr">
        <is>
          <t>Föryngringsavverkning</t>
        </is>
      </c>
      <c r="D1050" s="1" t="n">
        <v>44813</v>
      </c>
      <c r="E1050" s="1" t="n">
        <v>46312</v>
      </c>
      <c r="F1050" t="inlineStr">
        <is>
          <t>SKÅNE LÄN</t>
        </is>
      </c>
      <c r="G1050" t="inlineStr">
        <is>
          <t>ÖRKELLJUNGA</t>
        </is>
      </c>
      <c r="I1050" t="n">
        <v>4</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23461-2022</t>
        </is>
      </c>
      <c r="B1051" t="inlineStr">
        <is>
          <t>avverkningsanmälan</t>
        </is>
      </c>
      <c r="C1051" t="inlineStr">
        <is>
          <t>Föryngringsavverkning</t>
        </is>
      </c>
      <c r="D1051" s="1" t="n">
        <v>44721</v>
      </c>
      <c r="E1051" s="1" t="n">
        <v>46312</v>
      </c>
      <c r="F1051" t="inlineStr">
        <is>
          <t>SKÅNE LÄN</t>
        </is>
      </c>
      <c r="G1051" t="inlineStr">
        <is>
          <t>TOMELILLA</t>
        </is>
      </c>
      <c r="H1051" t="inlineStr">
        <is>
          <t>Övriga Aktiebolag</t>
        </is>
      </c>
      <c r="I1051" t="n">
        <v>3.5</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5726-2022</t>
        </is>
      </c>
      <c r="B1052" t="inlineStr">
        <is>
          <t>avverkningsanmälan</t>
        </is>
      </c>
      <c r="C1052" t="inlineStr">
        <is>
          <t>Föryngringsavverkning</t>
        </is>
      </c>
      <c r="D1052" s="1" t="n">
        <v>44596</v>
      </c>
      <c r="E1052" s="1" t="n">
        <v>46312</v>
      </c>
      <c r="F1052" t="inlineStr">
        <is>
          <t>SKÅNE LÄN</t>
        </is>
      </c>
      <c r="G1052" t="inlineStr">
        <is>
          <t>HÖÖR</t>
        </is>
      </c>
      <c r="I1052" t="n">
        <v>1.5</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41725-2022</t>
        </is>
      </c>
      <c r="B1053" t="inlineStr">
        <is>
          <t>avverkningsanmälan</t>
        </is>
      </c>
      <c r="C1053" t="inlineStr">
        <is>
          <t>Föryngringsavverkning</t>
        </is>
      </c>
      <c r="D1053" s="1" t="n">
        <v>44827</v>
      </c>
      <c r="E1053" s="1" t="n">
        <v>46312</v>
      </c>
      <c r="F1053" t="inlineStr">
        <is>
          <t>SKÅNE LÄN</t>
        </is>
      </c>
      <c r="G1053" t="inlineStr">
        <is>
          <t>ÄNGELHOLM</t>
        </is>
      </c>
      <c r="I1053" t="n">
        <v>0.2</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8794-2022</t>
        </is>
      </c>
      <c r="B1054" t="inlineStr">
        <is>
          <t>avverkningsanmälan</t>
        </is>
      </c>
      <c r="C1054" t="inlineStr">
        <is>
          <t>Avverkning för annat ändamål</t>
        </is>
      </c>
      <c r="D1054" s="1" t="n">
        <v>44614</v>
      </c>
      <c r="E1054" s="1" t="n">
        <v>46312</v>
      </c>
      <c r="F1054" t="inlineStr">
        <is>
          <t>SKÅNE LÄN</t>
        </is>
      </c>
      <c r="G1054" t="inlineStr">
        <is>
          <t>OSBY</t>
        </is>
      </c>
      <c r="I1054" t="n">
        <v>0.2</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418-2022</t>
        </is>
      </c>
      <c r="B1055" t="inlineStr">
        <is>
          <t>avverkningsanmälan</t>
        </is>
      </c>
      <c r="C1055" t="inlineStr">
        <is>
          <t>Föryngringsavverkning</t>
        </is>
      </c>
      <c r="D1055" s="1" t="n">
        <v>44565</v>
      </c>
      <c r="E1055" s="1" t="n">
        <v>46312</v>
      </c>
      <c r="F1055" t="inlineStr">
        <is>
          <t>SKÅNE LÄN</t>
        </is>
      </c>
      <c r="G1055" t="inlineStr">
        <is>
          <t>HÄSSLEHOLM</t>
        </is>
      </c>
      <c r="I1055" t="n">
        <v>0</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33489-2022</t>
        </is>
      </c>
      <c r="B1056" t="inlineStr">
        <is>
          <t>avverkningsanmälan</t>
        </is>
      </c>
      <c r="C1056" t="inlineStr">
        <is>
          <t>Föryngringsavverkning</t>
        </is>
      </c>
      <c r="D1056" s="1" t="n">
        <v>44788</v>
      </c>
      <c r="E1056" s="1" t="n">
        <v>46312</v>
      </c>
      <c r="F1056" t="inlineStr">
        <is>
          <t>SKÅNE LÄN</t>
        </is>
      </c>
      <c r="G1056" t="inlineStr">
        <is>
          <t>OSBY</t>
        </is>
      </c>
      <c r="I1056" t="n">
        <v>1.9</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55130-2022</t>
        </is>
      </c>
      <c r="B1057" t="inlineStr">
        <is>
          <t>avverkningsanmälan</t>
        </is>
      </c>
      <c r="C1057" t="inlineStr">
        <is>
          <t>Föryngringsavverkning</t>
        </is>
      </c>
      <c r="D1057" s="1" t="n">
        <v>44886</v>
      </c>
      <c r="E1057" s="1" t="n">
        <v>46312</v>
      </c>
      <c r="F1057" t="inlineStr">
        <is>
          <t>SKÅNE LÄN</t>
        </is>
      </c>
      <c r="G1057" t="inlineStr">
        <is>
          <t>ÖSTRA GÖINGE</t>
        </is>
      </c>
      <c r="I1057" t="n">
        <v>0.3</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54516-2022</t>
        </is>
      </c>
      <c r="B1058" t="inlineStr">
        <is>
          <t>avverkningsanmälan</t>
        </is>
      </c>
      <c r="C1058" t="inlineStr">
        <is>
          <t>Föryngringsavverkning</t>
        </is>
      </c>
      <c r="D1058" s="1" t="n">
        <v>44880</v>
      </c>
      <c r="E1058" s="1" t="n">
        <v>46312</v>
      </c>
      <c r="F1058" t="inlineStr">
        <is>
          <t>SKÅNE LÄN</t>
        </is>
      </c>
      <c r="G1058" t="inlineStr">
        <is>
          <t>KLIPPAN</t>
        </is>
      </c>
      <c r="I1058" t="n">
        <v>1.1</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24227-2022</t>
        </is>
      </c>
      <c r="B1059" t="inlineStr">
        <is>
          <t>avverkningsanmälan</t>
        </is>
      </c>
      <c r="C1059" t="inlineStr">
        <is>
          <t>Föryngringsavverkning</t>
        </is>
      </c>
      <c r="D1059" s="1" t="n">
        <v>44725</v>
      </c>
      <c r="E1059" s="1" t="n">
        <v>46312</v>
      </c>
      <c r="F1059" t="inlineStr">
        <is>
          <t>SKÅNE LÄN</t>
        </is>
      </c>
      <c r="G1059" t="inlineStr">
        <is>
          <t>HELSINGBORG</t>
        </is>
      </c>
      <c r="I1059" t="n">
        <v>1.7</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55495-2022</t>
        </is>
      </c>
      <c r="B1060" t="inlineStr">
        <is>
          <t>avverkningsanmälan</t>
        </is>
      </c>
      <c r="C1060" t="inlineStr">
        <is>
          <t>Föryngringsavverkning</t>
        </is>
      </c>
      <c r="D1060" s="1" t="n">
        <v>44887</v>
      </c>
      <c r="E1060" s="1" t="n">
        <v>46312</v>
      </c>
      <c r="F1060" t="inlineStr">
        <is>
          <t>SKÅNE LÄN</t>
        </is>
      </c>
      <c r="G1060" t="inlineStr">
        <is>
          <t>ÖSTRA GÖINGE</t>
        </is>
      </c>
      <c r="I1060" t="n">
        <v>0.5</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55394-2022</t>
        </is>
      </c>
      <c r="B1061" t="inlineStr">
        <is>
          <t>avverkningsanmälan</t>
        </is>
      </c>
      <c r="C1061" t="inlineStr">
        <is>
          <t>Föryngringsavverkning</t>
        </is>
      </c>
      <c r="D1061" s="1" t="n">
        <v>44887</v>
      </c>
      <c r="E1061" s="1" t="n">
        <v>46312</v>
      </c>
      <c r="F1061" t="inlineStr">
        <is>
          <t>SKÅNE LÄN</t>
        </is>
      </c>
      <c r="G1061" t="inlineStr">
        <is>
          <t>HÄSSLEHOLM</t>
        </is>
      </c>
      <c r="I1061" t="n">
        <v>0.5</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42963-2022</t>
        </is>
      </c>
      <c r="B1062" t="inlineStr">
        <is>
          <t>avverkningsanmälan</t>
        </is>
      </c>
      <c r="C1062" t="inlineStr">
        <is>
          <t>Föryngringsavverkning</t>
        </is>
      </c>
      <c r="D1062" s="1" t="n">
        <v>44833</v>
      </c>
      <c r="E1062" s="1" t="n">
        <v>46312</v>
      </c>
      <c r="F1062" t="inlineStr">
        <is>
          <t>SKÅNE LÄN</t>
        </is>
      </c>
      <c r="G1062" t="inlineStr">
        <is>
          <t>BROMÖLLA</t>
        </is>
      </c>
      <c r="I1062" t="n">
        <v>1.2</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28853-2022</t>
        </is>
      </c>
      <c r="B1063" t="inlineStr">
        <is>
          <t>avverkningsanmälan</t>
        </is>
      </c>
      <c r="C1063" t="inlineStr">
        <is>
          <t>Föryngringsavverkning</t>
        </is>
      </c>
      <c r="D1063" s="1" t="n">
        <v>44749</v>
      </c>
      <c r="E1063" s="1" t="n">
        <v>46312</v>
      </c>
      <c r="F1063" t="inlineStr">
        <is>
          <t>SKÅNE LÄN</t>
        </is>
      </c>
      <c r="G1063" t="inlineStr">
        <is>
          <t>KRISTIANSTAD</t>
        </is>
      </c>
      <c r="I1063" t="n">
        <v>0.8</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36899-2022</t>
        </is>
      </c>
      <c r="B1064" t="inlineStr">
        <is>
          <t>avverkningsanmälan</t>
        </is>
      </c>
      <c r="C1064" t="inlineStr">
        <is>
          <t>Föryngringsavverkning</t>
        </is>
      </c>
      <c r="D1064" s="1" t="n">
        <v>44805</v>
      </c>
      <c r="E1064" s="1" t="n">
        <v>46312</v>
      </c>
      <c r="F1064" t="inlineStr">
        <is>
          <t>SKÅNE LÄN</t>
        </is>
      </c>
      <c r="G1064" t="inlineStr">
        <is>
          <t>OSBY</t>
        </is>
      </c>
      <c r="I1064" t="n">
        <v>6.2</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45357-2022</t>
        </is>
      </c>
      <c r="B1065" t="inlineStr">
        <is>
          <t>avverkningsanmälan</t>
        </is>
      </c>
      <c r="C1065" t="inlineStr">
        <is>
          <t>Föryngringsavverkning</t>
        </is>
      </c>
      <c r="D1065" s="1" t="n">
        <v>44844</v>
      </c>
      <c r="E1065" s="1" t="n">
        <v>46312</v>
      </c>
      <c r="F1065" t="inlineStr">
        <is>
          <t>SKÅNE LÄN</t>
        </is>
      </c>
      <c r="G1065" t="inlineStr">
        <is>
          <t>HÄSSLEHOLM</t>
        </is>
      </c>
      <c r="I1065" t="n">
        <v>5.8</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65203-2021</t>
        </is>
      </c>
      <c r="B1066" t="inlineStr">
        <is>
          <t>avverkningsanmälan</t>
        </is>
      </c>
      <c r="C1066" t="inlineStr">
        <is>
          <t>Avverkning för annat ändamål</t>
        </is>
      </c>
      <c r="D1066" s="1" t="n">
        <v>44515</v>
      </c>
      <c r="E1066" s="1" t="n">
        <v>46312</v>
      </c>
      <c r="F1066" t="inlineStr">
        <is>
          <t>SKÅNE LÄN</t>
        </is>
      </c>
      <c r="G1066" t="inlineStr">
        <is>
          <t>HÖÖR</t>
        </is>
      </c>
      <c r="I1066" t="n">
        <v>0.8</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5816-2022</t>
        </is>
      </c>
      <c r="B1067" t="inlineStr">
        <is>
          <t>avverkningsanmälan</t>
        </is>
      </c>
      <c r="C1067" t="inlineStr">
        <is>
          <t>Föryngringsavverkning</t>
        </is>
      </c>
      <c r="D1067" s="1" t="n">
        <v>44596</v>
      </c>
      <c r="E1067" s="1" t="n">
        <v>46312</v>
      </c>
      <c r="F1067" t="inlineStr">
        <is>
          <t>SKÅNE LÄN</t>
        </is>
      </c>
      <c r="G1067" t="inlineStr">
        <is>
          <t>BROMÖLLA</t>
        </is>
      </c>
      <c r="I1067" t="n">
        <v>1.5</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71637-2021</t>
        </is>
      </c>
      <c r="B1068" t="inlineStr">
        <is>
          <t>avverkningsanmälan</t>
        </is>
      </c>
      <c r="C1068" t="inlineStr">
        <is>
          <t>Föryngringsavverkning</t>
        </is>
      </c>
      <c r="D1068" s="1" t="n">
        <v>44543</v>
      </c>
      <c r="E1068" s="1" t="n">
        <v>46312</v>
      </c>
      <c r="F1068" t="inlineStr">
        <is>
          <t>SKÅNE LÄN</t>
        </is>
      </c>
      <c r="G1068" t="inlineStr">
        <is>
          <t>ÖRKELLJUNGA</t>
        </is>
      </c>
      <c r="I1068" t="n">
        <v>0.9</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7904-2022</t>
        </is>
      </c>
      <c r="B1069" t="inlineStr">
        <is>
          <t>avverkningsanmälan</t>
        </is>
      </c>
      <c r="C1069" t="inlineStr">
        <is>
          <t>Föryngringsavverkning</t>
        </is>
      </c>
      <c r="D1069" s="1" t="n">
        <v>44607</v>
      </c>
      <c r="E1069" s="1" t="n">
        <v>46312</v>
      </c>
      <c r="F1069" t="inlineStr">
        <is>
          <t>SKÅNE LÄN</t>
        </is>
      </c>
      <c r="G1069" t="inlineStr">
        <is>
          <t>HÄSSLEHOLM</t>
        </is>
      </c>
      <c r="H1069" t="inlineStr">
        <is>
          <t>Kyrkan</t>
        </is>
      </c>
      <c r="I1069" t="n">
        <v>3.9</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25822-2022</t>
        </is>
      </c>
      <c r="B1070" t="inlineStr">
        <is>
          <t>avverkningsanmälan</t>
        </is>
      </c>
      <c r="C1070" t="inlineStr">
        <is>
          <t>Föryngringsavverkning</t>
        </is>
      </c>
      <c r="D1070" s="1" t="n">
        <v>44733</v>
      </c>
      <c r="E1070" s="1" t="n">
        <v>46312</v>
      </c>
      <c r="F1070" t="inlineStr">
        <is>
          <t>SKÅNE LÄN</t>
        </is>
      </c>
      <c r="G1070" t="inlineStr">
        <is>
          <t>SIMRISHAMN</t>
        </is>
      </c>
      <c r="I1070" t="n">
        <v>0.9</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66449-2021</t>
        </is>
      </c>
      <c r="B1071" t="inlineStr">
        <is>
          <t>avverkningsanmälan</t>
        </is>
      </c>
      <c r="C1071" t="inlineStr">
        <is>
          <t>Föryngringsavverkning</t>
        </is>
      </c>
      <c r="D1071" s="1" t="n">
        <v>44518</v>
      </c>
      <c r="E1071" s="1" t="n">
        <v>46312</v>
      </c>
      <c r="F1071" t="inlineStr">
        <is>
          <t>SKÅNE LÄN</t>
        </is>
      </c>
      <c r="G1071" t="inlineStr">
        <is>
          <t>KRISTIANSTAD</t>
        </is>
      </c>
      <c r="I1071" t="n">
        <v>0.5</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17737-2022</t>
        </is>
      </c>
      <c r="B1072" t="inlineStr">
        <is>
          <t>avverkningsanmälan</t>
        </is>
      </c>
      <c r="C1072" t="inlineStr">
        <is>
          <t>Föryngringsavverkning</t>
        </is>
      </c>
      <c r="D1072" s="1" t="n">
        <v>44680</v>
      </c>
      <c r="E1072" s="1" t="n">
        <v>46312</v>
      </c>
      <c r="F1072" t="inlineStr">
        <is>
          <t>SKÅNE LÄN</t>
        </is>
      </c>
      <c r="G1072" t="inlineStr">
        <is>
          <t>ÖSTRA GÖINGE</t>
        </is>
      </c>
      <c r="I1072" t="n">
        <v>1.3</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21072-2022</t>
        </is>
      </c>
      <c r="B1073" t="inlineStr">
        <is>
          <t>avverkningsanmälan</t>
        </is>
      </c>
      <c r="C1073" t="inlineStr">
        <is>
          <t>Avverkning för annat ändamål</t>
        </is>
      </c>
      <c r="D1073" s="1" t="n">
        <v>44704</v>
      </c>
      <c r="E1073" s="1" t="n">
        <v>46312</v>
      </c>
      <c r="F1073" t="inlineStr">
        <is>
          <t>SKÅNE LÄN</t>
        </is>
      </c>
      <c r="G1073" t="inlineStr">
        <is>
          <t>SVEDALA</t>
        </is>
      </c>
      <c r="I1073" t="n">
        <v>3.9</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7250-2022</t>
        </is>
      </c>
      <c r="B1074" t="inlineStr">
        <is>
          <t>avverkningsanmälan</t>
        </is>
      </c>
      <c r="C1074" t="inlineStr">
        <is>
          <t>Föryngringsavverkning</t>
        </is>
      </c>
      <c r="D1074" s="1" t="n">
        <v>44606</v>
      </c>
      <c r="E1074" s="1" t="n">
        <v>46312</v>
      </c>
      <c r="F1074" t="inlineStr">
        <is>
          <t>SKÅNE LÄN</t>
        </is>
      </c>
      <c r="G1074" t="inlineStr">
        <is>
          <t>HÄSSLEHOLM</t>
        </is>
      </c>
      <c r="H1074" t="inlineStr">
        <is>
          <t>Övriga Aktiebolag</t>
        </is>
      </c>
      <c r="I1074" t="n">
        <v>2.6</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219-2022</t>
        </is>
      </c>
      <c r="B1075" t="inlineStr">
        <is>
          <t>avverkningsanmälan</t>
        </is>
      </c>
      <c r="C1075" t="inlineStr">
        <is>
          <t>Föryngringsavverkning</t>
        </is>
      </c>
      <c r="D1075" s="1" t="n">
        <v>44564</v>
      </c>
      <c r="E1075" s="1" t="n">
        <v>46312</v>
      </c>
      <c r="F1075" t="inlineStr">
        <is>
          <t>SKÅNE LÄN</t>
        </is>
      </c>
      <c r="G1075" t="inlineStr">
        <is>
          <t>HÄSSLEHOLM</t>
        </is>
      </c>
      <c r="I1075" t="n">
        <v>0.8</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12139-2022</t>
        </is>
      </c>
      <c r="B1076" t="inlineStr">
        <is>
          <t>avverkningsanmälan</t>
        </is>
      </c>
      <c r="C1076" t="inlineStr">
        <is>
          <t>Föryngringsavverkning</t>
        </is>
      </c>
      <c r="D1076" s="1" t="n">
        <v>44636</v>
      </c>
      <c r="E1076" s="1" t="n">
        <v>46312</v>
      </c>
      <c r="F1076" t="inlineStr">
        <is>
          <t>SKÅNE LÄN</t>
        </is>
      </c>
      <c r="G1076" t="inlineStr">
        <is>
          <t>ÖRKELLJUNGA</t>
        </is>
      </c>
      <c r="I1076" t="n">
        <v>0.3</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20690-2022</t>
        </is>
      </c>
      <c r="B1077" t="inlineStr">
        <is>
          <t>avverkningsanmälan</t>
        </is>
      </c>
      <c r="C1077" t="inlineStr">
        <is>
          <t>Föryngringsavverkning</t>
        </is>
      </c>
      <c r="D1077" s="1" t="n">
        <v>44700</v>
      </c>
      <c r="E1077" s="1" t="n">
        <v>46312</v>
      </c>
      <c r="F1077" t="inlineStr">
        <is>
          <t>SKÅNE LÄN</t>
        </is>
      </c>
      <c r="G1077" t="inlineStr">
        <is>
          <t>KLIPPAN</t>
        </is>
      </c>
      <c r="H1077" t="inlineStr">
        <is>
          <t>Kommuner</t>
        </is>
      </c>
      <c r="I1077" t="n">
        <v>0.9</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6042-2022</t>
        </is>
      </c>
      <c r="B1078" t="inlineStr">
        <is>
          <t>avverkningsanmälan</t>
        </is>
      </c>
      <c r="C1078" t="inlineStr">
        <is>
          <t>Föryngringsavverkning</t>
        </is>
      </c>
      <c r="D1078" s="1" t="n">
        <v>44599</v>
      </c>
      <c r="E1078" s="1" t="n">
        <v>46312</v>
      </c>
      <c r="F1078" t="inlineStr">
        <is>
          <t>SKÅNE LÄN</t>
        </is>
      </c>
      <c r="G1078" t="inlineStr">
        <is>
          <t>HÖÖR</t>
        </is>
      </c>
      <c r="I1078" t="n">
        <v>1.8</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6048-2022</t>
        </is>
      </c>
      <c r="B1079" t="inlineStr">
        <is>
          <t>avverkningsanmälan</t>
        </is>
      </c>
      <c r="C1079" t="inlineStr">
        <is>
          <t>Föryngringsavverkning</t>
        </is>
      </c>
      <c r="D1079" s="1" t="n">
        <v>44599</v>
      </c>
      <c r="E1079" s="1" t="n">
        <v>46312</v>
      </c>
      <c r="F1079" t="inlineStr">
        <is>
          <t>SKÅNE LÄN</t>
        </is>
      </c>
      <c r="G1079" t="inlineStr">
        <is>
          <t>HÄSSLEHOLM</t>
        </is>
      </c>
      <c r="I1079" t="n">
        <v>0.5</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10372-2022</t>
        </is>
      </c>
      <c r="B1080" t="inlineStr">
        <is>
          <t>avverkningsanmälan</t>
        </is>
      </c>
      <c r="C1080" t="inlineStr">
        <is>
          <t>Föryngringsavverkning</t>
        </is>
      </c>
      <c r="D1080" s="1" t="n">
        <v>44623</v>
      </c>
      <c r="E1080" s="1" t="n">
        <v>46312</v>
      </c>
      <c r="F1080" t="inlineStr">
        <is>
          <t>SKÅNE LÄN</t>
        </is>
      </c>
      <c r="G1080" t="inlineStr">
        <is>
          <t>OSBY</t>
        </is>
      </c>
      <c r="I1080" t="n">
        <v>0.5</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53576-2022</t>
        </is>
      </c>
      <c r="B1081" t="inlineStr">
        <is>
          <t>avverkningsanmälan</t>
        </is>
      </c>
      <c r="C1081" t="inlineStr">
        <is>
          <t>Föryngringsavverkning</t>
        </is>
      </c>
      <c r="D1081" s="1" t="n">
        <v>44875</v>
      </c>
      <c r="E1081" s="1" t="n">
        <v>46312</v>
      </c>
      <c r="F1081" t="inlineStr">
        <is>
          <t>SKÅNE LÄN</t>
        </is>
      </c>
      <c r="G1081" t="inlineStr">
        <is>
          <t>HÄSSLEHOLM</t>
        </is>
      </c>
      <c r="H1081" t="inlineStr">
        <is>
          <t>Övriga Aktiebolag</t>
        </is>
      </c>
      <c r="I1081" t="n">
        <v>1.2</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55412-2022</t>
        </is>
      </c>
      <c r="B1082" t="inlineStr">
        <is>
          <t>avverkningsanmälan</t>
        </is>
      </c>
      <c r="C1082" t="inlineStr">
        <is>
          <t>Föryngringsavverkning</t>
        </is>
      </c>
      <c r="D1082" s="1" t="n">
        <v>44882</v>
      </c>
      <c r="E1082" s="1" t="n">
        <v>46312</v>
      </c>
      <c r="F1082" t="inlineStr">
        <is>
          <t>SKÅNE LÄN</t>
        </is>
      </c>
      <c r="G1082" t="inlineStr">
        <is>
          <t>HÄSSLEHOLM</t>
        </is>
      </c>
      <c r="H1082" t="inlineStr">
        <is>
          <t>Övriga Aktiebolag</t>
        </is>
      </c>
      <c r="I1082" t="n">
        <v>4</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3908-2022</t>
        </is>
      </c>
      <c r="B1083" t="inlineStr">
        <is>
          <t>avverkningsanmälan</t>
        </is>
      </c>
      <c r="C1083" t="inlineStr">
        <is>
          <t>Föryngringsavverkning</t>
        </is>
      </c>
      <c r="D1083" s="1" t="n">
        <v>44587</v>
      </c>
      <c r="E1083" s="1" t="n">
        <v>46312</v>
      </c>
      <c r="F1083" t="inlineStr">
        <is>
          <t>SKÅNE LÄN</t>
        </is>
      </c>
      <c r="G1083" t="inlineStr">
        <is>
          <t>KRISTIANSTAD</t>
        </is>
      </c>
      <c r="H1083" t="inlineStr">
        <is>
          <t>Sveaskog</t>
        </is>
      </c>
      <c r="I1083" t="n">
        <v>1.5</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6253-2022</t>
        </is>
      </c>
      <c r="B1084" t="inlineStr">
        <is>
          <t>avverkningsanmälan</t>
        </is>
      </c>
      <c r="C1084" t="inlineStr">
        <is>
          <t>Föryngringsavverkning</t>
        </is>
      </c>
      <c r="D1084" s="1" t="n">
        <v>44600</v>
      </c>
      <c r="E1084" s="1" t="n">
        <v>46312</v>
      </c>
      <c r="F1084" t="inlineStr">
        <is>
          <t>SKÅNE LÄN</t>
        </is>
      </c>
      <c r="G1084" t="inlineStr">
        <is>
          <t>HÄSSLEHOLM</t>
        </is>
      </c>
      <c r="I1084" t="n">
        <v>0.9</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17425-2022</t>
        </is>
      </c>
      <c r="B1085" t="inlineStr">
        <is>
          <t>avverkningsanmälan</t>
        </is>
      </c>
      <c r="C1085" t="inlineStr">
        <is>
          <t>Föryngringsavverkning</t>
        </is>
      </c>
      <c r="D1085" s="1" t="n">
        <v>44679</v>
      </c>
      <c r="E1085" s="1" t="n">
        <v>46312</v>
      </c>
      <c r="F1085" t="inlineStr">
        <is>
          <t>SKÅNE LÄN</t>
        </is>
      </c>
      <c r="G1085" t="inlineStr">
        <is>
          <t>KLIPPAN</t>
        </is>
      </c>
      <c r="I1085" t="n">
        <v>5.1</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18322-2022</t>
        </is>
      </c>
      <c r="B1086" t="inlineStr">
        <is>
          <t>avverkningsanmälan</t>
        </is>
      </c>
      <c r="C1086" t="inlineStr">
        <is>
          <t>Föryngringsavverkning</t>
        </is>
      </c>
      <c r="D1086" s="1" t="n">
        <v>44685</v>
      </c>
      <c r="E1086" s="1" t="n">
        <v>46312</v>
      </c>
      <c r="F1086" t="inlineStr">
        <is>
          <t>SKÅNE LÄN</t>
        </is>
      </c>
      <c r="G1086" t="inlineStr">
        <is>
          <t>KRISTIANSTAD</t>
        </is>
      </c>
      <c r="I1086" t="n">
        <v>0.6</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25850-2022</t>
        </is>
      </c>
      <c r="B1087" t="inlineStr">
        <is>
          <t>avverkningsanmälan</t>
        </is>
      </c>
      <c r="C1087" t="inlineStr">
        <is>
          <t>Föryngringsavverkning</t>
        </is>
      </c>
      <c r="D1087" s="1" t="n">
        <v>44733</v>
      </c>
      <c r="E1087" s="1" t="n">
        <v>46312</v>
      </c>
      <c r="F1087" t="inlineStr">
        <is>
          <t>SKÅNE LÄN</t>
        </is>
      </c>
      <c r="G1087" t="inlineStr">
        <is>
          <t>HÖRBY</t>
        </is>
      </c>
      <c r="I1087" t="n">
        <v>0.8</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5779-2022</t>
        </is>
      </c>
      <c r="B1088" t="inlineStr">
        <is>
          <t>avverkningsanmälan</t>
        </is>
      </c>
      <c r="C1088" t="inlineStr">
        <is>
          <t>Föryngringsavverkning</t>
        </is>
      </c>
      <c r="D1088" s="1" t="n">
        <v>44596</v>
      </c>
      <c r="E1088" s="1" t="n">
        <v>46312</v>
      </c>
      <c r="F1088" t="inlineStr">
        <is>
          <t>SKÅNE LÄN</t>
        </is>
      </c>
      <c r="G1088" t="inlineStr">
        <is>
          <t>BROMÖLLA</t>
        </is>
      </c>
      <c r="I1088" t="n">
        <v>0.8</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33487-2022</t>
        </is>
      </c>
      <c r="B1089" t="inlineStr">
        <is>
          <t>avverkningsanmälan</t>
        </is>
      </c>
      <c r="C1089" t="inlineStr">
        <is>
          <t>Föryngringsavverkning</t>
        </is>
      </c>
      <c r="D1089" s="1" t="n">
        <v>44788</v>
      </c>
      <c r="E1089" s="1" t="n">
        <v>46312</v>
      </c>
      <c r="F1089" t="inlineStr">
        <is>
          <t>SKÅNE LÄN</t>
        </is>
      </c>
      <c r="G1089" t="inlineStr">
        <is>
          <t>OSBY</t>
        </is>
      </c>
      <c r="I1089" t="n">
        <v>7.9</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23601-2022</t>
        </is>
      </c>
      <c r="B1090" t="inlineStr">
        <is>
          <t>avverkningsanmälan</t>
        </is>
      </c>
      <c r="C1090" t="inlineStr">
        <is>
          <t>Föryngringsavverkning</t>
        </is>
      </c>
      <c r="D1090" s="1" t="n">
        <v>44721</v>
      </c>
      <c r="E1090" s="1" t="n">
        <v>46312</v>
      </c>
      <c r="F1090" t="inlineStr">
        <is>
          <t>SKÅNE LÄN</t>
        </is>
      </c>
      <c r="G1090" t="inlineStr">
        <is>
          <t>OSBY</t>
        </is>
      </c>
      <c r="I1090" t="n">
        <v>1</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43175-2022</t>
        </is>
      </c>
      <c r="B1091" t="inlineStr">
        <is>
          <t>avverkningsanmälan</t>
        </is>
      </c>
      <c r="C1091" t="inlineStr">
        <is>
          <t>Föryngringsavverkning</t>
        </is>
      </c>
      <c r="D1091" s="1" t="n">
        <v>44834</v>
      </c>
      <c r="E1091" s="1" t="n">
        <v>46312</v>
      </c>
      <c r="F1091" t="inlineStr">
        <is>
          <t>SKÅNE LÄN</t>
        </is>
      </c>
      <c r="G1091" t="inlineStr">
        <is>
          <t>OSBY</t>
        </is>
      </c>
      <c r="I1091" t="n">
        <v>0.7</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67994-2021</t>
        </is>
      </c>
      <c r="B1092" t="inlineStr">
        <is>
          <t>avverkningsanmälan</t>
        </is>
      </c>
      <c r="C1092" t="inlineStr">
        <is>
          <t>Föryngringsavverkning</t>
        </is>
      </c>
      <c r="D1092" s="1" t="n">
        <v>44525</v>
      </c>
      <c r="E1092" s="1" t="n">
        <v>46312</v>
      </c>
      <c r="F1092" t="inlineStr">
        <is>
          <t>SKÅNE LÄN</t>
        </is>
      </c>
      <c r="G1092" t="inlineStr">
        <is>
          <t>KRISTIANSTAD</t>
        </is>
      </c>
      <c r="I1092" t="n">
        <v>1.1</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7262-2022</t>
        </is>
      </c>
      <c r="B1093" t="inlineStr">
        <is>
          <t>avverkningsanmälan</t>
        </is>
      </c>
      <c r="C1093" t="inlineStr">
        <is>
          <t>Föryngringsavverkning</t>
        </is>
      </c>
      <c r="D1093" s="1" t="n">
        <v>44606</v>
      </c>
      <c r="E1093" s="1" t="n">
        <v>46312</v>
      </c>
      <c r="F1093" t="inlineStr">
        <is>
          <t>SKÅNE LÄN</t>
        </is>
      </c>
      <c r="G1093" t="inlineStr">
        <is>
          <t>HÄSSLEHOLM</t>
        </is>
      </c>
      <c r="H1093" t="inlineStr">
        <is>
          <t>Övriga Aktiebolag</t>
        </is>
      </c>
      <c r="I1093" t="n">
        <v>1</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34983-2022</t>
        </is>
      </c>
      <c r="B1094" t="inlineStr">
        <is>
          <t>avverkningsanmälan</t>
        </is>
      </c>
      <c r="C1094" t="inlineStr">
        <is>
          <t>Föryngringsavverkning</t>
        </is>
      </c>
      <c r="D1094" s="1" t="n">
        <v>44796</v>
      </c>
      <c r="E1094" s="1" t="n">
        <v>46312</v>
      </c>
      <c r="F1094" t="inlineStr">
        <is>
          <t>SKÅNE LÄN</t>
        </is>
      </c>
      <c r="G1094" t="inlineStr">
        <is>
          <t>ÖSTRA GÖINGE</t>
        </is>
      </c>
      <c r="H1094" t="inlineStr">
        <is>
          <t>Kyrkan</t>
        </is>
      </c>
      <c r="I1094" t="n">
        <v>1.1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8371-2022</t>
        </is>
      </c>
      <c r="B1095" t="inlineStr">
        <is>
          <t>avverkningsanmälan</t>
        </is>
      </c>
      <c r="C1095" t="inlineStr">
        <is>
          <t>Föryngringsavverkning</t>
        </is>
      </c>
      <c r="D1095" s="1" t="n">
        <v>44610</v>
      </c>
      <c r="E1095" s="1" t="n">
        <v>46312</v>
      </c>
      <c r="F1095" t="inlineStr">
        <is>
          <t>SKÅNE LÄN</t>
        </is>
      </c>
      <c r="G1095" t="inlineStr">
        <is>
          <t>OSBY</t>
        </is>
      </c>
      <c r="I1095" t="n">
        <v>1.3</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19910-2022</t>
        </is>
      </c>
      <c r="B1096" t="inlineStr">
        <is>
          <t>avverkningsanmälan</t>
        </is>
      </c>
      <c r="C1096" t="inlineStr">
        <is>
          <t>Föryngringsavverkning</t>
        </is>
      </c>
      <c r="D1096" s="1" t="n">
        <v>44697</v>
      </c>
      <c r="E1096" s="1" t="n">
        <v>46312</v>
      </c>
      <c r="F1096" t="inlineStr">
        <is>
          <t>SKÅNE LÄN</t>
        </is>
      </c>
      <c r="G1096" t="inlineStr">
        <is>
          <t>KRISTIANSTAD</t>
        </is>
      </c>
      <c r="I1096" t="n">
        <v>5.9</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65675-2021</t>
        </is>
      </c>
      <c r="B1097" t="inlineStr">
        <is>
          <t>avverkningsanmälan</t>
        </is>
      </c>
      <c r="C1097" t="inlineStr">
        <is>
          <t>Föryngringsavverkning</t>
        </is>
      </c>
      <c r="D1097" s="1" t="n">
        <v>44516</v>
      </c>
      <c r="E1097" s="1" t="n">
        <v>46312</v>
      </c>
      <c r="F1097" t="inlineStr">
        <is>
          <t>SKÅNE LÄN</t>
        </is>
      </c>
      <c r="G1097" t="inlineStr">
        <is>
          <t>TRELLEBORG</t>
        </is>
      </c>
      <c r="I1097" t="n">
        <v>2</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13433-2022</t>
        </is>
      </c>
      <c r="B1098" t="inlineStr">
        <is>
          <t>avverkningsanmälan</t>
        </is>
      </c>
      <c r="C1098" t="inlineStr">
        <is>
          <t>Föryngringsavverkning</t>
        </is>
      </c>
      <c r="D1098" s="1" t="n">
        <v>44645</v>
      </c>
      <c r="E1098" s="1" t="n">
        <v>46312</v>
      </c>
      <c r="F1098" t="inlineStr">
        <is>
          <t>SKÅNE LÄN</t>
        </is>
      </c>
      <c r="G1098" t="inlineStr">
        <is>
          <t>KRISTIANSTAD</t>
        </is>
      </c>
      <c r="I1098" t="n">
        <v>3.6</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11773-2022</t>
        </is>
      </c>
      <c r="B1099" t="inlineStr">
        <is>
          <t>avverkningsanmälan</t>
        </is>
      </c>
      <c r="C1099" t="inlineStr">
        <is>
          <t>Föryngringsavverkning</t>
        </is>
      </c>
      <c r="D1099" s="1" t="n">
        <v>44634</v>
      </c>
      <c r="E1099" s="1" t="n">
        <v>46312</v>
      </c>
      <c r="F1099" t="inlineStr">
        <is>
          <t>SKÅNE LÄN</t>
        </is>
      </c>
      <c r="G1099" t="inlineStr">
        <is>
          <t>ÄNGELHOLM</t>
        </is>
      </c>
      <c r="I1099" t="n">
        <v>1.1</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64826-2021</t>
        </is>
      </c>
      <c r="B1100" t="inlineStr">
        <is>
          <t>avverkningsanmälan</t>
        </is>
      </c>
      <c r="C1100" t="inlineStr">
        <is>
          <t>Föryngringsavverkning</t>
        </is>
      </c>
      <c r="D1100" s="1" t="n">
        <v>44512</v>
      </c>
      <c r="E1100" s="1" t="n">
        <v>46312</v>
      </c>
      <c r="F1100" t="inlineStr">
        <is>
          <t>SKÅNE LÄN</t>
        </is>
      </c>
      <c r="G1100" t="inlineStr">
        <is>
          <t>HÄSSLEHOLM</t>
        </is>
      </c>
      <c r="I1100" t="n">
        <v>0.5</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10501-2022</t>
        </is>
      </c>
      <c r="B1101" t="inlineStr">
        <is>
          <t>avverkningsanmälan</t>
        </is>
      </c>
      <c r="C1101" t="inlineStr">
        <is>
          <t>Föryngringsavverkning</t>
        </is>
      </c>
      <c r="D1101" s="1" t="n">
        <v>44623</v>
      </c>
      <c r="E1101" s="1" t="n">
        <v>46312</v>
      </c>
      <c r="F1101" t="inlineStr">
        <is>
          <t>SKÅNE LÄN</t>
        </is>
      </c>
      <c r="G1101" t="inlineStr">
        <is>
          <t>ÖSTRA GÖINGE</t>
        </is>
      </c>
      <c r="I1101" t="n">
        <v>0.7</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24547-2022</t>
        </is>
      </c>
      <c r="B1102" t="inlineStr">
        <is>
          <t>avverkningsanmälan</t>
        </is>
      </c>
      <c r="C1102" t="inlineStr">
        <is>
          <t>Föryngringsavverkning</t>
        </is>
      </c>
      <c r="D1102" s="1" t="n">
        <v>44727</v>
      </c>
      <c r="E1102" s="1" t="n">
        <v>46312</v>
      </c>
      <c r="F1102" t="inlineStr">
        <is>
          <t>SKÅNE LÄN</t>
        </is>
      </c>
      <c r="G1102" t="inlineStr">
        <is>
          <t>ÖSTRA GÖINGE</t>
        </is>
      </c>
      <c r="I1102" t="n">
        <v>1.2</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20622-2022</t>
        </is>
      </c>
      <c r="B1103" t="inlineStr">
        <is>
          <t>avverkningsanmälan</t>
        </is>
      </c>
      <c r="C1103" t="inlineStr">
        <is>
          <t>Avverkning för annat ändamål</t>
        </is>
      </c>
      <c r="D1103" s="1" t="n">
        <v>44700</v>
      </c>
      <c r="E1103" s="1" t="n">
        <v>46312</v>
      </c>
      <c r="F1103" t="inlineStr">
        <is>
          <t>SKÅNE LÄN</t>
        </is>
      </c>
      <c r="G1103" t="inlineStr">
        <is>
          <t>ÖSTRA GÖINGE</t>
        </is>
      </c>
      <c r="I1103" t="n">
        <v>2.4</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20202-2022</t>
        </is>
      </c>
      <c r="B1104" t="inlineStr">
        <is>
          <t>avverkningsanmälan</t>
        </is>
      </c>
      <c r="C1104" t="inlineStr">
        <is>
          <t>Föryngringsavverkning</t>
        </is>
      </c>
      <c r="D1104" s="1" t="n">
        <v>44698</v>
      </c>
      <c r="E1104" s="1" t="n">
        <v>46312</v>
      </c>
      <c r="F1104" t="inlineStr">
        <is>
          <t>SKÅNE LÄN</t>
        </is>
      </c>
      <c r="G1104" t="inlineStr">
        <is>
          <t>BJUV</t>
        </is>
      </c>
      <c r="I1104" t="n">
        <v>0.8</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30344-2022</t>
        </is>
      </c>
      <c r="B1105" t="inlineStr">
        <is>
          <t>avverkningsanmälan</t>
        </is>
      </c>
      <c r="C1105" t="inlineStr">
        <is>
          <t>Föryngringsavverkning</t>
        </is>
      </c>
      <c r="D1105" s="1" t="n">
        <v>44760</v>
      </c>
      <c r="E1105" s="1" t="n">
        <v>46312</v>
      </c>
      <c r="F1105" t="inlineStr">
        <is>
          <t>SKÅNE LÄN</t>
        </is>
      </c>
      <c r="G1105" t="inlineStr">
        <is>
          <t>HÄSSLEHOLM</t>
        </is>
      </c>
      <c r="I1105" t="n">
        <v>0.6</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8177-2022</t>
        </is>
      </c>
      <c r="B1106" t="inlineStr">
        <is>
          <t>avverkningsanmälan</t>
        </is>
      </c>
      <c r="C1106" t="inlineStr">
        <is>
          <t>Föryngringsavverkning</t>
        </is>
      </c>
      <c r="D1106" s="1" t="n">
        <v>44607</v>
      </c>
      <c r="E1106" s="1" t="n">
        <v>46312</v>
      </c>
      <c r="F1106" t="inlineStr">
        <is>
          <t>SKÅNE LÄN</t>
        </is>
      </c>
      <c r="G1106" t="inlineStr">
        <is>
          <t>HÄSSLEHOLM</t>
        </is>
      </c>
      <c r="H1106" t="inlineStr">
        <is>
          <t>Kyrkan</t>
        </is>
      </c>
      <c r="I1106" t="n">
        <v>9.699999999999999</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25464-2022</t>
        </is>
      </c>
      <c r="B1107" t="inlineStr">
        <is>
          <t>avverkningsanmälan</t>
        </is>
      </c>
      <c r="C1107" t="inlineStr">
        <is>
          <t>Föryngringsavverkning</t>
        </is>
      </c>
      <c r="D1107" s="1" t="n">
        <v>44729</v>
      </c>
      <c r="E1107" s="1" t="n">
        <v>46312</v>
      </c>
      <c r="F1107" t="inlineStr">
        <is>
          <t>SKÅNE LÄN</t>
        </is>
      </c>
      <c r="G1107" t="inlineStr">
        <is>
          <t>HÄSSLEHOLM</t>
        </is>
      </c>
      <c r="I1107" t="n">
        <v>21</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1466-2022</t>
        </is>
      </c>
      <c r="B1108" t="inlineStr">
        <is>
          <t>avverkningsanmälan</t>
        </is>
      </c>
      <c r="C1108" t="inlineStr">
        <is>
          <t>Föryngringsavverkning</t>
        </is>
      </c>
      <c r="D1108" s="1" t="n">
        <v>44573</v>
      </c>
      <c r="E1108" s="1" t="n">
        <v>46312</v>
      </c>
      <c r="F1108" t="inlineStr">
        <is>
          <t>SKÅNE LÄN</t>
        </is>
      </c>
      <c r="G1108" t="inlineStr">
        <is>
          <t>OSBY</t>
        </is>
      </c>
      <c r="H1108" t="inlineStr">
        <is>
          <t>Kyrkan</t>
        </is>
      </c>
      <c r="I1108" t="n">
        <v>0</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74112-2021</t>
        </is>
      </c>
      <c r="B1109" t="inlineStr">
        <is>
          <t>avverkningsanmälan</t>
        </is>
      </c>
      <c r="C1109" t="inlineStr">
        <is>
          <t>Föryngringsavverkning</t>
        </is>
      </c>
      <c r="D1109" s="1" t="n">
        <v>44557</v>
      </c>
      <c r="E1109" s="1" t="n">
        <v>46312</v>
      </c>
      <c r="F1109" t="inlineStr">
        <is>
          <t>SKÅNE LÄN</t>
        </is>
      </c>
      <c r="G1109" t="inlineStr">
        <is>
          <t>ÖSTRA GÖINGE</t>
        </is>
      </c>
      <c r="I1109" t="n">
        <v>2</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1607-2022</t>
        </is>
      </c>
      <c r="B1110" t="inlineStr">
        <is>
          <t>avverkningsanmälan</t>
        </is>
      </c>
      <c r="C1110" t="inlineStr">
        <is>
          <t>Föryngringsavverkning</t>
        </is>
      </c>
      <c r="D1110" s="1" t="n">
        <v>44573</v>
      </c>
      <c r="E1110" s="1" t="n">
        <v>46312</v>
      </c>
      <c r="F1110" t="inlineStr">
        <is>
          <t>SKÅNE LÄN</t>
        </is>
      </c>
      <c r="G1110" t="inlineStr">
        <is>
          <t>OSBY</t>
        </is>
      </c>
      <c r="H1110" t="inlineStr">
        <is>
          <t>Kyrkan</t>
        </is>
      </c>
      <c r="I1110" t="n">
        <v>2.8</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3992-2022</t>
        </is>
      </c>
      <c r="B1111" t="inlineStr">
        <is>
          <t>avverkningsanmälan</t>
        </is>
      </c>
      <c r="C1111" t="inlineStr">
        <is>
          <t>Föryngringsavverkning</t>
        </is>
      </c>
      <c r="D1111" s="1" t="n">
        <v>44587</v>
      </c>
      <c r="E1111" s="1" t="n">
        <v>46312</v>
      </c>
      <c r="F1111" t="inlineStr">
        <is>
          <t>SKÅNE LÄN</t>
        </is>
      </c>
      <c r="G1111" t="inlineStr">
        <is>
          <t>HÄSSLEHOLM</t>
        </is>
      </c>
      <c r="I1111" t="n">
        <v>0.9</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20657-2022</t>
        </is>
      </c>
      <c r="B1112" t="inlineStr">
        <is>
          <t>avverkningsanmälan</t>
        </is>
      </c>
      <c r="C1112" t="inlineStr">
        <is>
          <t>Föryngringsavverkning</t>
        </is>
      </c>
      <c r="D1112" s="1" t="n">
        <v>44700</v>
      </c>
      <c r="E1112" s="1" t="n">
        <v>46312</v>
      </c>
      <c r="F1112" t="inlineStr">
        <is>
          <t>SKÅNE LÄN</t>
        </is>
      </c>
      <c r="G1112" t="inlineStr">
        <is>
          <t>HÄSSLEHOLM</t>
        </is>
      </c>
      <c r="I1112" t="n">
        <v>3.8</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45063-2022</t>
        </is>
      </c>
      <c r="B1113" t="inlineStr">
        <is>
          <t>avverkningsanmälan</t>
        </is>
      </c>
      <c r="C1113" t="inlineStr">
        <is>
          <t>Föryngringsavverkning</t>
        </is>
      </c>
      <c r="D1113" s="1" t="n">
        <v>44841</v>
      </c>
      <c r="E1113" s="1" t="n">
        <v>46312</v>
      </c>
      <c r="F1113" t="inlineStr">
        <is>
          <t>SKÅNE LÄN</t>
        </is>
      </c>
      <c r="G1113" t="inlineStr">
        <is>
          <t>ÖRKELLJUNGA</t>
        </is>
      </c>
      <c r="I1113" t="n">
        <v>0.8</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39056-2022</t>
        </is>
      </c>
      <c r="B1114" t="inlineStr">
        <is>
          <t>avverkningsanmälan</t>
        </is>
      </c>
      <c r="C1114" t="inlineStr">
        <is>
          <t>Föryngringsavverkning</t>
        </is>
      </c>
      <c r="D1114" s="1" t="n">
        <v>44816</v>
      </c>
      <c r="E1114" s="1" t="n">
        <v>46312</v>
      </c>
      <c r="F1114" t="inlineStr">
        <is>
          <t>SKÅNE LÄN</t>
        </is>
      </c>
      <c r="G1114" t="inlineStr">
        <is>
          <t>KLIPPAN</t>
        </is>
      </c>
      <c r="I1114" t="n">
        <v>0.5</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16579-2022</t>
        </is>
      </c>
      <c r="B1115" t="inlineStr">
        <is>
          <t>avverkningsanmälan</t>
        </is>
      </c>
      <c r="C1115" t="inlineStr">
        <is>
          <t>Föryngringsavverkning</t>
        </is>
      </c>
      <c r="D1115" s="1" t="n">
        <v>44672</v>
      </c>
      <c r="E1115" s="1" t="n">
        <v>46312</v>
      </c>
      <c r="F1115" t="inlineStr">
        <is>
          <t>SKÅNE LÄN</t>
        </is>
      </c>
      <c r="G1115" t="inlineStr">
        <is>
          <t>KRISTIANSTAD</t>
        </is>
      </c>
      <c r="I1115" t="n">
        <v>1</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25955-2022</t>
        </is>
      </c>
      <c r="B1116" t="inlineStr">
        <is>
          <t>avverkningsanmälan</t>
        </is>
      </c>
      <c r="C1116" t="inlineStr">
        <is>
          <t>Föryngringsavverkning</t>
        </is>
      </c>
      <c r="D1116" s="1" t="n">
        <v>44734</v>
      </c>
      <c r="E1116" s="1" t="n">
        <v>46312</v>
      </c>
      <c r="F1116" t="inlineStr">
        <is>
          <t>SKÅNE LÄN</t>
        </is>
      </c>
      <c r="G1116" t="inlineStr">
        <is>
          <t>HÄSSLEHOLM</t>
        </is>
      </c>
      <c r="I1116" t="n">
        <v>0.5</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10970-2022</t>
        </is>
      </c>
      <c r="B1117" t="inlineStr">
        <is>
          <t>avverkningsanmälan</t>
        </is>
      </c>
      <c r="C1117" t="inlineStr">
        <is>
          <t>Föryngringsavverkning</t>
        </is>
      </c>
      <c r="D1117" s="1" t="n">
        <v>44628</v>
      </c>
      <c r="E1117" s="1" t="n">
        <v>46312</v>
      </c>
      <c r="F1117" t="inlineStr">
        <is>
          <t>SKÅNE LÄN</t>
        </is>
      </c>
      <c r="G1117" t="inlineStr">
        <is>
          <t>KRISTIANSTAD</t>
        </is>
      </c>
      <c r="I1117" t="n">
        <v>1.5</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23950-2023</t>
        </is>
      </c>
      <c r="B1118" t="inlineStr">
        <is>
          <t>avverkningsanmälan</t>
        </is>
      </c>
      <c r="C1118" t="inlineStr">
        <is>
          <t>Föryngringsavverkning</t>
        </is>
      </c>
      <c r="D1118" s="1" t="n">
        <v>45078</v>
      </c>
      <c r="E1118" s="1" t="n">
        <v>46312</v>
      </c>
      <c r="F1118" t="inlineStr">
        <is>
          <t>SKÅNE LÄN</t>
        </is>
      </c>
      <c r="G1118" t="inlineStr">
        <is>
          <t>HÄSSLEHOLM</t>
        </is>
      </c>
      <c r="I1118" t="n">
        <v>0.6</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23952-2023</t>
        </is>
      </c>
      <c r="B1119" t="inlineStr">
        <is>
          <t>avverkningsanmälan</t>
        </is>
      </c>
      <c r="C1119" t="inlineStr">
        <is>
          <t>Föryngringsavverkning</t>
        </is>
      </c>
      <c r="D1119" s="1" t="n">
        <v>45078</v>
      </c>
      <c r="E1119" s="1" t="n">
        <v>46312</v>
      </c>
      <c r="F1119" t="inlineStr">
        <is>
          <t>SKÅNE LÄN</t>
        </is>
      </c>
      <c r="G1119" t="inlineStr">
        <is>
          <t>HÄSSLEHOLM</t>
        </is>
      </c>
      <c r="I1119" t="n">
        <v>0.4</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23956-2023</t>
        </is>
      </c>
      <c r="B1120" t="inlineStr">
        <is>
          <t>avverkningsanmälan</t>
        </is>
      </c>
      <c r="C1120" t="inlineStr">
        <is>
          <t>Föryngringsavverkning</t>
        </is>
      </c>
      <c r="D1120" s="1" t="n">
        <v>45078</v>
      </c>
      <c r="E1120" s="1" t="n">
        <v>46312</v>
      </c>
      <c r="F1120" t="inlineStr">
        <is>
          <t>SKÅNE LÄN</t>
        </is>
      </c>
      <c r="G1120" t="inlineStr">
        <is>
          <t>HÄSSLEHOLM</t>
        </is>
      </c>
      <c r="I1120" t="n">
        <v>0.1</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35974-2022</t>
        </is>
      </c>
      <c r="B1121" t="inlineStr">
        <is>
          <t>avverkningsanmälan</t>
        </is>
      </c>
      <c r="C1121" t="inlineStr">
        <is>
          <t>Föryngringsavverkning</t>
        </is>
      </c>
      <c r="D1121" s="1" t="n">
        <v>44802</v>
      </c>
      <c r="E1121" s="1" t="n">
        <v>46312</v>
      </c>
      <c r="F1121" t="inlineStr">
        <is>
          <t>SKÅNE LÄN</t>
        </is>
      </c>
      <c r="G1121" t="inlineStr">
        <is>
          <t>HÄSSLEHOLM</t>
        </is>
      </c>
      <c r="I1121" t="n">
        <v>3.8</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2448-2025</t>
        </is>
      </c>
      <c r="B1122" t="inlineStr">
        <is>
          <t>avverkningsanmälan</t>
        </is>
      </c>
      <c r="C1122" t="inlineStr">
        <is>
          <t>Föryngringsavverkning</t>
        </is>
      </c>
      <c r="D1122" s="1" t="n">
        <v>45674</v>
      </c>
      <c r="E1122" s="1" t="n">
        <v>46312</v>
      </c>
      <c r="F1122" t="inlineStr">
        <is>
          <t>SKÅNE LÄN</t>
        </is>
      </c>
      <c r="G1122" t="inlineStr">
        <is>
          <t>BROMÖLLA</t>
        </is>
      </c>
      <c r="I1122" t="n">
        <v>0.8</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3480-2022</t>
        </is>
      </c>
      <c r="B1123" t="inlineStr">
        <is>
          <t>avverkningsanmälan</t>
        </is>
      </c>
      <c r="C1123" t="inlineStr">
        <is>
          <t>Föryngringsavverkning</t>
        </is>
      </c>
      <c r="D1123" s="1" t="n">
        <v>44585</v>
      </c>
      <c r="E1123" s="1" t="n">
        <v>46312</v>
      </c>
      <c r="F1123" t="inlineStr">
        <is>
          <t>SKÅNE LÄN</t>
        </is>
      </c>
      <c r="G1123" t="inlineStr">
        <is>
          <t>HÖÖR</t>
        </is>
      </c>
      <c r="I1123" t="n">
        <v>1.8</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1619-2022</t>
        </is>
      </c>
      <c r="B1124" t="inlineStr">
        <is>
          <t>avverkningsanmälan</t>
        </is>
      </c>
      <c r="C1124" t="inlineStr">
        <is>
          <t>Föryngringsavverkning</t>
        </is>
      </c>
      <c r="D1124" s="1" t="n">
        <v>44573</v>
      </c>
      <c r="E1124" s="1" t="n">
        <v>46312</v>
      </c>
      <c r="F1124" t="inlineStr">
        <is>
          <t>SKÅNE LÄN</t>
        </is>
      </c>
      <c r="G1124" t="inlineStr">
        <is>
          <t>HÄSSLEHOLM</t>
        </is>
      </c>
      <c r="I1124" t="n">
        <v>1.8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17613-2024</t>
        </is>
      </c>
      <c r="B1125" t="inlineStr">
        <is>
          <t>avverkningsanmälan</t>
        </is>
      </c>
      <c r="C1125" t="inlineStr">
        <is>
          <t>Föryngringsavverkning</t>
        </is>
      </c>
      <c r="D1125" s="1" t="n">
        <v>45416</v>
      </c>
      <c r="E1125" s="1" t="n">
        <v>46312</v>
      </c>
      <c r="F1125" t="inlineStr">
        <is>
          <t>SKÅNE LÄN</t>
        </is>
      </c>
      <c r="G1125" t="inlineStr">
        <is>
          <t>KRISTIANSTAD</t>
        </is>
      </c>
      <c r="I1125" t="n">
        <v>2.6</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22653-2024</t>
        </is>
      </c>
      <c r="B1126" t="inlineStr">
        <is>
          <t>avverkningsanmälan</t>
        </is>
      </c>
      <c r="C1126" t="inlineStr">
        <is>
          <t>Föryngringsavverkning</t>
        </is>
      </c>
      <c r="D1126" s="1" t="n">
        <v>45447</v>
      </c>
      <c r="E1126" s="1" t="n">
        <v>46312</v>
      </c>
      <c r="F1126" t="inlineStr">
        <is>
          <t>SKÅNE LÄN</t>
        </is>
      </c>
      <c r="G1126" t="inlineStr">
        <is>
          <t>OSBY</t>
        </is>
      </c>
      <c r="I1126" t="n">
        <v>1.6</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41874-2024</t>
        </is>
      </c>
      <c r="B1127" t="inlineStr">
        <is>
          <t>avverkningsanmälan</t>
        </is>
      </c>
      <c r="C1127" t="inlineStr">
        <is>
          <t>Föryngringsavverkning</t>
        </is>
      </c>
      <c r="D1127" s="1" t="n">
        <v>45561</v>
      </c>
      <c r="E1127" s="1" t="n">
        <v>46312</v>
      </c>
      <c r="F1127" t="inlineStr">
        <is>
          <t>SKÅNE LÄN</t>
        </is>
      </c>
      <c r="G1127" t="inlineStr">
        <is>
          <t>HÄSSLEHOLM</t>
        </is>
      </c>
      <c r="I1127" t="n">
        <v>1</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54869-2023</t>
        </is>
      </c>
      <c r="B1128" t="inlineStr">
        <is>
          <t>avverkningsanmälan</t>
        </is>
      </c>
      <c r="C1128" t="inlineStr">
        <is>
          <t>Föryngringsavverkning</t>
        </is>
      </c>
      <c r="D1128" s="1" t="n">
        <v>45229</v>
      </c>
      <c r="E1128" s="1" t="n">
        <v>46312</v>
      </c>
      <c r="F1128" t="inlineStr">
        <is>
          <t>SKÅNE LÄN</t>
        </is>
      </c>
      <c r="G1128" t="inlineStr">
        <is>
          <t>ÖSTRA GÖINGE</t>
        </is>
      </c>
      <c r="I1128" t="n">
        <v>3.4</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23476-2024</t>
        </is>
      </c>
      <c r="B1129" t="inlineStr">
        <is>
          <t>avverkningsanmälan</t>
        </is>
      </c>
      <c r="C1129" t="inlineStr">
        <is>
          <t>Föryngringsavverkning</t>
        </is>
      </c>
      <c r="D1129" s="1" t="n">
        <v>45453</v>
      </c>
      <c r="E1129" s="1" t="n">
        <v>46312</v>
      </c>
      <c r="F1129" t="inlineStr">
        <is>
          <t>SKÅNE LÄN</t>
        </is>
      </c>
      <c r="G1129" t="inlineStr">
        <is>
          <t>OSBY</t>
        </is>
      </c>
      <c r="H1129" t="inlineStr">
        <is>
          <t>Sveaskog</t>
        </is>
      </c>
      <c r="I1129" t="n">
        <v>1.1</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7890-2024</t>
        </is>
      </c>
      <c r="B1130" t="inlineStr">
        <is>
          <t>avverkningsanmälan</t>
        </is>
      </c>
      <c r="C1130" t="inlineStr">
        <is>
          <t>Föryngringsavverkning</t>
        </is>
      </c>
      <c r="D1130" s="1" t="n">
        <v>45350</v>
      </c>
      <c r="E1130" s="1" t="n">
        <v>46312</v>
      </c>
      <c r="F1130" t="inlineStr">
        <is>
          <t>SKÅNE LÄN</t>
        </is>
      </c>
      <c r="G1130" t="inlineStr">
        <is>
          <t>HÄSSLEHOLM</t>
        </is>
      </c>
      <c r="I1130" t="n">
        <v>1.4</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36180-2024</t>
        </is>
      </c>
      <c r="B1131" t="inlineStr">
        <is>
          <t>avverkningsanmälan</t>
        </is>
      </c>
      <c r="C1131" t="inlineStr">
        <is>
          <t>Föryngringsavverkning</t>
        </is>
      </c>
      <c r="D1131" s="1" t="n">
        <v>45534</v>
      </c>
      <c r="E1131" s="1" t="n">
        <v>46312</v>
      </c>
      <c r="F1131" t="inlineStr">
        <is>
          <t>SKÅNE LÄN</t>
        </is>
      </c>
      <c r="G1131" t="inlineStr">
        <is>
          <t>TOMELILLA</t>
        </is>
      </c>
      <c r="I1131" t="n">
        <v>1.6</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55284-2023</t>
        </is>
      </c>
      <c r="B1132" t="inlineStr">
        <is>
          <t>avverkningsanmälan</t>
        </is>
      </c>
      <c r="C1132" t="inlineStr">
        <is>
          <t>Föryngringsavverkning</t>
        </is>
      </c>
      <c r="D1132" s="1" t="n">
        <v>45237</v>
      </c>
      <c r="E1132" s="1" t="n">
        <v>46312</v>
      </c>
      <c r="F1132" t="inlineStr">
        <is>
          <t>SKÅNE LÄN</t>
        </is>
      </c>
      <c r="G1132" t="inlineStr">
        <is>
          <t>HÄSSLEHOLM</t>
        </is>
      </c>
      <c r="I1132" t="n">
        <v>1.4</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427-2023</t>
        </is>
      </c>
      <c r="B1133" t="inlineStr">
        <is>
          <t>avverkningsanmälan</t>
        </is>
      </c>
      <c r="C1133" t="inlineStr">
        <is>
          <t>Föryngringsavverkning</t>
        </is>
      </c>
      <c r="D1133" s="1" t="n">
        <v>44929</v>
      </c>
      <c r="E1133" s="1" t="n">
        <v>46312</v>
      </c>
      <c r="F1133" t="inlineStr">
        <is>
          <t>SKÅNE LÄN</t>
        </is>
      </c>
      <c r="G1133" t="inlineStr">
        <is>
          <t>ÖSTRA GÖINGE</t>
        </is>
      </c>
      <c r="I1133" t="n">
        <v>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6348-2024</t>
        </is>
      </c>
      <c r="B1134" t="inlineStr">
        <is>
          <t>avverkningsanmälan</t>
        </is>
      </c>
      <c r="C1134" t="inlineStr">
        <is>
          <t>Föryngringsavverkning</t>
        </is>
      </c>
      <c r="D1134" s="1" t="n">
        <v>45338</v>
      </c>
      <c r="E1134" s="1" t="n">
        <v>46312</v>
      </c>
      <c r="F1134" t="inlineStr">
        <is>
          <t>SKÅNE LÄN</t>
        </is>
      </c>
      <c r="G1134" t="inlineStr">
        <is>
          <t>KRISTIANSTAD</t>
        </is>
      </c>
      <c r="I1134" t="n">
        <v>5.4</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24670-2024</t>
        </is>
      </c>
      <c r="B1135" t="inlineStr">
        <is>
          <t>avverkningsanmälan</t>
        </is>
      </c>
      <c r="C1135" t="inlineStr">
        <is>
          <t>Avverkning för annat ändamål</t>
        </is>
      </c>
      <c r="D1135" s="1" t="n">
        <v>45460</v>
      </c>
      <c r="E1135" s="1" t="n">
        <v>46312</v>
      </c>
      <c r="F1135" t="inlineStr">
        <is>
          <t>SKÅNE LÄN</t>
        </is>
      </c>
      <c r="G1135" t="inlineStr">
        <is>
          <t>HÖRBY</t>
        </is>
      </c>
      <c r="I1135" t="n">
        <v>0.2</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33597-2023</t>
        </is>
      </c>
      <c r="B1136" t="inlineStr">
        <is>
          <t>avverkningsanmälan</t>
        </is>
      </c>
      <c r="C1136" t="inlineStr">
        <is>
          <t>Föryngringsavverkning</t>
        </is>
      </c>
      <c r="D1136" s="1" t="n">
        <v>45132</v>
      </c>
      <c r="E1136" s="1" t="n">
        <v>46312</v>
      </c>
      <c r="F1136" t="inlineStr">
        <is>
          <t>SKÅNE LÄN</t>
        </is>
      </c>
      <c r="G1136" t="inlineStr">
        <is>
          <t>HÄSSLEHOLM</t>
        </is>
      </c>
      <c r="I1136" t="n">
        <v>3.9</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33599-2023</t>
        </is>
      </c>
      <c r="B1137" t="inlineStr">
        <is>
          <t>avverkningsanmälan</t>
        </is>
      </c>
      <c r="C1137" t="inlineStr">
        <is>
          <t>Föryngringsavverkning</t>
        </is>
      </c>
      <c r="D1137" s="1" t="n">
        <v>45132</v>
      </c>
      <c r="E1137" s="1" t="n">
        <v>46312</v>
      </c>
      <c r="F1137" t="inlineStr">
        <is>
          <t>SKÅNE LÄN</t>
        </is>
      </c>
      <c r="G1137" t="inlineStr">
        <is>
          <t>HÄSSLEHOLM</t>
        </is>
      </c>
      <c r="I1137" t="n">
        <v>0.6</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27173-2024</t>
        </is>
      </c>
      <c r="B1138" t="inlineStr">
        <is>
          <t>avverkningsanmälan</t>
        </is>
      </c>
      <c r="C1138" t="inlineStr">
        <is>
          <t>Föryngringsavverkning</t>
        </is>
      </c>
      <c r="D1138" s="1" t="n">
        <v>45471</v>
      </c>
      <c r="E1138" s="1" t="n">
        <v>46312</v>
      </c>
      <c r="F1138" t="inlineStr">
        <is>
          <t>SKÅNE LÄN</t>
        </is>
      </c>
      <c r="G1138" t="inlineStr">
        <is>
          <t>HÄSSLEHOLM</t>
        </is>
      </c>
      <c r="I1138" t="n">
        <v>1.8</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24241-2023</t>
        </is>
      </c>
      <c r="B1139" t="inlineStr">
        <is>
          <t>avverkningsanmälan</t>
        </is>
      </c>
      <c r="C1139" t="inlineStr">
        <is>
          <t>Föryngringsavverkning</t>
        </is>
      </c>
      <c r="D1139" s="1" t="n">
        <v>45079</v>
      </c>
      <c r="E1139" s="1" t="n">
        <v>46312</v>
      </c>
      <c r="F1139" t="inlineStr">
        <is>
          <t>SKÅNE LÄN</t>
        </is>
      </c>
      <c r="G1139" t="inlineStr">
        <is>
          <t>HÄSSLEHOLM</t>
        </is>
      </c>
      <c r="I1139" t="n">
        <v>0.9</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6020-2022</t>
        </is>
      </c>
      <c r="B1140" t="inlineStr">
        <is>
          <t>avverkningsanmälan</t>
        </is>
      </c>
      <c r="C1140" t="inlineStr">
        <is>
          <t>Föryngringsavverkning</t>
        </is>
      </c>
      <c r="D1140" s="1" t="n">
        <v>44599</v>
      </c>
      <c r="E1140" s="1" t="n">
        <v>46312</v>
      </c>
      <c r="F1140" t="inlineStr">
        <is>
          <t>SKÅNE LÄN</t>
        </is>
      </c>
      <c r="G1140" t="inlineStr">
        <is>
          <t>ÖRKELLJUNGA</t>
        </is>
      </c>
      <c r="I1140" t="n">
        <v>1.4</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2979-2024</t>
        </is>
      </c>
      <c r="B1141" t="inlineStr">
        <is>
          <t>avverkningsanmälan</t>
        </is>
      </c>
      <c r="C1141" t="inlineStr">
        <is>
          <t>Föryngringsavverkning</t>
        </is>
      </c>
      <c r="D1141" s="1" t="n">
        <v>45315</v>
      </c>
      <c r="E1141" s="1" t="n">
        <v>46312</v>
      </c>
      <c r="F1141" t="inlineStr">
        <is>
          <t>SKÅNE LÄN</t>
        </is>
      </c>
      <c r="G1141" t="inlineStr">
        <is>
          <t>HÖRBY</t>
        </is>
      </c>
      <c r="H1141" t="inlineStr">
        <is>
          <t>Kyrkan</t>
        </is>
      </c>
      <c r="I1141" t="n">
        <v>4.7</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74094-2021</t>
        </is>
      </c>
      <c r="B1142" t="inlineStr">
        <is>
          <t>avverkningsanmälan</t>
        </is>
      </c>
      <c r="C1142" t="inlineStr">
        <is>
          <t>Föryngringsavverkning</t>
        </is>
      </c>
      <c r="D1142" s="1" t="n">
        <v>44557</v>
      </c>
      <c r="E1142" s="1" t="n">
        <v>46312</v>
      </c>
      <c r="F1142" t="inlineStr">
        <is>
          <t>SKÅNE LÄN</t>
        </is>
      </c>
      <c r="G1142" t="inlineStr">
        <is>
          <t>ÖSTRA GÖINGE</t>
        </is>
      </c>
      <c r="I1142" t="n">
        <v>0.3</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14674-2025</t>
        </is>
      </c>
      <c r="B1143" t="inlineStr">
        <is>
          <t>avverkningsanmälan</t>
        </is>
      </c>
      <c r="C1143" t="inlineStr">
        <is>
          <t>Föryngringsavverkning</t>
        </is>
      </c>
      <c r="D1143" s="1" t="n">
        <v>45742</v>
      </c>
      <c r="E1143" s="1" t="n">
        <v>46312</v>
      </c>
      <c r="F1143" t="inlineStr">
        <is>
          <t>SKÅNE LÄN</t>
        </is>
      </c>
      <c r="G1143" t="inlineStr">
        <is>
          <t>HÄSSLEHOLM</t>
        </is>
      </c>
      <c r="I1143" t="n">
        <v>0.5</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14702-2025</t>
        </is>
      </c>
      <c r="B1144" t="inlineStr">
        <is>
          <t>avverkningsanmälan</t>
        </is>
      </c>
      <c r="C1144" t="inlineStr">
        <is>
          <t>Föryngringsavverkning</t>
        </is>
      </c>
      <c r="D1144" s="1" t="n">
        <v>45742</v>
      </c>
      <c r="E1144" s="1" t="n">
        <v>46312</v>
      </c>
      <c r="F1144" t="inlineStr">
        <is>
          <t>SKÅNE LÄN</t>
        </is>
      </c>
      <c r="G1144" t="inlineStr">
        <is>
          <t>HÄSSLEHOLM</t>
        </is>
      </c>
      <c r="I1144" t="n">
        <v>1.8</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6616-2022</t>
        </is>
      </c>
      <c r="B1145" t="inlineStr">
        <is>
          <t>avverkningsanmälan</t>
        </is>
      </c>
      <c r="C1145" t="inlineStr">
        <is>
          <t>Föryngringsavverkning</t>
        </is>
      </c>
      <c r="D1145" s="1" t="n">
        <v>44601</v>
      </c>
      <c r="E1145" s="1" t="n">
        <v>46312</v>
      </c>
      <c r="F1145" t="inlineStr">
        <is>
          <t>SKÅNE LÄN</t>
        </is>
      </c>
      <c r="G1145" t="inlineStr">
        <is>
          <t>KRISTIANSTAD</t>
        </is>
      </c>
      <c r="I1145" t="n">
        <v>0.5</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10775-2024</t>
        </is>
      </c>
      <c r="B1146" t="inlineStr">
        <is>
          <t>avverkningsanmälan</t>
        </is>
      </c>
      <c r="C1146" t="inlineStr">
        <is>
          <t>Avverkning för annat ändamål</t>
        </is>
      </c>
      <c r="D1146" s="1" t="n">
        <v>45369</v>
      </c>
      <c r="E1146" s="1" t="n">
        <v>46312</v>
      </c>
      <c r="F1146" t="inlineStr">
        <is>
          <t>SKÅNE LÄN</t>
        </is>
      </c>
      <c r="G1146" t="inlineStr">
        <is>
          <t>OSBY</t>
        </is>
      </c>
      <c r="I1146" t="n">
        <v>0.6</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16337-2025</t>
        </is>
      </c>
      <c r="B1147" t="inlineStr">
        <is>
          <t>avverkningsanmälan</t>
        </is>
      </c>
      <c r="C1147" t="inlineStr">
        <is>
          <t>Föryngringsavverkning</t>
        </is>
      </c>
      <c r="D1147" s="1" t="n">
        <v>45751</v>
      </c>
      <c r="E1147" s="1" t="n">
        <v>46312</v>
      </c>
      <c r="F1147" t="inlineStr">
        <is>
          <t>SKÅNE LÄN</t>
        </is>
      </c>
      <c r="G1147" t="inlineStr">
        <is>
          <t>PERSTORP</t>
        </is>
      </c>
      <c r="I1147" t="n">
        <v>0.5</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16388-2025</t>
        </is>
      </c>
      <c r="B1148" t="inlineStr">
        <is>
          <t>avverkningsanmälan</t>
        </is>
      </c>
      <c r="C1148" t="inlineStr">
        <is>
          <t>Föryngringsavverkning</t>
        </is>
      </c>
      <c r="D1148" s="1" t="n">
        <v>45751</v>
      </c>
      <c r="E1148" s="1" t="n">
        <v>46312</v>
      </c>
      <c r="F1148" t="inlineStr">
        <is>
          <t>SKÅNE LÄN</t>
        </is>
      </c>
      <c r="G1148" t="inlineStr">
        <is>
          <t>HÄSSLEHOLM</t>
        </is>
      </c>
      <c r="I1148" t="n">
        <v>0.6</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51861-2024</t>
        </is>
      </c>
      <c r="B1149" t="inlineStr">
        <is>
          <t>avverkningsanmälan</t>
        </is>
      </c>
      <c r="C1149" t="inlineStr">
        <is>
          <t>Avverkning för att bevara och utveckla /försöksver</t>
        </is>
      </c>
      <c r="D1149" s="1" t="n">
        <v>45607</v>
      </c>
      <c r="E1149" s="1" t="n">
        <v>46312</v>
      </c>
      <c r="F1149" t="inlineStr">
        <is>
          <t>SKÅNE LÄN</t>
        </is>
      </c>
      <c r="G1149" t="inlineStr">
        <is>
          <t>OSBY</t>
        </is>
      </c>
      <c r="H1149" t="inlineStr">
        <is>
          <t>Sveaskog</t>
        </is>
      </c>
      <c r="I1149" t="n">
        <v>0.9</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5284-2023</t>
        </is>
      </c>
      <c r="B1150" t="inlineStr">
        <is>
          <t>avverkningsanmälan</t>
        </is>
      </c>
      <c r="C1150" t="inlineStr">
        <is>
          <t>Föryngringsavverkning</t>
        </is>
      </c>
      <c r="D1150" s="1" t="n">
        <v>44959</v>
      </c>
      <c r="E1150" s="1" t="n">
        <v>46312</v>
      </c>
      <c r="F1150" t="inlineStr">
        <is>
          <t>SKÅNE LÄN</t>
        </is>
      </c>
      <c r="G1150" t="inlineStr">
        <is>
          <t>HÄSSLEHOLM</t>
        </is>
      </c>
      <c r="I1150" t="n">
        <v>0.4</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5285-2023</t>
        </is>
      </c>
      <c r="B1151" t="inlineStr">
        <is>
          <t>avverkningsanmälan</t>
        </is>
      </c>
      <c r="C1151" t="inlineStr">
        <is>
          <t>Föryngringsavverkning</t>
        </is>
      </c>
      <c r="D1151" s="1" t="n">
        <v>44959</v>
      </c>
      <c r="E1151" s="1" t="n">
        <v>46312</v>
      </c>
      <c r="F1151" t="inlineStr">
        <is>
          <t>SKÅNE LÄN</t>
        </is>
      </c>
      <c r="G1151" t="inlineStr">
        <is>
          <t>HÄSSLEHOLM</t>
        </is>
      </c>
      <c r="I1151" t="n">
        <v>0.5</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69375-2021</t>
        </is>
      </c>
      <c r="B1152" t="inlineStr">
        <is>
          <t>avverkningsanmälan</t>
        </is>
      </c>
      <c r="C1152" t="inlineStr">
        <is>
          <t>Föryngringsavverkning</t>
        </is>
      </c>
      <c r="D1152" s="1" t="n">
        <v>44531</v>
      </c>
      <c r="E1152" s="1" t="n">
        <v>46312</v>
      </c>
      <c r="F1152" t="inlineStr">
        <is>
          <t>SKÅNE LÄN</t>
        </is>
      </c>
      <c r="G1152" t="inlineStr">
        <is>
          <t>ÖSTRA GÖINGE</t>
        </is>
      </c>
      <c r="I1152" t="n">
        <v>0.6</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69393-2021</t>
        </is>
      </c>
      <c r="B1153" t="inlineStr">
        <is>
          <t>avverkningsanmälan</t>
        </is>
      </c>
      <c r="C1153" t="inlineStr">
        <is>
          <t>Föryngringsavverkning</t>
        </is>
      </c>
      <c r="D1153" s="1" t="n">
        <v>44531</v>
      </c>
      <c r="E1153" s="1" t="n">
        <v>46312</v>
      </c>
      <c r="F1153" t="inlineStr">
        <is>
          <t>SKÅNE LÄN</t>
        </is>
      </c>
      <c r="G1153" t="inlineStr">
        <is>
          <t>ÖSTRA GÖINGE</t>
        </is>
      </c>
      <c r="I1153" t="n">
        <v>1.6</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70087-2021</t>
        </is>
      </c>
      <c r="B1154" t="inlineStr">
        <is>
          <t>avverkningsanmälan</t>
        </is>
      </c>
      <c r="C1154" t="inlineStr">
        <is>
          <t>Föryngringsavverkning</t>
        </is>
      </c>
      <c r="D1154" s="1" t="n">
        <v>44533</v>
      </c>
      <c r="E1154" s="1" t="n">
        <v>46312</v>
      </c>
      <c r="F1154" t="inlineStr">
        <is>
          <t>SKÅNE LÄN</t>
        </is>
      </c>
      <c r="G1154" t="inlineStr">
        <is>
          <t>HÄSSLEHOLM</t>
        </is>
      </c>
      <c r="I1154" t="n">
        <v>5</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30858-2023</t>
        </is>
      </c>
      <c r="B1155" t="inlineStr">
        <is>
          <t>avverkningsanmälan</t>
        </is>
      </c>
      <c r="C1155" t="inlineStr">
        <is>
          <t>Föryngringsavverkning</t>
        </is>
      </c>
      <c r="D1155" s="1" t="n">
        <v>45112</v>
      </c>
      <c r="E1155" s="1" t="n">
        <v>46312</v>
      </c>
      <c r="F1155" t="inlineStr">
        <is>
          <t>SKÅNE LÄN</t>
        </is>
      </c>
      <c r="G1155" t="inlineStr">
        <is>
          <t>KRISTIANSTAD</t>
        </is>
      </c>
      <c r="H1155" t="inlineStr">
        <is>
          <t>Sveaskog</t>
        </is>
      </c>
      <c r="I1155" t="n">
        <v>4.6</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34888-2023</t>
        </is>
      </c>
      <c r="B1156" t="inlineStr">
        <is>
          <t>avverkningsanmälan</t>
        </is>
      </c>
      <c r="C1156" t="inlineStr">
        <is>
          <t>Föryngringsavverkning</t>
        </is>
      </c>
      <c r="D1156" s="1" t="n">
        <v>45142</v>
      </c>
      <c r="E1156" s="1" t="n">
        <v>46312</v>
      </c>
      <c r="F1156" t="inlineStr">
        <is>
          <t>SKÅNE LÄN</t>
        </is>
      </c>
      <c r="G1156" t="inlineStr">
        <is>
          <t>HÄSSLEHOLM</t>
        </is>
      </c>
      <c r="I1156" t="n">
        <v>1.4</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6948-2025</t>
        </is>
      </c>
      <c r="B1157" t="inlineStr">
        <is>
          <t>avverkningsanmälan</t>
        </is>
      </c>
      <c r="C1157" t="inlineStr">
        <is>
          <t>Föryngringsavverkning</t>
        </is>
      </c>
      <c r="D1157" s="1" t="n">
        <v>45701</v>
      </c>
      <c r="E1157" s="1" t="n">
        <v>46312</v>
      </c>
      <c r="F1157" t="inlineStr">
        <is>
          <t>SKÅNE LÄN</t>
        </is>
      </c>
      <c r="G1157" t="inlineStr">
        <is>
          <t>PERSTORP</t>
        </is>
      </c>
      <c r="I1157" t="n">
        <v>2.1</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21980-2023</t>
        </is>
      </c>
      <c r="B1158" t="inlineStr">
        <is>
          <t>avverkningsanmälan</t>
        </is>
      </c>
      <c r="C1158" t="inlineStr">
        <is>
          <t>Föryngringsavverkning</t>
        </is>
      </c>
      <c r="D1158" s="1" t="n">
        <v>45068</v>
      </c>
      <c r="E1158" s="1" t="n">
        <v>46312</v>
      </c>
      <c r="F1158" t="inlineStr">
        <is>
          <t>SKÅNE LÄN</t>
        </is>
      </c>
      <c r="G1158" t="inlineStr">
        <is>
          <t>BROMÖLLA</t>
        </is>
      </c>
      <c r="I1158" t="n">
        <v>5.8</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28244-2022</t>
        </is>
      </c>
      <c r="B1159" t="inlineStr">
        <is>
          <t>avverkningsanmälan</t>
        </is>
      </c>
      <c r="C1159" t="inlineStr">
        <is>
          <t>Föryngringsavverkning</t>
        </is>
      </c>
      <c r="D1159" s="1" t="n">
        <v>44746</v>
      </c>
      <c r="E1159" s="1" t="n">
        <v>46312</v>
      </c>
      <c r="F1159" t="inlineStr">
        <is>
          <t>SKÅNE LÄN</t>
        </is>
      </c>
      <c r="G1159" t="inlineStr">
        <is>
          <t>PERSTORP</t>
        </is>
      </c>
      <c r="I1159" t="n">
        <v>6</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20566-2023</t>
        </is>
      </c>
      <c r="B1160" t="inlineStr">
        <is>
          <t>avverkningsanmälan</t>
        </is>
      </c>
      <c r="C1160" t="inlineStr">
        <is>
          <t>Föryngringsavverkning</t>
        </is>
      </c>
      <c r="D1160" s="1" t="n">
        <v>45057</v>
      </c>
      <c r="E1160" s="1" t="n">
        <v>46312</v>
      </c>
      <c r="F1160" t="inlineStr">
        <is>
          <t>SKÅNE LÄN</t>
        </is>
      </c>
      <c r="G1160" t="inlineStr">
        <is>
          <t>HÄSSLEHOLM</t>
        </is>
      </c>
      <c r="I1160" t="n">
        <v>5.2</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16395-2023</t>
        </is>
      </c>
      <c r="B1161" t="inlineStr">
        <is>
          <t>avverkningsanmälan</t>
        </is>
      </c>
      <c r="C1161" t="inlineStr">
        <is>
          <t>Föryngringsavverkning</t>
        </is>
      </c>
      <c r="D1161" s="1" t="n">
        <v>45029</v>
      </c>
      <c r="E1161" s="1" t="n">
        <v>46312</v>
      </c>
      <c r="F1161" t="inlineStr">
        <is>
          <t>SKÅNE LÄN</t>
        </is>
      </c>
      <c r="G1161" t="inlineStr">
        <is>
          <t>PERSTORP</t>
        </is>
      </c>
      <c r="I1161" t="n">
        <v>1.7</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7086-2023</t>
        </is>
      </c>
      <c r="B1162" t="inlineStr">
        <is>
          <t>avverkningsanmälan</t>
        </is>
      </c>
      <c r="C1162" t="inlineStr">
        <is>
          <t>Föryngringsavverkning</t>
        </is>
      </c>
      <c r="D1162" s="1" t="n">
        <v>44965</v>
      </c>
      <c r="E1162" s="1" t="n">
        <v>46312</v>
      </c>
      <c r="F1162" t="inlineStr">
        <is>
          <t>SKÅNE LÄN</t>
        </is>
      </c>
      <c r="G1162" t="inlineStr">
        <is>
          <t>OSBY</t>
        </is>
      </c>
      <c r="I1162" t="n">
        <v>1.3</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54435-2024</t>
        </is>
      </c>
      <c r="B1163" t="inlineStr">
        <is>
          <t>avverkningsanmälan</t>
        </is>
      </c>
      <c r="C1163" t="inlineStr">
        <is>
          <t>Föryngringsavverkning</t>
        </is>
      </c>
      <c r="D1163" s="1" t="n">
        <v>45617</v>
      </c>
      <c r="E1163" s="1" t="n">
        <v>46312</v>
      </c>
      <c r="F1163" t="inlineStr">
        <is>
          <t>SKÅNE LÄN</t>
        </is>
      </c>
      <c r="G1163" t="inlineStr">
        <is>
          <t>HÄSSLEHOLM</t>
        </is>
      </c>
      <c r="I1163" t="n">
        <v>2.3</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13087-2023</t>
        </is>
      </c>
      <c r="B1164" t="inlineStr">
        <is>
          <t>avverkningsanmälan</t>
        </is>
      </c>
      <c r="C1164" t="inlineStr">
        <is>
          <t>Föryngringsavverkning</t>
        </is>
      </c>
      <c r="D1164" s="1" t="n">
        <v>45001</v>
      </c>
      <c r="E1164" s="1" t="n">
        <v>46312</v>
      </c>
      <c r="F1164" t="inlineStr">
        <is>
          <t>SKÅNE LÄN</t>
        </is>
      </c>
      <c r="G1164" t="inlineStr">
        <is>
          <t>HÄSSLEHOLM</t>
        </is>
      </c>
      <c r="I1164" t="n">
        <v>3.8</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54187-2022</t>
        </is>
      </c>
      <c r="B1165" t="inlineStr">
        <is>
          <t>avverkningsanmälan</t>
        </is>
      </c>
      <c r="C1165" t="inlineStr">
        <is>
          <t>Föryngringsavverkning</t>
        </is>
      </c>
      <c r="D1165" s="1" t="n">
        <v>44881</v>
      </c>
      <c r="E1165" s="1" t="n">
        <v>46312</v>
      </c>
      <c r="F1165" t="inlineStr">
        <is>
          <t>SKÅNE LÄN</t>
        </is>
      </c>
      <c r="G1165" t="inlineStr">
        <is>
          <t>OSBY</t>
        </is>
      </c>
      <c r="I1165" t="n">
        <v>1.9</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20666-2023</t>
        </is>
      </c>
      <c r="B1166" t="inlineStr">
        <is>
          <t>avverkningsanmälan</t>
        </is>
      </c>
      <c r="C1166" t="inlineStr">
        <is>
          <t>Föryngringsavverkning</t>
        </is>
      </c>
      <c r="D1166" s="1" t="n">
        <v>45058</v>
      </c>
      <c r="E1166" s="1" t="n">
        <v>46312</v>
      </c>
      <c r="F1166" t="inlineStr">
        <is>
          <t>SKÅNE LÄN</t>
        </is>
      </c>
      <c r="G1166" t="inlineStr">
        <is>
          <t>HÄSSLEHOLM</t>
        </is>
      </c>
      <c r="H1166" t="inlineStr">
        <is>
          <t>Kyrkan</t>
        </is>
      </c>
      <c r="I1166" t="n">
        <v>1.3</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21867-2023</t>
        </is>
      </c>
      <c r="B1167" t="inlineStr">
        <is>
          <t>avverkningsanmälan</t>
        </is>
      </c>
      <c r="C1167" t="inlineStr">
        <is>
          <t>Avverkning för annat ändamål</t>
        </is>
      </c>
      <c r="D1167" s="1" t="n">
        <v>45063</v>
      </c>
      <c r="E1167" s="1" t="n">
        <v>46312</v>
      </c>
      <c r="F1167" t="inlineStr">
        <is>
          <t>SKÅNE LÄN</t>
        </is>
      </c>
      <c r="G1167" t="inlineStr">
        <is>
          <t>HÄSSLEHOLM</t>
        </is>
      </c>
      <c r="I1167" t="n">
        <v>7.6</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49032-2022</t>
        </is>
      </c>
      <c r="B1168" t="inlineStr">
        <is>
          <t>avverkningsanmälan</t>
        </is>
      </c>
      <c r="C1168" t="inlineStr">
        <is>
          <t>Föryngringsavverkning</t>
        </is>
      </c>
      <c r="D1168" s="1" t="n">
        <v>44860</v>
      </c>
      <c r="E1168" s="1" t="n">
        <v>46312</v>
      </c>
      <c r="F1168" t="inlineStr">
        <is>
          <t>SKÅNE LÄN</t>
        </is>
      </c>
      <c r="G1168" t="inlineStr">
        <is>
          <t>SVALÖV</t>
        </is>
      </c>
      <c r="I1168" t="n">
        <v>3.7</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59028-2023</t>
        </is>
      </c>
      <c r="B1169" t="inlineStr">
        <is>
          <t>avverkningsanmälan</t>
        </is>
      </c>
      <c r="C1169" t="inlineStr">
        <is>
          <t>Föryngringsavverkning</t>
        </is>
      </c>
      <c r="D1169" s="1" t="n">
        <v>45252</v>
      </c>
      <c r="E1169" s="1" t="n">
        <v>46312</v>
      </c>
      <c r="F1169" t="inlineStr">
        <is>
          <t>SKÅNE LÄN</t>
        </is>
      </c>
      <c r="G1169" t="inlineStr">
        <is>
          <t>HÄSSLEHOLM</t>
        </is>
      </c>
      <c r="I1169" t="n">
        <v>2.5</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57990-2022</t>
        </is>
      </c>
      <c r="B1170" t="inlineStr">
        <is>
          <t>avverkningsanmälan</t>
        </is>
      </c>
      <c r="C1170" t="inlineStr">
        <is>
          <t>Föryngringsavverkning</t>
        </is>
      </c>
      <c r="D1170" s="1" t="n">
        <v>44900</v>
      </c>
      <c r="E1170" s="1" t="n">
        <v>46312</v>
      </c>
      <c r="F1170" t="inlineStr">
        <is>
          <t>SKÅNE LÄN</t>
        </is>
      </c>
      <c r="G1170" t="inlineStr">
        <is>
          <t>OSBY</t>
        </is>
      </c>
      <c r="I1170" t="n">
        <v>0.2</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10007-2022</t>
        </is>
      </c>
      <c r="B1171" t="inlineStr">
        <is>
          <t>avverkningsanmälan</t>
        </is>
      </c>
      <c r="C1171" t="inlineStr">
        <is>
          <t>Avverkning för annat ändamål</t>
        </is>
      </c>
      <c r="D1171" s="1" t="n">
        <v>44621</v>
      </c>
      <c r="E1171" s="1" t="n">
        <v>46312</v>
      </c>
      <c r="F1171" t="inlineStr">
        <is>
          <t>SKÅNE LÄN</t>
        </is>
      </c>
      <c r="G1171" t="inlineStr">
        <is>
          <t>HÖÖR</t>
        </is>
      </c>
      <c r="I1171" t="n">
        <v>2.4</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33752-2024</t>
        </is>
      </c>
      <c r="B1172" t="inlineStr">
        <is>
          <t>avverkningsanmälan</t>
        </is>
      </c>
      <c r="C1172" t="inlineStr">
        <is>
          <t>Föryngringsavverkning</t>
        </is>
      </c>
      <c r="D1172" s="1" t="n">
        <v>45520</v>
      </c>
      <c r="E1172" s="1" t="n">
        <v>46312</v>
      </c>
      <c r="F1172" t="inlineStr">
        <is>
          <t>SKÅNE LÄN</t>
        </is>
      </c>
      <c r="G1172" t="inlineStr">
        <is>
          <t>KRISTIANSTAD</t>
        </is>
      </c>
      <c r="I1172" t="n">
        <v>2.6</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27584-2024</t>
        </is>
      </c>
      <c r="B1173" t="inlineStr">
        <is>
          <t>avverkningsanmälan</t>
        </is>
      </c>
      <c r="C1173" t="inlineStr">
        <is>
          <t>Föryngringsavverkning</t>
        </is>
      </c>
      <c r="D1173" s="1" t="n">
        <v>45474</v>
      </c>
      <c r="E1173" s="1" t="n">
        <v>46312</v>
      </c>
      <c r="F1173" t="inlineStr">
        <is>
          <t>SKÅNE LÄN</t>
        </is>
      </c>
      <c r="G1173" t="inlineStr">
        <is>
          <t>KRISTIANSTAD</t>
        </is>
      </c>
      <c r="I1173" t="n">
        <v>0.7</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35801-2024</t>
        </is>
      </c>
      <c r="B1174" t="inlineStr">
        <is>
          <t>avverkningsanmälan</t>
        </is>
      </c>
      <c r="C1174" t="inlineStr">
        <is>
          <t>Föryngringsavverkning</t>
        </is>
      </c>
      <c r="D1174" s="1" t="n">
        <v>45532</v>
      </c>
      <c r="E1174" s="1" t="n">
        <v>46312</v>
      </c>
      <c r="F1174" t="inlineStr">
        <is>
          <t>SKÅNE LÄN</t>
        </is>
      </c>
      <c r="G1174" t="inlineStr">
        <is>
          <t>HÖÖR</t>
        </is>
      </c>
      <c r="I1174" t="n">
        <v>0.5</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32705-2023</t>
        </is>
      </c>
      <c r="B1175" t="inlineStr">
        <is>
          <t>avverkningsanmälan</t>
        </is>
      </c>
      <c r="C1175" t="inlineStr">
        <is>
          <t>Föryngringsavverkning</t>
        </is>
      </c>
      <c r="D1175" s="1" t="n">
        <v>45121</v>
      </c>
      <c r="E1175" s="1" t="n">
        <v>46312</v>
      </c>
      <c r="F1175" t="inlineStr">
        <is>
          <t>SKÅNE LÄN</t>
        </is>
      </c>
      <c r="G1175" t="inlineStr">
        <is>
          <t>KRISTIANSTAD</t>
        </is>
      </c>
      <c r="H1175" t="inlineStr">
        <is>
          <t>Sveaskog</t>
        </is>
      </c>
      <c r="I1175" t="n">
        <v>3</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23813-2023</t>
        </is>
      </c>
      <c r="B1176" t="inlineStr">
        <is>
          <t>avverkningsanmälan</t>
        </is>
      </c>
      <c r="C1176" t="inlineStr">
        <is>
          <t>Föryngringsavverkning</t>
        </is>
      </c>
      <c r="D1176" s="1" t="n">
        <v>45078</v>
      </c>
      <c r="E1176" s="1" t="n">
        <v>46312</v>
      </c>
      <c r="F1176" t="inlineStr">
        <is>
          <t>SKÅNE LÄN</t>
        </is>
      </c>
      <c r="G1176" t="inlineStr">
        <is>
          <t>OSBY</t>
        </is>
      </c>
      <c r="I1176" t="n">
        <v>0.9</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34976-2023</t>
        </is>
      </c>
      <c r="B1177" t="inlineStr">
        <is>
          <t>avverkningsanmälan</t>
        </is>
      </c>
      <c r="C1177" t="inlineStr">
        <is>
          <t>Föryngringsavverkning</t>
        </is>
      </c>
      <c r="D1177" s="1" t="n">
        <v>45142</v>
      </c>
      <c r="E1177" s="1" t="n">
        <v>46312</v>
      </c>
      <c r="F1177" t="inlineStr">
        <is>
          <t>SKÅNE LÄN</t>
        </is>
      </c>
      <c r="G1177" t="inlineStr">
        <is>
          <t>ÖSTRA GÖINGE</t>
        </is>
      </c>
      <c r="I1177" t="n">
        <v>1.1</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35026-2023</t>
        </is>
      </c>
      <c r="B1178" t="inlineStr">
        <is>
          <t>avverkningsanmälan</t>
        </is>
      </c>
      <c r="C1178" t="inlineStr">
        <is>
          <t>Föryngringsavverkning</t>
        </is>
      </c>
      <c r="D1178" s="1" t="n">
        <v>45144</v>
      </c>
      <c r="E1178" s="1" t="n">
        <v>46312</v>
      </c>
      <c r="F1178" t="inlineStr">
        <is>
          <t>SKÅNE LÄN</t>
        </is>
      </c>
      <c r="G1178" t="inlineStr">
        <is>
          <t>KRISTIANSTAD</t>
        </is>
      </c>
      <c r="H1178" t="inlineStr">
        <is>
          <t>Övriga Aktiebolag</t>
        </is>
      </c>
      <c r="I1178" t="n">
        <v>2.1</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13431-2022</t>
        </is>
      </c>
      <c r="B1179" t="inlineStr">
        <is>
          <t>avverkningsanmälan</t>
        </is>
      </c>
      <c r="C1179" t="inlineStr">
        <is>
          <t>Föryngringsavverkning</t>
        </is>
      </c>
      <c r="D1179" s="1" t="n">
        <v>44645</v>
      </c>
      <c r="E1179" s="1" t="n">
        <v>46312</v>
      </c>
      <c r="F1179" t="inlineStr">
        <is>
          <t>SKÅNE LÄN</t>
        </is>
      </c>
      <c r="G1179" t="inlineStr">
        <is>
          <t>KRISTIANSTAD</t>
        </is>
      </c>
      <c r="I1179" t="n">
        <v>1.9</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16110-2024</t>
        </is>
      </c>
      <c r="B1180" t="inlineStr">
        <is>
          <t>avverkningsanmälan</t>
        </is>
      </c>
      <c r="C1180" t="inlineStr">
        <is>
          <t>Avverkning för annat ändamål</t>
        </is>
      </c>
      <c r="D1180" s="1" t="n">
        <v>45406</v>
      </c>
      <c r="E1180" s="1" t="n">
        <v>46312</v>
      </c>
      <c r="F1180" t="inlineStr">
        <is>
          <t>SKÅNE LÄN</t>
        </is>
      </c>
      <c r="G1180" t="inlineStr">
        <is>
          <t>HÖÖR</t>
        </is>
      </c>
      <c r="I1180" t="n">
        <v>0.6</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23786-2023</t>
        </is>
      </c>
      <c r="B1181" t="inlineStr">
        <is>
          <t>avverkningsanmälan</t>
        </is>
      </c>
      <c r="C1181" t="inlineStr">
        <is>
          <t>Föryngringsavverkning</t>
        </is>
      </c>
      <c r="D1181" s="1" t="n">
        <v>45078</v>
      </c>
      <c r="E1181" s="1" t="n">
        <v>46312</v>
      </c>
      <c r="F1181" t="inlineStr">
        <is>
          <t>SKÅNE LÄN</t>
        </is>
      </c>
      <c r="G1181" t="inlineStr">
        <is>
          <t>PERSTORP</t>
        </is>
      </c>
      <c r="I1181" t="n">
        <v>4.3</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243-2025</t>
        </is>
      </c>
      <c r="B1182" t="inlineStr">
        <is>
          <t>avverkningsanmälan</t>
        </is>
      </c>
      <c r="C1182" t="inlineStr">
        <is>
          <t>Avverkning för annat ändamål</t>
        </is>
      </c>
      <c r="D1182" s="1" t="n">
        <v>45660</v>
      </c>
      <c r="E1182" s="1" t="n">
        <v>46312</v>
      </c>
      <c r="F1182" t="inlineStr">
        <is>
          <t>SKÅNE LÄN</t>
        </is>
      </c>
      <c r="G1182" t="inlineStr">
        <is>
          <t>KLIPPAN</t>
        </is>
      </c>
      <c r="I1182" t="n">
        <v>1.1</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48747-2022</t>
        </is>
      </c>
      <c r="B1183" t="inlineStr">
        <is>
          <t>avverkningsanmälan</t>
        </is>
      </c>
      <c r="C1183" t="inlineStr">
        <is>
          <t>Avverkning för annat ändamål</t>
        </is>
      </c>
      <c r="D1183" s="1" t="n">
        <v>44859</v>
      </c>
      <c r="E1183" s="1" t="n">
        <v>46312</v>
      </c>
      <c r="F1183" t="inlineStr">
        <is>
          <t>SKÅNE LÄN</t>
        </is>
      </c>
      <c r="G1183" t="inlineStr">
        <is>
          <t>HÄSSLEHOLM</t>
        </is>
      </c>
      <c r="I1183" t="n">
        <v>1.9</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6089-2023</t>
        </is>
      </c>
      <c r="B1184" t="inlineStr">
        <is>
          <t>avverkningsanmälan</t>
        </is>
      </c>
      <c r="C1184" t="inlineStr">
        <is>
          <t>Föryngringsavverkning</t>
        </is>
      </c>
      <c r="D1184" s="1" t="n">
        <v>44964</v>
      </c>
      <c r="E1184" s="1" t="n">
        <v>46312</v>
      </c>
      <c r="F1184" t="inlineStr">
        <is>
          <t>SKÅNE LÄN</t>
        </is>
      </c>
      <c r="G1184" t="inlineStr">
        <is>
          <t>ÖSTRA GÖINGE</t>
        </is>
      </c>
      <c r="I1184" t="n">
        <v>0.8</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8250-2023</t>
        </is>
      </c>
      <c r="B1185" t="inlineStr">
        <is>
          <t>avverkningsanmälan</t>
        </is>
      </c>
      <c r="C1185" t="inlineStr">
        <is>
          <t>Föryngringsavverkning</t>
        </is>
      </c>
      <c r="D1185" s="1" t="n">
        <v>44974</v>
      </c>
      <c r="E1185" s="1" t="n">
        <v>46312</v>
      </c>
      <c r="F1185" t="inlineStr">
        <is>
          <t>SKÅNE LÄN</t>
        </is>
      </c>
      <c r="G1185" t="inlineStr">
        <is>
          <t>HÄSSLEHOLM</t>
        </is>
      </c>
      <c r="I1185" t="n">
        <v>3</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57079-2022</t>
        </is>
      </c>
      <c r="B1186" t="inlineStr">
        <is>
          <t>avverkningsanmälan</t>
        </is>
      </c>
      <c r="C1186" t="inlineStr">
        <is>
          <t>Föryngringsavverkning</t>
        </is>
      </c>
      <c r="D1186" s="1" t="n">
        <v>44895</v>
      </c>
      <c r="E1186" s="1" t="n">
        <v>46312</v>
      </c>
      <c r="F1186" t="inlineStr">
        <is>
          <t>SKÅNE LÄN</t>
        </is>
      </c>
      <c r="G1186" t="inlineStr">
        <is>
          <t>HÄSSLEHOLM</t>
        </is>
      </c>
      <c r="I1186" t="n">
        <v>2.6</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13198-2025</t>
        </is>
      </c>
      <c r="B1187" t="inlineStr">
        <is>
          <t>avverkningsanmälan</t>
        </is>
      </c>
      <c r="C1187" t="inlineStr">
        <is>
          <t>Avverkning för annat ändamål</t>
        </is>
      </c>
      <c r="D1187" s="1" t="n">
        <v>45735</v>
      </c>
      <c r="E1187" s="1" t="n">
        <v>46312</v>
      </c>
      <c r="F1187" t="inlineStr">
        <is>
          <t>SKÅNE LÄN</t>
        </is>
      </c>
      <c r="G1187" t="inlineStr">
        <is>
          <t>HÄSSLEHOLM</t>
        </is>
      </c>
      <c r="I1187" t="n">
        <v>0.7</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40275-2023</t>
        </is>
      </c>
      <c r="B1188" t="inlineStr">
        <is>
          <t>avverkningsanmälan</t>
        </is>
      </c>
      <c r="C1188" t="inlineStr">
        <is>
          <t>Föryngringsavverkning</t>
        </is>
      </c>
      <c r="D1188" s="1" t="n">
        <v>45169</v>
      </c>
      <c r="E1188" s="1" t="n">
        <v>46312</v>
      </c>
      <c r="F1188" t="inlineStr">
        <is>
          <t>SKÅNE LÄN</t>
        </is>
      </c>
      <c r="G1188" t="inlineStr">
        <is>
          <t>ÄNGELHOLM</t>
        </is>
      </c>
      <c r="I1188" t="n">
        <v>0.6</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73830-2021</t>
        </is>
      </c>
      <c r="B1189" t="inlineStr">
        <is>
          <t>avverkningsanmälan</t>
        </is>
      </c>
      <c r="C1189" t="inlineStr">
        <is>
          <t>Föryngringsavverkning</t>
        </is>
      </c>
      <c r="D1189" s="1" t="n">
        <v>44552</v>
      </c>
      <c r="E1189" s="1" t="n">
        <v>46312</v>
      </c>
      <c r="F1189" t="inlineStr">
        <is>
          <t>SKÅNE LÄN</t>
        </is>
      </c>
      <c r="G1189" t="inlineStr">
        <is>
          <t>ÖRKELLJUNGA</t>
        </is>
      </c>
      <c r="I1189" t="n">
        <v>2.1</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62149-2022</t>
        </is>
      </c>
      <c r="B1190" t="inlineStr">
        <is>
          <t>avverkningsanmälan</t>
        </is>
      </c>
      <c r="C1190" t="inlineStr">
        <is>
          <t>Föryngringsavverkning</t>
        </is>
      </c>
      <c r="D1190" s="1" t="n">
        <v>44922</v>
      </c>
      <c r="E1190" s="1" t="n">
        <v>46312</v>
      </c>
      <c r="F1190" t="inlineStr">
        <is>
          <t>SKÅNE LÄN</t>
        </is>
      </c>
      <c r="G1190" t="inlineStr">
        <is>
          <t>SIMRISHAMN</t>
        </is>
      </c>
      <c r="H1190" t="inlineStr">
        <is>
          <t>Övriga Aktiebolag</t>
        </is>
      </c>
      <c r="I1190" t="n">
        <v>2.9</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19390-2023</t>
        </is>
      </c>
      <c r="B1191" t="inlineStr">
        <is>
          <t>avverkningsanmälan</t>
        </is>
      </c>
      <c r="C1191" t="inlineStr">
        <is>
          <t>Föryngringsavverkning</t>
        </is>
      </c>
      <c r="D1191" s="1" t="n">
        <v>45048</v>
      </c>
      <c r="E1191" s="1" t="n">
        <v>46312</v>
      </c>
      <c r="F1191" t="inlineStr">
        <is>
          <t>SKÅNE LÄN</t>
        </is>
      </c>
      <c r="G1191" t="inlineStr">
        <is>
          <t>ÖRKELLJUNGA</t>
        </is>
      </c>
      <c r="I1191" t="n">
        <v>3</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15688-2023</t>
        </is>
      </c>
      <c r="B1192" t="inlineStr">
        <is>
          <t>avverkningsanmälan</t>
        </is>
      </c>
      <c r="C1192" t="inlineStr">
        <is>
          <t>Föryngringsavverkning</t>
        </is>
      </c>
      <c r="D1192" s="1" t="n">
        <v>45021</v>
      </c>
      <c r="E1192" s="1" t="n">
        <v>46312</v>
      </c>
      <c r="F1192" t="inlineStr">
        <is>
          <t>SKÅNE LÄN</t>
        </is>
      </c>
      <c r="G1192" t="inlineStr">
        <is>
          <t>ÖSTRA GÖINGE</t>
        </is>
      </c>
      <c r="I1192" t="n">
        <v>0.9</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37675-2023</t>
        </is>
      </c>
      <c r="B1193" t="inlineStr">
        <is>
          <t>avverkningsanmälan</t>
        </is>
      </c>
      <c r="C1193" t="inlineStr">
        <is>
          <t>Föryngringsavverkning</t>
        </is>
      </c>
      <c r="D1193" s="1" t="n">
        <v>45159</v>
      </c>
      <c r="E1193" s="1" t="n">
        <v>46312</v>
      </c>
      <c r="F1193" t="inlineStr">
        <is>
          <t>SKÅNE LÄN</t>
        </is>
      </c>
      <c r="G1193" t="inlineStr">
        <is>
          <t>HÖÖR</t>
        </is>
      </c>
      <c r="I1193" t="n">
        <v>0.7</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21656-2023</t>
        </is>
      </c>
      <c r="B1194" t="inlineStr">
        <is>
          <t>avverkningsanmälan</t>
        </is>
      </c>
      <c r="C1194" t="inlineStr">
        <is>
          <t>Föryngringsavverkning</t>
        </is>
      </c>
      <c r="D1194" s="1" t="n">
        <v>45063</v>
      </c>
      <c r="E1194" s="1" t="n">
        <v>46312</v>
      </c>
      <c r="F1194" t="inlineStr">
        <is>
          <t>SKÅNE LÄN</t>
        </is>
      </c>
      <c r="G1194" t="inlineStr">
        <is>
          <t>OSBY</t>
        </is>
      </c>
      <c r="I1194" t="n">
        <v>0.7</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18609-2025</t>
        </is>
      </c>
      <c r="B1195" t="inlineStr">
        <is>
          <t>avverkningsanmälan</t>
        </is>
      </c>
      <c r="C1195" t="inlineStr">
        <is>
          <t>Föryngringsavverkning</t>
        </is>
      </c>
      <c r="D1195" s="1" t="n">
        <v>45763</v>
      </c>
      <c r="E1195" s="1" t="n">
        <v>46312</v>
      </c>
      <c r="F1195" t="inlineStr">
        <is>
          <t>SKÅNE LÄN</t>
        </is>
      </c>
      <c r="G1195" t="inlineStr">
        <is>
          <t>HÖRBY</t>
        </is>
      </c>
      <c r="I1195" t="n">
        <v>0.6</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24528-2023</t>
        </is>
      </c>
      <c r="B1196" t="inlineStr">
        <is>
          <t>avverkningsanmälan</t>
        </is>
      </c>
      <c r="C1196" t="inlineStr">
        <is>
          <t>Föryngringsavverkning</t>
        </is>
      </c>
      <c r="D1196" s="1" t="n">
        <v>45082</v>
      </c>
      <c r="E1196" s="1" t="n">
        <v>46312</v>
      </c>
      <c r="F1196" t="inlineStr">
        <is>
          <t>SKÅNE LÄN</t>
        </is>
      </c>
      <c r="G1196" t="inlineStr">
        <is>
          <t>ÖSTRA GÖINGE</t>
        </is>
      </c>
      <c r="I1196" t="n">
        <v>5.1</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34886-2023</t>
        </is>
      </c>
      <c r="B1197" t="inlineStr">
        <is>
          <t>avverkningsanmälan</t>
        </is>
      </c>
      <c r="C1197" t="inlineStr">
        <is>
          <t>Föryngringsavverkning</t>
        </is>
      </c>
      <c r="D1197" s="1" t="n">
        <v>45142</v>
      </c>
      <c r="E1197" s="1" t="n">
        <v>46312</v>
      </c>
      <c r="F1197" t="inlineStr">
        <is>
          <t>SKÅNE LÄN</t>
        </is>
      </c>
      <c r="G1197" t="inlineStr">
        <is>
          <t>HÄSSLEHOLM</t>
        </is>
      </c>
      <c r="I1197" t="n">
        <v>1.3</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30087-2023</t>
        </is>
      </c>
      <c r="B1198" t="inlineStr">
        <is>
          <t>avverkningsanmälan</t>
        </is>
      </c>
      <c r="C1198" t="inlineStr">
        <is>
          <t>Föryngringsavverkning</t>
        </is>
      </c>
      <c r="D1198" s="1" t="n">
        <v>45110</v>
      </c>
      <c r="E1198" s="1" t="n">
        <v>46312</v>
      </c>
      <c r="F1198" t="inlineStr">
        <is>
          <t>SKÅNE LÄN</t>
        </is>
      </c>
      <c r="G1198" t="inlineStr">
        <is>
          <t>HÖÖR</t>
        </is>
      </c>
      <c r="I1198" t="n">
        <v>0.7</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46246-2023</t>
        </is>
      </c>
      <c r="B1199" t="inlineStr">
        <is>
          <t>avverkningsanmälan</t>
        </is>
      </c>
      <c r="C1199" t="inlineStr">
        <is>
          <t>Föryngringsavverkning</t>
        </is>
      </c>
      <c r="D1199" s="1" t="n">
        <v>45196</v>
      </c>
      <c r="E1199" s="1" t="n">
        <v>46312</v>
      </c>
      <c r="F1199" t="inlineStr">
        <is>
          <t>SKÅNE LÄN</t>
        </is>
      </c>
      <c r="G1199" t="inlineStr">
        <is>
          <t>OSBY</t>
        </is>
      </c>
      <c r="I1199" t="n">
        <v>2.3</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1064-2025</t>
        </is>
      </c>
      <c r="B1200" t="inlineStr">
        <is>
          <t>avverkningsanmälan</t>
        </is>
      </c>
      <c r="C1200" t="inlineStr">
        <is>
          <t>Föryngringsavverkning</t>
        </is>
      </c>
      <c r="D1200" s="1" t="n">
        <v>45665</v>
      </c>
      <c r="E1200" s="1" t="n">
        <v>46312</v>
      </c>
      <c r="F1200" t="inlineStr">
        <is>
          <t>SKÅNE LÄN</t>
        </is>
      </c>
      <c r="G1200" t="inlineStr">
        <is>
          <t>KRISTIANSTAD</t>
        </is>
      </c>
      <c r="I1200" t="n">
        <v>4.8</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41777-2023</t>
        </is>
      </c>
      <c r="B1201" t="inlineStr">
        <is>
          <t>avverkningsanmälan</t>
        </is>
      </c>
      <c r="C1201" t="inlineStr">
        <is>
          <t>Föryngringsavverkning</t>
        </is>
      </c>
      <c r="D1201" s="1" t="n">
        <v>45176</v>
      </c>
      <c r="E1201" s="1" t="n">
        <v>46312</v>
      </c>
      <c r="F1201" t="inlineStr">
        <is>
          <t>SKÅNE LÄN</t>
        </is>
      </c>
      <c r="G1201" t="inlineStr">
        <is>
          <t>ÖSTRA GÖINGE</t>
        </is>
      </c>
      <c r="I1201" t="n">
        <v>2.7</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57222-2022</t>
        </is>
      </c>
      <c r="B1202" t="inlineStr">
        <is>
          <t>avverkningsanmälan</t>
        </is>
      </c>
      <c r="C1202" t="inlineStr">
        <is>
          <t>Föryngringsavverkning</t>
        </is>
      </c>
      <c r="D1202" s="1" t="n">
        <v>44895</v>
      </c>
      <c r="E1202" s="1" t="n">
        <v>46312</v>
      </c>
      <c r="F1202" t="inlineStr">
        <is>
          <t>SKÅNE LÄN</t>
        </is>
      </c>
      <c r="G1202" t="inlineStr">
        <is>
          <t>OSBY</t>
        </is>
      </c>
      <c r="I1202" t="n">
        <v>1.7</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60380-2024</t>
        </is>
      </c>
      <c r="B1203" t="inlineStr">
        <is>
          <t>avverkningsanmälan</t>
        </is>
      </c>
      <c r="C1203" t="inlineStr">
        <is>
          <t>Föryngringsavverkning</t>
        </is>
      </c>
      <c r="D1203" s="1" t="n">
        <v>45643</v>
      </c>
      <c r="E1203" s="1" t="n">
        <v>46312</v>
      </c>
      <c r="F1203" t="inlineStr">
        <is>
          <t>SKÅNE LÄN</t>
        </is>
      </c>
      <c r="G1203" t="inlineStr">
        <is>
          <t>KRISTIANSTAD</t>
        </is>
      </c>
      <c r="I1203" t="n">
        <v>4.2</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43851-2024</t>
        </is>
      </c>
      <c r="B1204" t="inlineStr">
        <is>
          <t>avverkningsanmälan</t>
        </is>
      </c>
      <c r="C1204" t="inlineStr">
        <is>
          <t>Föryngringsavverkning</t>
        </is>
      </c>
      <c r="D1204" s="1" t="n">
        <v>45572</v>
      </c>
      <c r="E1204" s="1" t="n">
        <v>46312</v>
      </c>
      <c r="F1204" t="inlineStr">
        <is>
          <t>SKÅNE LÄN</t>
        </is>
      </c>
      <c r="G1204" t="inlineStr">
        <is>
          <t>SIMRISHAMN</t>
        </is>
      </c>
      <c r="I1204" t="n">
        <v>0.7</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2596-2024</t>
        </is>
      </c>
      <c r="B1205" t="inlineStr">
        <is>
          <t>avverkningsanmälan</t>
        </is>
      </c>
      <c r="C1205" t="inlineStr">
        <is>
          <t>Föryngringsavverkning</t>
        </is>
      </c>
      <c r="D1205" s="1" t="n">
        <v>45313</v>
      </c>
      <c r="E1205" s="1" t="n">
        <v>46312</v>
      </c>
      <c r="F1205" t="inlineStr">
        <is>
          <t>SKÅNE LÄN</t>
        </is>
      </c>
      <c r="G1205" t="inlineStr">
        <is>
          <t>HÄSSLEHOLM</t>
        </is>
      </c>
      <c r="I1205" t="n">
        <v>0.5</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58518-2024</t>
        </is>
      </c>
      <c r="B1206" t="inlineStr">
        <is>
          <t>avverkningsanmälan</t>
        </is>
      </c>
      <c r="C1206" t="inlineStr">
        <is>
          <t>Föryngringsavverkning</t>
        </is>
      </c>
      <c r="D1206" s="1" t="n">
        <v>45635</v>
      </c>
      <c r="E1206" s="1" t="n">
        <v>46312</v>
      </c>
      <c r="F1206" t="inlineStr">
        <is>
          <t>SKÅNE LÄN</t>
        </is>
      </c>
      <c r="G1206" t="inlineStr">
        <is>
          <t>ÖSTRA GÖINGE</t>
        </is>
      </c>
      <c r="I1206" t="n">
        <v>4.7</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50616-2023</t>
        </is>
      </c>
      <c r="B1207" t="inlineStr">
        <is>
          <t>avverkningsanmälan</t>
        </is>
      </c>
      <c r="C1207" t="inlineStr">
        <is>
          <t>Föryngringsavverkning</t>
        </is>
      </c>
      <c r="D1207" s="1" t="n">
        <v>45210</v>
      </c>
      <c r="E1207" s="1" t="n">
        <v>46312</v>
      </c>
      <c r="F1207" t="inlineStr">
        <is>
          <t>SKÅNE LÄN</t>
        </is>
      </c>
      <c r="G1207" t="inlineStr">
        <is>
          <t>HÄSSLEHOLM</t>
        </is>
      </c>
      <c r="I1207" t="n">
        <v>1.1</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42016-2022</t>
        </is>
      </c>
      <c r="B1208" t="inlineStr">
        <is>
          <t>avverkningsanmälan</t>
        </is>
      </c>
      <c r="C1208" t="inlineStr">
        <is>
          <t>Föryngringsavverkning</t>
        </is>
      </c>
      <c r="D1208" s="1" t="n">
        <v>44827</v>
      </c>
      <c r="E1208" s="1" t="n">
        <v>46312</v>
      </c>
      <c r="F1208" t="inlineStr">
        <is>
          <t>SKÅNE LÄN</t>
        </is>
      </c>
      <c r="G1208" t="inlineStr">
        <is>
          <t>SIMRISHAMN</t>
        </is>
      </c>
      <c r="I1208" t="n">
        <v>0.8</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44339-2023</t>
        </is>
      </c>
      <c r="B1209" t="inlineStr">
        <is>
          <t>avverkningsanmälan</t>
        </is>
      </c>
      <c r="C1209" t="inlineStr">
        <is>
          <t>Föryngringsavverkning</t>
        </is>
      </c>
      <c r="D1209" s="1" t="n">
        <v>45188</v>
      </c>
      <c r="E1209" s="1" t="n">
        <v>46312</v>
      </c>
      <c r="F1209" t="inlineStr">
        <is>
          <t>SKÅNE LÄN</t>
        </is>
      </c>
      <c r="G1209" t="inlineStr">
        <is>
          <t>KRISTIANSTAD</t>
        </is>
      </c>
      <c r="I1209" t="n">
        <v>0.6</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4481-2024</t>
        </is>
      </c>
      <c r="B1210" t="inlineStr">
        <is>
          <t>avverkningsanmälan</t>
        </is>
      </c>
      <c r="C1210" t="inlineStr">
        <is>
          <t>Föryngringsavverkning</t>
        </is>
      </c>
      <c r="D1210" s="1" t="n">
        <v>45327</v>
      </c>
      <c r="E1210" s="1" t="n">
        <v>46312</v>
      </c>
      <c r="F1210" t="inlineStr">
        <is>
          <t>SKÅNE LÄN</t>
        </is>
      </c>
      <c r="G1210" t="inlineStr">
        <is>
          <t>BÅSTAD</t>
        </is>
      </c>
      <c r="I1210" t="n">
        <v>1</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11780-2023</t>
        </is>
      </c>
      <c r="B1211" t="inlineStr">
        <is>
          <t>avverkningsanmälan</t>
        </is>
      </c>
      <c r="C1211" t="inlineStr">
        <is>
          <t>Föryngringsavverkning</t>
        </is>
      </c>
      <c r="D1211" s="1" t="n">
        <v>44994</v>
      </c>
      <c r="E1211" s="1" t="n">
        <v>46312</v>
      </c>
      <c r="F1211" t="inlineStr">
        <is>
          <t>SKÅNE LÄN</t>
        </is>
      </c>
      <c r="G1211" t="inlineStr">
        <is>
          <t>OSBY</t>
        </is>
      </c>
      <c r="I1211" t="n">
        <v>0.7</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35911-2023</t>
        </is>
      </c>
      <c r="B1212" t="inlineStr">
        <is>
          <t>avverkningsanmälan</t>
        </is>
      </c>
      <c r="C1212" t="inlineStr">
        <is>
          <t>Föryngringsavverkning</t>
        </is>
      </c>
      <c r="D1212" s="1" t="n">
        <v>45148</v>
      </c>
      <c r="E1212" s="1" t="n">
        <v>46312</v>
      </c>
      <c r="F1212" t="inlineStr">
        <is>
          <t>SKÅNE LÄN</t>
        </is>
      </c>
      <c r="G1212" t="inlineStr">
        <is>
          <t>SVALÖV</t>
        </is>
      </c>
      <c r="I1212" t="n">
        <v>0.9</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3405-2024</t>
        </is>
      </c>
      <c r="B1213" t="inlineStr">
        <is>
          <t>avverkningsanmälan</t>
        </is>
      </c>
      <c r="C1213" t="inlineStr">
        <is>
          <t>Föryngringsavverkning</t>
        </is>
      </c>
      <c r="D1213" s="1" t="n">
        <v>45318</v>
      </c>
      <c r="E1213" s="1" t="n">
        <v>46312</v>
      </c>
      <c r="F1213" t="inlineStr">
        <is>
          <t>SKÅNE LÄN</t>
        </is>
      </c>
      <c r="G1213" t="inlineStr">
        <is>
          <t>SIMRISHAMN</t>
        </is>
      </c>
      <c r="I1213" t="n">
        <v>0.9</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40661-2022</t>
        </is>
      </c>
      <c r="B1214" t="inlineStr">
        <is>
          <t>avverkningsanmälan</t>
        </is>
      </c>
      <c r="C1214" t="inlineStr">
        <is>
          <t>Föryngringsavverkning</t>
        </is>
      </c>
      <c r="D1214" s="1" t="n">
        <v>44824</v>
      </c>
      <c r="E1214" s="1" t="n">
        <v>46312</v>
      </c>
      <c r="F1214" t="inlineStr">
        <is>
          <t>SKÅNE LÄN</t>
        </is>
      </c>
      <c r="G1214" t="inlineStr">
        <is>
          <t>KRISTIANSTAD</t>
        </is>
      </c>
      <c r="I1214" t="n">
        <v>1</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44814-2022</t>
        </is>
      </c>
      <c r="B1215" t="inlineStr">
        <is>
          <t>avverkningsanmälan</t>
        </is>
      </c>
      <c r="C1215" t="inlineStr">
        <is>
          <t>Föryngringsavverkning</t>
        </is>
      </c>
      <c r="D1215" s="1" t="n">
        <v>44841</v>
      </c>
      <c r="E1215" s="1" t="n">
        <v>46312</v>
      </c>
      <c r="F1215" t="inlineStr">
        <is>
          <t>SKÅNE LÄN</t>
        </is>
      </c>
      <c r="G1215" t="inlineStr">
        <is>
          <t>ÖRKELLJUNGA</t>
        </is>
      </c>
      <c r="I1215" t="n">
        <v>5.2</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9748-2024</t>
        </is>
      </c>
      <c r="B1216" t="inlineStr">
        <is>
          <t>avverkningsanmälan</t>
        </is>
      </c>
      <c r="C1216" t="inlineStr">
        <is>
          <t>Föryngringsavverkning</t>
        </is>
      </c>
      <c r="D1216" s="1" t="n">
        <v>45362</v>
      </c>
      <c r="E1216" s="1" t="n">
        <v>46312</v>
      </c>
      <c r="F1216" t="inlineStr">
        <is>
          <t>SKÅNE LÄN</t>
        </is>
      </c>
      <c r="G1216" t="inlineStr">
        <is>
          <t>ÖRKELLJUNGA</t>
        </is>
      </c>
      <c r="I1216" t="n">
        <v>2.2</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3471-2025</t>
        </is>
      </c>
      <c r="B1217" t="inlineStr">
        <is>
          <t>avverkningsanmälan</t>
        </is>
      </c>
      <c r="C1217" t="inlineStr">
        <is>
          <t>Föryngringsavverkning</t>
        </is>
      </c>
      <c r="D1217" s="1" t="n">
        <v>45680</v>
      </c>
      <c r="E1217" s="1" t="n">
        <v>46312</v>
      </c>
      <c r="F1217" t="inlineStr">
        <is>
          <t>SKÅNE LÄN</t>
        </is>
      </c>
      <c r="G1217" t="inlineStr">
        <is>
          <t>HÖRBY</t>
        </is>
      </c>
      <c r="I1217" t="n">
        <v>3.7</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33359-2023</t>
        </is>
      </c>
      <c r="B1218" t="inlineStr">
        <is>
          <t>avverkningsanmälan</t>
        </is>
      </c>
      <c r="C1218" t="inlineStr">
        <is>
          <t>Föryngringsavverkning</t>
        </is>
      </c>
      <c r="D1218" s="1" t="n">
        <v>45128</v>
      </c>
      <c r="E1218" s="1" t="n">
        <v>46312</v>
      </c>
      <c r="F1218" t="inlineStr">
        <is>
          <t>SKÅNE LÄN</t>
        </is>
      </c>
      <c r="G1218" t="inlineStr">
        <is>
          <t>HÖRBY</t>
        </is>
      </c>
      <c r="I1218" t="n">
        <v>0.9</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40300-2024</t>
        </is>
      </c>
      <c r="B1219" t="inlineStr">
        <is>
          <t>avverkningsanmälan</t>
        </is>
      </c>
      <c r="C1219" t="inlineStr">
        <is>
          <t>Föryngringsavverkning</t>
        </is>
      </c>
      <c r="D1219" s="1" t="n">
        <v>45554</v>
      </c>
      <c r="E1219" s="1" t="n">
        <v>46312</v>
      </c>
      <c r="F1219" t="inlineStr">
        <is>
          <t>SKÅNE LÄN</t>
        </is>
      </c>
      <c r="G1219" t="inlineStr">
        <is>
          <t>KRISTIANSTAD</t>
        </is>
      </c>
      <c r="I1219" t="n">
        <v>12.6</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53875-2023</t>
        </is>
      </c>
      <c r="B1220" t="inlineStr">
        <is>
          <t>avverkningsanmälan</t>
        </is>
      </c>
      <c r="C1220" t="inlineStr">
        <is>
          <t>Föryngringsavverkning</t>
        </is>
      </c>
      <c r="D1220" s="1" t="n">
        <v>45231</v>
      </c>
      <c r="E1220" s="1" t="n">
        <v>46312</v>
      </c>
      <c r="F1220" t="inlineStr">
        <is>
          <t>SKÅNE LÄN</t>
        </is>
      </c>
      <c r="G1220" t="inlineStr">
        <is>
          <t>PERSTORP</t>
        </is>
      </c>
      <c r="I1220" t="n">
        <v>3.7</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69384-2021</t>
        </is>
      </c>
      <c r="B1221" t="inlineStr">
        <is>
          <t>avverkningsanmälan</t>
        </is>
      </c>
      <c r="C1221" t="inlineStr">
        <is>
          <t>Föryngringsavverkning</t>
        </is>
      </c>
      <c r="D1221" s="1" t="n">
        <v>44531</v>
      </c>
      <c r="E1221" s="1" t="n">
        <v>46312</v>
      </c>
      <c r="F1221" t="inlineStr">
        <is>
          <t>SKÅNE LÄN</t>
        </is>
      </c>
      <c r="G1221" t="inlineStr">
        <is>
          <t>ÖSTRA GÖINGE</t>
        </is>
      </c>
      <c r="I1221" t="n">
        <v>1.1</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49107-2023</t>
        </is>
      </c>
      <c r="B1222" t="inlineStr">
        <is>
          <t>avverkningsanmälan</t>
        </is>
      </c>
      <c r="C1222" t="inlineStr">
        <is>
          <t>Föryngringsavverkning</t>
        </is>
      </c>
      <c r="D1222" s="1" t="n">
        <v>45210</v>
      </c>
      <c r="E1222" s="1" t="n">
        <v>46312</v>
      </c>
      <c r="F1222" t="inlineStr">
        <is>
          <t>SKÅNE LÄN</t>
        </is>
      </c>
      <c r="G1222" t="inlineStr">
        <is>
          <t>HÄSSLEHOLM</t>
        </is>
      </c>
      <c r="I1222" t="n">
        <v>0.3</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65235-2021</t>
        </is>
      </c>
      <c r="B1223" t="inlineStr">
        <is>
          <t>avverkningsanmälan</t>
        </is>
      </c>
      <c r="C1223" t="inlineStr">
        <is>
          <t>Föryngringsavverkning</t>
        </is>
      </c>
      <c r="D1223" s="1" t="n">
        <v>44515</v>
      </c>
      <c r="E1223" s="1" t="n">
        <v>46312</v>
      </c>
      <c r="F1223" t="inlineStr">
        <is>
          <t>SKÅNE LÄN</t>
        </is>
      </c>
      <c r="G1223" t="inlineStr">
        <is>
          <t>HÄSSLEHOLM</t>
        </is>
      </c>
      <c r="I1223" t="n">
        <v>2.5</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61018-2023</t>
        </is>
      </c>
      <c r="B1224" t="inlineStr">
        <is>
          <t>avverkningsanmälan</t>
        </is>
      </c>
      <c r="C1224" t="inlineStr">
        <is>
          <t>Föryngringsavverkning</t>
        </is>
      </c>
      <c r="D1224" s="1" t="n">
        <v>45259</v>
      </c>
      <c r="E1224" s="1" t="n">
        <v>46312</v>
      </c>
      <c r="F1224" t="inlineStr">
        <is>
          <t>SKÅNE LÄN</t>
        </is>
      </c>
      <c r="G1224" t="inlineStr">
        <is>
          <t>OSBY</t>
        </is>
      </c>
      <c r="I1224" t="n">
        <v>1.5</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29934-2023</t>
        </is>
      </c>
      <c r="B1225" t="inlineStr">
        <is>
          <t>avverkningsanmälan</t>
        </is>
      </c>
      <c r="C1225" t="inlineStr">
        <is>
          <t>Föryngringsavverkning</t>
        </is>
      </c>
      <c r="D1225" s="1" t="n">
        <v>45107</v>
      </c>
      <c r="E1225" s="1" t="n">
        <v>46312</v>
      </c>
      <c r="F1225" t="inlineStr">
        <is>
          <t>SKÅNE LÄN</t>
        </is>
      </c>
      <c r="G1225" t="inlineStr">
        <is>
          <t>KRISTIANSTAD</t>
        </is>
      </c>
      <c r="I1225" t="n">
        <v>2.7</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8500-2025</t>
        </is>
      </c>
      <c r="B1226" t="inlineStr">
        <is>
          <t>avverkningsanmälan</t>
        </is>
      </c>
      <c r="C1226" t="inlineStr">
        <is>
          <t>Föryngringsavverkning</t>
        </is>
      </c>
      <c r="D1226" s="1" t="n">
        <v>45709</v>
      </c>
      <c r="E1226" s="1" t="n">
        <v>46312</v>
      </c>
      <c r="F1226" t="inlineStr">
        <is>
          <t>SKÅNE LÄN</t>
        </is>
      </c>
      <c r="G1226" t="inlineStr">
        <is>
          <t>OSBY</t>
        </is>
      </c>
      <c r="H1226" t="inlineStr">
        <is>
          <t>Kommuner</t>
        </is>
      </c>
      <c r="I1226" t="n">
        <v>1.7</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16434-2025</t>
        </is>
      </c>
      <c r="B1227" t="inlineStr">
        <is>
          <t>avverkningsanmälan</t>
        </is>
      </c>
      <c r="C1227" t="inlineStr">
        <is>
          <t>Föryngringsavverkning</t>
        </is>
      </c>
      <c r="D1227" s="1" t="n">
        <v>45751</v>
      </c>
      <c r="E1227" s="1" t="n">
        <v>46312</v>
      </c>
      <c r="F1227" t="inlineStr">
        <is>
          <t>SKÅNE LÄN</t>
        </is>
      </c>
      <c r="G1227" t="inlineStr">
        <is>
          <t>HÖÖR</t>
        </is>
      </c>
      <c r="I1227" t="n">
        <v>0.9</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51245-2023</t>
        </is>
      </c>
      <c r="B1228" t="inlineStr">
        <is>
          <t>avverkningsanmälan</t>
        </is>
      </c>
      <c r="C1228" t="inlineStr">
        <is>
          <t>Föryngringsavverkning</t>
        </is>
      </c>
      <c r="D1228" s="1" t="n">
        <v>45212</v>
      </c>
      <c r="E1228" s="1" t="n">
        <v>46312</v>
      </c>
      <c r="F1228" t="inlineStr">
        <is>
          <t>SKÅNE LÄN</t>
        </is>
      </c>
      <c r="G1228" t="inlineStr">
        <is>
          <t>HÄSSLEHOLM</t>
        </is>
      </c>
      <c r="I1228" t="n">
        <v>2.1</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42454-2024</t>
        </is>
      </c>
      <c r="B1229" t="inlineStr">
        <is>
          <t>avverkningsanmälan</t>
        </is>
      </c>
      <c r="C1229" t="inlineStr">
        <is>
          <t>Föryngringsavverkning</t>
        </is>
      </c>
      <c r="D1229" s="1" t="n">
        <v>45565</v>
      </c>
      <c r="E1229" s="1" t="n">
        <v>46312</v>
      </c>
      <c r="F1229" t="inlineStr">
        <is>
          <t>SKÅNE LÄN</t>
        </is>
      </c>
      <c r="G1229" t="inlineStr">
        <is>
          <t>PERSTORP</t>
        </is>
      </c>
      <c r="I1229" t="n">
        <v>1.3</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33320-2023</t>
        </is>
      </c>
      <c r="B1230" t="inlineStr">
        <is>
          <t>avverkningsanmälan</t>
        </is>
      </c>
      <c r="C1230" t="inlineStr">
        <is>
          <t>Föryngringsavverkning</t>
        </is>
      </c>
      <c r="D1230" s="1" t="n">
        <v>45127</v>
      </c>
      <c r="E1230" s="1" t="n">
        <v>46312</v>
      </c>
      <c r="F1230" t="inlineStr">
        <is>
          <t>SKÅNE LÄN</t>
        </is>
      </c>
      <c r="G1230" t="inlineStr">
        <is>
          <t>KRISTIANSTAD</t>
        </is>
      </c>
      <c r="I1230" t="n">
        <v>1.4</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9716-2022</t>
        </is>
      </c>
      <c r="B1231" t="inlineStr">
        <is>
          <t>avverkningsanmälan</t>
        </is>
      </c>
      <c r="C1231" t="inlineStr">
        <is>
          <t>Föryngringsavverkning</t>
        </is>
      </c>
      <c r="D1231" s="1" t="n">
        <v>44617</v>
      </c>
      <c r="E1231" s="1" t="n">
        <v>46312</v>
      </c>
      <c r="F1231" t="inlineStr">
        <is>
          <t>SKÅNE LÄN</t>
        </is>
      </c>
      <c r="G1231" t="inlineStr">
        <is>
          <t>SVALÖV</t>
        </is>
      </c>
      <c r="I1231" t="n">
        <v>0.7</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18327-2025</t>
        </is>
      </c>
      <c r="B1232" t="inlineStr">
        <is>
          <t>avverkningsanmälan</t>
        </is>
      </c>
      <c r="C1232" t="inlineStr">
        <is>
          <t>Föryngringsavverkning</t>
        </is>
      </c>
      <c r="D1232" s="1" t="n">
        <v>45762</v>
      </c>
      <c r="E1232" s="1" t="n">
        <v>46312</v>
      </c>
      <c r="F1232" t="inlineStr">
        <is>
          <t>SKÅNE LÄN</t>
        </is>
      </c>
      <c r="G1232" t="inlineStr">
        <is>
          <t>BÅSTAD</t>
        </is>
      </c>
      <c r="I1232" t="n">
        <v>0.6</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17675-2023</t>
        </is>
      </c>
      <c r="B1233" t="inlineStr">
        <is>
          <t>avverkningsanmälan</t>
        </is>
      </c>
      <c r="C1233" t="inlineStr">
        <is>
          <t>Föryngringsavverkning</t>
        </is>
      </c>
      <c r="D1233" s="1" t="n">
        <v>45035</v>
      </c>
      <c r="E1233" s="1" t="n">
        <v>46312</v>
      </c>
      <c r="F1233" t="inlineStr">
        <is>
          <t>SKÅNE LÄN</t>
        </is>
      </c>
      <c r="G1233" t="inlineStr">
        <is>
          <t>OSBY</t>
        </is>
      </c>
      <c r="I1233" t="n">
        <v>1.9</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3198-2023</t>
        </is>
      </c>
      <c r="B1234" t="inlineStr">
        <is>
          <t>avverkningsanmälan</t>
        </is>
      </c>
      <c r="C1234" t="inlineStr">
        <is>
          <t>Föryngringsavverkning</t>
        </is>
      </c>
      <c r="D1234" s="1" t="n">
        <v>44944</v>
      </c>
      <c r="E1234" s="1" t="n">
        <v>46312</v>
      </c>
      <c r="F1234" t="inlineStr">
        <is>
          <t>SKÅNE LÄN</t>
        </is>
      </c>
      <c r="G1234" t="inlineStr">
        <is>
          <t>KLIPPAN</t>
        </is>
      </c>
      <c r="I1234" t="n">
        <v>2.1</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27961-2022</t>
        </is>
      </c>
      <c r="B1235" t="inlineStr">
        <is>
          <t>avverkningsanmälan</t>
        </is>
      </c>
      <c r="C1235" t="inlineStr">
        <is>
          <t>Föryngringsavverkning</t>
        </is>
      </c>
      <c r="D1235" s="1" t="n">
        <v>44744</v>
      </c>
      <c r="E1235" s="1" t="n">
        <v>46312</v>
      </c>
      <c r="F1235" t="inlineStr">
        <is>
          <t>SKÅNE LÄN</t>
        </is>
      </c>
      <c r="G1235" t="inlineStr">
        <is>
          <t>KRISTIANSTAD</t>
        </is>
      </c>
      <c r="I1235" t="n">
        <v>0.9</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17925-2024</t>
        </is>
      </c>
      <c r="B1236" t="inlineStr">
        <is>
          <t>avverkningsanmälan</t>
        </is>
      </c>
      <c r="C1236" t="inlineStr">
        <is>
          <t>Föryngringsavverkning</t>
        </is>
      </c>
      <c r="D1236" s="1" t="n">
        <v>45419</v>
      </c>
      <c r="E1236" s="1" t="n">
        <v>46312</v>
      </c>
      <c r="F1236" t="inlineStr">
        <is>
          <t>SKÅNE LÄN</t>
        </is>
      </c>
      <c r="G1236" t="inlineStr">
        <is>
          <t>KRISTIANSTAD</t>
        </is>
      </c>
      <c r="I1236" t="n">
        <v>0.7</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17824-2023</t>
        </is>
      </c>
      <c r="B1237" t="inlineStr">
        <is>
          <t>avverkningsanmälan</t>
        </is>
      </c>
      <c r="C1237" t="inlineStr">
        <is>
          <t>Föryngringsavverkning</t>
        </is>
      </c>
      <c r="D1237" s="1" t="n">
        <v>45037</v>
      </c>
      <c r="E1237" s="1" t="n">
        <v>46312</v>
      </c>
      <c r="F1237" t="inlineStr">
        <is>
          <t>SKÅNE LÄN</t>
        </is>
      </c>
      <c r="G1237" t="inlineStr">
        <is>
          <t>OSBY</t>
        </is>
      </c>
      <c r="I1237" t="n">
        <v>0.5</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59429-2023</t>
        </is>
      </c>
      <c r="B1238" t="inlineStr">
        <is>
          <t>avverkningsanmälan</t>
        </is>
      </c>
      <c r="C1238" t="inlineStr">
        <is>
          <t>Föryngringsavverkning</t>
        </is>
      </c>
      <c r="D1238" s="1" t="n">
        <v>45254</v>
      </c>
      <c r="E1238" s="1" t="n">
        <v>46312</v>
      </c>
      <c r="F1238" t="inlineStr">
        <is>
          <t>SKÅNE LÄN</t>
        </is>
      </c>
      <c r="G1238" t="inlineStr">
        <is>
          <t>HÄSSLEHOLM</t>
        </is>
      </c>
      <c r="I1238" t="n">
        <v>0</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45493-2024</t>
        </is>
      </c>
      <c r="B1239" t="inlineStr">
        <is>
          <t>avverkningsanmälan</t>
        </is>
      </c>
      <c r="C1239" t="inlineStr">
        <is>
          <t>Föryngringsavverkning</t>
        </is>
      </c>
      <c r="D1239" s="1" t="n">
        <v>45577</v>
      </c>
      <c r="E1239" s="1" t="n">
        <v>46312</v>
      </c>
      <c r="F1239" t="inlineStr">
        <is>
          <t>SKÅNE LÄN</t>
        </is>
      </c>
      <c r="G1239" t="inlineStr">
        <is>
          <t>KRISTIANSTAD</t>
        </is>
      </c>
      <c r="I1239" t="n">
        <v>4.5</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34051-2024</t>
        </is>
      </c>
      <c r="B1240" t="inlineStr">
        <is>
          <t>avverkningsanmälan</t>
        </is>
      </c>
      <c r="C1240" t="inlineStr">
        <is>
          <t>Föryngringsavverkning</t>
        </is>
      </c>
      <c r="D1240" s="1" t="n">
        <v>45523</v>
      </c>
      <c r="E1240" s="1" t="n">
        <v>46312</v>
      </c>
      <c r="F1240" t="inlineStr">
        <is>
          <t>SKÅNE LÄN</t>
        </is>
      </c>
      <c r="G1240" t="inlineStr">
        <is>
          <t>KLIPPAN</t>
        </is>
      </c>
      <c r="I1240" t="n">
        <v>1.4</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31934-2024</t>
        </is>
      </c>
      <c r="B1241" t="inlineStr">
        <is>
          <t>avverkningsanmälan</t>
        </is>
      </c>
      <c r="C1241" t="inlineStr">
        <is>
          <t>Föryngringsavverkning</t>
        </is>
      </c>
      <c r="D1241" s="1" t="n">
        <v>45510</v>
      </c>
      <c r="E1241" s="1" t="n">
        <v>46312</v>
      </c>
      <c r="F1241" t="inlineStr">
        <is>
          <t>SKÅNE LÄN</t>
        </is>
      </c>
      <c r="G1241" t="inlineStr">
        <is>
          <t>HÄSSLEHOLM</t>
        </is>
      </c>
      <c r="I1241" t="n">
        <v>1.9</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34931-2023</t>
        </is>
      </c>
      <c r="B1242" t="inlineStr">
        <is>
          <t>avverkningsanmälan</t>
        </is>
      </c>
      <c r="C1242" t="inlineStr">
        <is>
          <t>Avverkning för annat ändamål</t>
        </is>
      </c>
      <c r="D1242" s="1" t="n">
        <v>45142</v>
      </c>
      <c r="E1242" s="1" t="n">
        <v>46312</v>
      </c>
      <c r="F1242" t="inlineStr">
        <is>
          <t>SKÅNE LÄN</t>
        </is>
      </c>
      <c r="G1242" t="inlineStr">
        <is>
          <t>ÖSTRA GÖINGE</t>
        </is>
      </c>
      <c r="I1242" t="n">
        <v>0.5</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24028-2022</t>
        </is>
      </c>
      <c r="B1243" t="inlineStr">
        <is>
          <t>avverkningsanmälan</t>
        </is>
      </c>
      <c r="C1243" t="inlineStr">
        <is>
          <t>Avverkning för annat ändamål</t>
        </is>
      </c>
      <c r="D1243" s="1" t="n">
        <v>44723</v>
      </c>
      <c r="E1243" s="1" t="n">
        <v>46312</v>
      </c>
      <c r="F1243" t="inlineStr">
        <is>
          <t>SKÅNE LÄN</t>
        </is>
      </c>
      <c r="G1243" t="inlineStr">
        <is>
          <t>ÖSTRA GÖINGE</t>
        </is>
      </c>
      <c r="I1243" t="n">
        <v>0.8</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60959-2022</t>
        </is>
      </c>
      <c r="B1244" t="inlineStr">
        <is>
          <t>avverkningsanmälan</t>
        </is>
      </c>
      <c r="C1244" t="inlineStr">
        <is>
          <t>Föryngringsavverkning</t>
        </is>
      </c>
      <c r="D1244" s="1" t="n">
        <v>44914</v>
      </c>
      <c r="E1244" s="1" t="n">
        <v>46312</v>
      </c>
      <c r="F1244" t="inlineStr">
        <is>
          <t>SKÅNE LÄN</t>
        </is>
      </c>
      <c r="G1244" t="inlineStr">
        <is>
          <t>HÄSSLEHOLM</t>
        </is>
      </c>
      <c r="I1244" t="n">
        <v>0.9</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53868-2022</t>
        </is>
      </c>
      <c r="B1245" t="inlineStr">
        <is>
          <t>avverkningsanmälan</t>
        </is>
      </c>
      <c r="C1245" t="inlineStr">
        <is>
          <t>Föryngringsavverkning</t>
        </is>
      </c>
      <c r="D1245" s="1" t="n">
        <v>44880</v>
      </c>
      <c r="E1245" s="1" t="n">
        <v>46312</v>
      </c>
      <c r="F1245" t="inlineStr">
        <is>
          <t>SKÅNE LÄN</t>
        </is>
      </c>
      <c r="G1245" t="inlineStr">
        <is>
          <t>KLIPPAN</t>
        </is>
      </c>
      <c r="I1245" t="n">
        <v>7.6</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11101-2023</t>
        </is>
      </c>
      <c r="B1246" t="inlineStr">
        <is>
          <t>avverkningsanmälan</t>
        </is>
      </c>
      <c r="C1246" t="inlineStr">
        <is>
          <t>Föryngringsavverkning</t>
        </is>
      </c>
      <c r="D1246" s="1" t="n">
        <v>44986</v>
      </c>
      <c r="E1246" s="1" t="n">
        <v>46312</v>
      </c>
      <c r="F1246" t="inlineStr">
        <is>
          <t>SKÅNE LÄN</t>
        </is>
      </c>
      <c r="G1246" t="inlineStr">
        <is>
          <t>SVALÖV</t>
        </is>
      </c>
      <c r="I1246" t="n">
        <v>1.5</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37757-2024</t>
        </is>
      </c>
      <c r="B1247" t="inlineStr">
        <is>
          <t>avverkningsanmälan</t>
        </is>
      </c>
      <c r="C1247" t="inlineStr">
        <is>
          <t>Föryngringsavverkning</t>
        </is>
      </c>
      <c r="D1247" s="1" t="n">
        <v>45541</v>
      </c>
      <c r="E1247" s="1" t="n">
        <v>46312</v>
      </c>
      <c r="F1247" t="inlineStr">
        <is>
          <t>SKÅNE LÄN</t>
        </is>
      </c>
      <c r="G1247" t="inlineStr">
        <is>
          <t>HÖRBY</t>
        </is>
      </c>
      <c r="I1247" t="n">
        <v>0.7</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39455-2024</t>
        </is>
      </c>
      <c r="B1248" t="inlineStr">
        <is>
          <t>avverkningsanmälan</t>
        </is>
      </c>
      <c r="C1248" t="inlineStr">
        <is>
          <t>Avverkning för annat ändamål</t>
        </is>
      </c>
      <c r="D1248" s="1" t="n">
        <v>45551</v>
      </c>
      <c r="E1248" s="1" t="n">
        <v>46312</v>
      </c>
      <c r="F1248" t="inlineStr">
        <is>
          <t>SKÅNE LÄN</t>
        </is>
      </c>
      <c r="G1248" t="inlineStr">
        <is>
          <t>BROMÖLLA</t>
        </is>
      </c>
      <c r="I1248" t="n">
        <v>1.4</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10379-2024</t>
        </is>
      </c>
      <c r="B1249" t="inlineStr">
        <is>
          <t>avverkningsanmälan</t>
        </is>
      </c>
      <c r="C1249" t="inlineStr">
        <is>
          <t>Föryngringsavverkning</t>
        </is>
      </c>
      <c r="D1249" s="1" t="n">
        <v>45365</v>
      </c>
      <c r="E1249" s="1" t="n">
        <v>46312</v>
      </c>
      <c r="F1249" t="inlineStr">
        <is>
          <t>SKÅNE LÄN</t>
        </is>
      </c>
      <c r="G1249" t="inlineStr">
        <is>
          <t>ÖRKELLJUNGA</t>
        </is>
      </c>
      <c r="I1249" t="n">
        <v>0.6</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1468-2022</t>
        </is>
      </c>
      <c r="B1250" t="inlineStr">
        <is>
          <t>avverkningsanmälan</t>
        </is>
      </c>
      <c r="C1250" t="inlineStr">
        <is>
          <t>Föryngringsavverkning</t>
        </is>
      </c>
      <c r="D1250" s="1" t="n">
        <v>44573</v>
      </c>
      <c r="E1250" s="1" t="n">
        <v>46312</v>
      </c>
      <c r="F1250" t="inlineStr">
        <is>
          <t>SKÅNE LÄN</t>
        </is>
      </c>
      <c r="G1250" t="inlineStr">
        <is>
          <t>KÄVLINGE</t>
        </is>
      </c>
      <c r="I1250" t="n">
        <v>1.8</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25393-2023</t>
        </is>
      </c>
      <c r="B1251" t="inlineStr">
        <is>
          <t>avverkningsanmälan</t>
        </is>
      </c>
      <c r="C1251" t="inlineStr">
        <is>
          <t>Föryngringsavverkning</t>
        </is>
      </c>
      <c r="D1251" s="1" t="n">
        <v>45079</v>
      </c>
      <c r="E1251" s="1" t="n">
        <v>46312</v>
      </c>
      <c r="F1251" t="inlineStr">
        <is>
          <t>SKÅNE LÄN</t>
        </is>
      </c>
      <c r="G1251" t="inlineStr">
        <is>
          <t>KLIPPAN</t>
        </is>
      </c>
      <c r="I1251" t="n">
        <v>2.8</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52876-2024</t>
        </is>
      </c>
      <c r="B1252" t="inlineStr">
        <is>
          <t>avverkningsanmälan</t>
        </is>
      </c>
      <c r="C1252" t="inlineStr">
        <is>
          <t>Föryngringsavverkning</t>
        </is>
      </c>
      <c r="D1252" s="1" t="n">
        <v>45610</v>
      </c>
      <c r="E1252" s="1" t="n">
        <v>46312</v>
      </c>
      <c r="F1252" t="inlineStr">
        <is>
          <t>SKÅNE LÄN</t>
        </is>
      </c>
      <c r="G1252" t="inlineStr">
        <is>
          <t>ÖRKELLJUNGA</t>
        </is>
      </c>
      <c r="I1252" t="n">
        <v>1.2</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20187-2023</t>
        </is>
      </c>
      <c r="B1253" t="inlineStr">
        <is>
          <t>avverkningsanmälan</t>
        </is>
      </c>
      <c r="C1253" t="inlineStr">
        <is>
          <t>Föryngringsavverkning</t>
        </is>
      </c>
      <c r="D1253" s="1" t="n">
        <v>45055</v>
      </c>
      <c r="E1253" s="1" t="n">
        <v>46312</v>
      </c>
      <c r="F1253" t="inlineStr">
        <is>
          <t>SKÅNE LÄN</t>
        </is>
      </c>
      <c r="G1253" t="inlineStr">
        <is>
          <t>HÄSSLEHOLM</t>
        </is>
      </c>
      <c r="I1253" t="n">
        <v>1.8</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62425-2023</t>
        </is>
      </c>
      <c r="B1254" t="inlineStr">
        <is>
          <t>avverkningsanmälan</t>
        </is>
      </c>
      <c r="C1254" t="inlineStr">
        <is>
          <t>Föryngringsavverkning</t>
        </is>
      </c>
      <c r="D1254" s="1" t="n">
        <v>45268</v>
      </c>
      <c r="E1254" s="1" t="n">
        <v>46312</v>
      </c>
      <c r="F1254" t="inlineStr">
        <is>
          <t>SKÅNE LÄN</t>
        </is>
      </c>
      <c r="G1254" t="inlineStr">
        <is>
          <t>OSBY</t>
        </is>
      </c>
      <c r="I1254" t="n">
        <v>0.9</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1833-2024</t>
        </is>
      </c>
      <c r="B1255" t="inlineStr">
        <is>
          <t>avverkningsanmälan</t>
        </is>
      </c>
      <c r="C1255" t="inlineStr">
        <is>
          <t>Föryngringsavverkning</t>
        </is>
      </c>
      <c r="D1255" s="1" t="n">
        <v>45307</v>
      </c>
      <c r="E1255" s="1" t="n">
        <v>46312</v>
      </c>
      <c r="F1255" t="inlineStr">
        <is>
          <t>SKÅNE LÄN</t>
        </is>
      </c>
      <c r="G1255" t="inlineStr">
        <is>
          <t>KRISTIANSTAD</t>
        </is>
      </c>
      <c r="I1255" t="n">
        <v>1.6</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1837-2024</t>
        </is>
      </c>
      <c r="B1256" t="inlineStr">
        <is>
          <t>avverkningsanmälan</t>
        </is>
      </c>
      <c r="C1256" t="inlineStr">
        <is>
          <t>Föryngringsavverkning</t>
        </is>
      </c>
      <c r="D1256" s="1" t="n">
        <v>45307</v>
      </c>
      <c r="E1256" s="1" t="n">
        <v>46312</v>
      </c>
      <c r="F1256" t="inlineStr">
        <is>
          <t>SKÅNE LÄN</t>
        </is>
      </c>
      <c r="G1256" t="inlineStr">
        <is>
          <t>ÖSTRA GÖINGE</t>
        </is>
      </c>
      <c r="I1256" t="n">
        <v>4.4</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30089-2023</t>
        </is>
      </c>
      <c r="B1257" t="inlineStr">
        <is>
          <t>avverkningsanmälan</t>
        </is>
      </c>
      <c r="C1257" t="inlineStr">
        <is>
          <t>Föryngringsavverkning</t>
        </is>
      </c>
      <c r="D1257" s="1" t="n">
        <v>45110</v>
      </c>
      <c r="E1257" s="1" t="n">
        <v>46312</v>
      </c>
      <c r="F1257" t="inlineStr">
        <is>
          <t>SKÅNE LÄN</t>
        </is>
      </c>
      <c r="G1257" t="inlineStr">
        <is>
          <t>BROMÖLLA</t>
        </is>
      </c>
      <c r="I1257" t="n">
        <v>1</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46772-2023</t>
        </is>
      </c>
      <c r="B1258" t="inlineStr">
        <is>
          <t>avverkningsanmälan</t>
        </is>
      </c>
      <c r="C1258" t="inlineStr">
        <is>
          <t>Föryngringsavverkning</t>
        </is>
      </c>
      <c r="D1258" s="1" t="n">
        <v>45198</v>
      </c>
      <c r="E1258" s="1" t="n">
        <v>46312</v>
      </c>
      <c r="F1258" t="inlineStr">
        <is>
          <t>SKÅNE LÄN</t>
        </is>
      </c>
      <c r="G1258" t="inlineStr">
        <is>
          <t>KRISTIANSTAD</t>
        </is>
      </c>
      <c r="I1258" t="n">
        <v>2.7</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45572-2022</t>
        </is>
      </c>
      <c r="B1259" t="inlineStr">
        <is>
          <t>avverkningsanmälan</t>
        </is>
      </c>
      <c r="C1259" t="inlineStr">
        <is>
          <t>Föryngringsavverkning</t>
        </is>
      </c>
      <c r="D1259" s="1" t="n">
        <v>44845</v>
      </c>
      <c r="E1259" s="1" t="n">
        <v>46312</v>
      </c>
      <c r="F1259" t="inlineStr">
        <is>
          <t>SKÅNE LÄN</t>
        </is>
      </c>
      <c r="G1259" t="inlineStr">
        <is>
          <t>ÖSTRA GÖINGE</t>
        </is>
      </c>
      <c r="I1259" t="n">
        <v>10.4</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11266-2025</t>
        </is>
      </c>
      <c r="B1260" t="inlineStr">
        <is>
          <t>avverkningsanmälan</t>
        </is>
      </c>
      <c r="C1260" t="inlineStr">
        <is>
          <t>Föryngringsavverkning</t>
        </is>
      </c>
      <c r="D1260" s="1" t="n">
        <v>45726</v>
      </c>
      <c r="E1260" s="1" t="n">
        <v>46312</v>
      </c>
      <c r="F1260" t="inlineStr">
        <is>
          <t>SKÅNE LÄN</t>
        </is>
      </c>
      <c r="G1260" t="inlineStr">
        <is>
          <t>HÄSSLEHOLM</t>
        </is>
      </c>
      <c r="I1260" t="n">
        <v>0.3</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42906-2022</t>
        </is>
      </c>
      <c r="B1261" t="inlineStr">
        <is>
          <t>avverkningsanmälan</t>
        </is>
      </c>
      <c r="C1261" t="inlineStr">
        <is>
          <t>Föryngringsavverkning</t>
        </is>
      </c>
      <c r="D1261" s="1" t="n">
        <v>44833</v>
      </c>
      <c r="E1261" s="1" t="n">
        <v>46312</v>
      </c>
      <c r="F1261" t="inlineStr">
        <is>
          <t>SKÅNE LÄN</t>
        </is>
      </c>
      <c r="G1261" t="inlineStr">
        <is>
          <t>HÄSSLEHOLM</t>
        </is>
      </c>
      <c r="I1261" t="n">
        <v>1.1</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30112-2023</t>
        </is>
      </c>
      <c r="B1262" t="inlineStr">
        <is>
          <t>avverkningsanmälan</t>
        </is>
      </c>
      <c r="C1262" t="inlineStr">
        <is>
          <t>Föryngringsavverkning</t>
        </is>
      </c>
      <c r="D1262" s="1" t="n">
        <v>45110</v>
      </c>
      <c r="E1262" s="1" t="n">
        <v>46312</v>
      </c>
      <c r="F1262" t="inlineStr">
        <is>
          <t>SKÅNE LÄN</t>
        </is>
      </c>
      <c r="G1262" t="inlineStr">
        <is>
          <t>BROMÖLLA</t>
        </is>
      </c>
      <c r="I1262" t="n">
        <v>1.6</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1152-2025</t>
        </is>
      </c>
      <c r="B1263" t="inlineStr">
        <is>
          <t>avverkningsanmälan</t>
        </is>
      </c>
      <c r="C1263" t="inlineStr">
        <is>
          <t>Föryngringsavverkning</t>
        </is>
      </c>
      <c r="D1263" s="1" t="n">
        <v>45666</v>
      </c>
      <c r="E1263" s="1" t="n">
        <v>46312</v>
      </c>
      <c r="F1263" t="inlineStr">
        <is>
          <t>SKÅNE LÄN</t>
        </is>
      </c>
      <c r="G1263" t="inlineStr">
        <is>
          <t>OSBY</t>
        </is>
      </c>
      <c r="I1263" t="n">
        <v>0.4</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6842-2023</t>
        </is>
      </c>
      <c r="B1264" t="inlineStr">
        <is>
          <t>avverkningsanmälan</t>
        </is>
      </c>
      <c r="C1264" t="inlineStr">
        <is>
          <t>Föryngringsavverkning</t>
        </is>
      </c>
      <c r="D1264" s="1" t="n">
        <v>44967</v>
      </c>
      <c r="E1264" s="1" t="n">
        <v>46312</v>
      </c>
      <c r="F1264" t="inlineStr">
        <is>
          <t>SKÅNE LÄN</t>
        </is>
      </c>
      <c r="G1264" t="inlineStr">
        <is>
          <t>HÄSSLEHOLM</t>
        </is>
      </c>
      <c r="I1264" t="n">
        <v>1.9</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55389-2023</t>
        </is>
      </c>
      <c r="B1265" t="inlineStr">
        <is>
          <t>avverkningsanmälan</t>
        </is>
      </c>
      <c r="C1265" t="inlineStr">
        <is>
          <t>Avverkning för annat ändamål</t>
        </is>
      </c>
      <c r="D1265" s="1" t="n">
        <v>45238</v>
      </c>
      <c r="E1265" s="1" t="n">
        <v>46312</v>
      </c>
      <c r="F1265" t="inlineStr">
        <is>
          <t>SKÅNE LÄN</t>
        </is>
      </c>
      <c r="G1265" t="inlineStr">
        <is>
          <t>OSBY</t>
        </is>
      </c>
      <c r="I1265" t="n">
        <v>1.1</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54959-2022</t>
        </is>
      </c>
      <c r="B1266" t="inlineStr">
        <is>
          <t>avverkningsanmälan</t>
        </is>
      </c>
      <c r="C1266" t="inlineStr">
        <is>
          <t>Föryngringsavverkning</t>
        </is>
      </c>
      <c r="D1266" s="1" t="n">
        <v>44886</v>
      </c>
      <c r="E1266" s="1" t="n">
        <v>46312</v>
      </c>
      <c r="F1266" t="inlineStr">
        <is>
          <t>SKÅNE LÄN</t>
        </is>
      </c>
      <c r="G1266" t="inlineStr">
        <is>
          <t>SJÖBO</t>
        </is>
      </c>
      <c r="I1266" t="n">
        <v>6.4</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33592-2023</t>
        </is>
      </c>
      <c r="B1267" t="inlineStr">
        <is>
          <t>avverkningsanmälan</t>
        </is>
      </c>
      <c r="C1267" t="inlineStr">
        <is>
          <t>Avverkning för annat ändamål</t>
        </is>
      </c>
      <c r="D1267" s="1" t="n">
        <v>45132</v>
      </c>
      <c r="E1267" s="1" t="n">
        <v>46312</v>
      </c>
      <c r="F1267" t="inlineStr">
        <is>
          <t>SKÅNE LÄN</t>
        </is>
      </c>
      <c r="G1267" t="inlineStr">
        <is>
          <t>KRISTIANSTAD</t>
        </is>
      </c>
      <c r="I1267" t="n">
        <v>1.8</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31931-2024</t>
        </is>
      </c>
      <c r="B1268" t="inlineStr">
        <is>
          <t>avverkningsanmälan</t>
        </is>
      </c>
      <c r="C1268" t="inlineStr">
        <is>
          <t>Föryngringsavverkning</t>
        </is>
      </c>
      <c r="D1268" s="1" t="n">
        <v>45510</v>
      </c>
      <c r="E1268" s="1" t="n">
        <v>46312</v>
      </c>
      <c r="F1268" t="inlineStr">
        <is>
          <t>SKÅNE LÄN</t>
        </is>
      </c>
      <c r="G1268" t="inlineStr">
        <is>
          <t>HÄSSLEHOLM</t>
        </is>
      </c>
      <c r="I1268" t="n">
        <v>0.5</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38046-2024</t>
        </is>
      </c>
      <c r="B1269" t="inlineStr">
        <is>
          <t>avverkningsanmälan</t>
        </is>
      </c>
      <c r="C1269" t="inlineStr">
        <is>
          <t>Föryngringsavverkning</t>
        </is>
      </c>
      <c r="D1269" s="1" t="n">
        <v>45544</v>
      </c>
      <c r="E1269" s="1" t="n">
        <v>46312</v>
      </c>
      <c r="F1269" t="inlineStr">
        <is>
          <t>SKÅNE LÄN</t>
        </is>
      </c>
      <c r="G1269" t="inlineStr">
        <is>
          <t>KRISTIANSTAD</t>
        </is>
      </c>
      <c r="I1269" t="n">
        <v>0.8</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31092-2023</t>
        </is>
      </c>
      <c r="B1270" t="inlineStr">
        <is>
          <t>avverkningsanmälan</t>
        </is>
      </c>
      <c r="C1270" t="inlineStr">
        <is>
          <t>Avverkning för annat ändamål</t>
        </is>
      </c>
      <c r="D1270" s="1" t="n">
        <v>45113</v>
      </c>
      <c r="E1270" s="1" t="n">
        <v>46312</v>
      </c>
      <c r="F1270" t="inlineStr">
        <is>
          <t>SKÅNE LÄN</t>
        </is>
      </c>
      <c r="G1270" t="inlineStr">
        <is>
          <t>HÖÖR</t>
        </is>
      </c>
      <c r="I1270" t="n">
        <v>7.8</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31596-2023</t>
        </is>
      </c>
      <c r="B1271" t="inlineStr">
        <is>
          <t>avverkningsanmälan</t>
        </is>
      </c>
      <c r="C1271" t="inlineStr">
        <is>
          <t>Föryngringsavverkning</t>
        </is>
      </c>
      <c r="D1271" s="1" t="n">
        <v>45117</v>
      </c>
      <c r="E1271" s="1" t="n">
        <v>46312</v>
      </c>
      <c r="F1271" t="inlineStr">
        <is>
          <t>SKÅNE LÄN</t>
        </is>
      </c>
      <c r="G1271" t="inlineStr">
        <is>
          <t>HÖRBY</t>
        </is>
      </c>
      <c r="I1271" t="n">
        <v>0.5</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6667-2025</t>
        </is>
      </c>
      <c r="B1272" t="inlineStr">
        <is>
          <t>avverkningsanmälan</t>
        </is>
      </c>
      <c r="C1272" t="inlineStr">
        <is>
          <t>Föryngringsavverkning</t>
        </is>
      </c>
      <c r="D1272" s="1" t="n">
        <v>45700</v>
      </c>
      <c r="E1272" s="1" t="n">
        <v>46312</v>
      </c>
      <c r="F1272" t="inlineStr">
        <is>
          <t>SKÅNE LÄN</t>
        </is>
      </c>
      <c r="G1272" t="inlineStr">
        <is>
          <t>ÄNGELHOLM</t>
        </is>
      </c>
      <c r="I1272" t="n">
        <v>0.5</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15133-2023</t>
        </is>
      </c>
      <c r="B1273" t="inlineStr">
        <is>
          <t>avverkningsanmälan</t>
        </is>
      </c>
      <c r="C1273" t="inlineStr">
        <is>
          <t>Föryngringsavverkning</t>
        </is>
      </c>
      <c r="D1273" s="1" t="n">
        <v>45016</v>
      </c>
      <c r="E1273" s="1" t="n">
        <v>46312</v>
      </c>
      <c r="F1273" t="inlineStr">
        <is>
          <t>SKÅNE LÄN</t>
        </is>
      </c>
      <c r="G1273" t="inlineStr">
        <is>
          <t>HÄSSLEHOLM</t>
        </is>
      </c>
      <c r="I1273" t="n">
        <v>7.8</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15143-2023</t>
        </is>
      </c>
      <c r="B1274" t="inlineStr">
        <is>
          <t>avverkningsanmälan</t>
        </is>
      </c>
      <c r="C1274" t="inlineStr">
        <is>
          <t>Föryngringsavverkning</t>
        </is>
      </c>
      <c r="D1274" s="1" t="n">
        <v>45015</v>
      </c>
      <c r="E1274" s="1" t="n">
        <v>46312</v>
      </c>
      <c r="F1274" t="inlineStr">
        <is>
          <t>SKÅNE LÄN</t>
        </is>
      </c>
      <c r="G1274" t="inlineStr">
        <is>
          <t>OSBY</t>
        </is>
      </c>
      <c r="H1274" t="inlineStr">
        <is>
          <t>Naturvårdsverket</t>
        </is>
      </c>
      <c r="I1274" t="n">
        <v>2.3</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23740-2023</t>
        </is>
      </c>
      <c r="B1275" t="inlineStr">
        <is>
          <t>avverkningsanmälan</t>
        </is>
      </c>
      <c r="C1275" t="inlineStr">
        <is>
          <t>Föryngringsavverkning</t>
        </is>
      </c>
      <c r="D1275" s="1" t="n">
        <v>45077</v>
      </c>
      <c r="E1275" s="1" t="n">
        <v>46312</v>
      </c>
      <c r="F1275" t="inlineStr">
        <is>
          <t>SKÅNE LÄN</t>
        </is>
      </c>
      <c r="G1275" t="inlineStr">
        <is>
          <t>ÖRKELLJUNGA</t>
        </is>
      </c>
      <c r="I1275" t="n">
        <v>2.1</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34883-2023</t>
        </is>
      </c>
      <c r="B1276" t="inlineStr">
        <is>
          <t>avverkningsanmälan</t>
        </is>
      </c>
      <c r="C1276" t="inlineStr">
        <is>
          <t>Föryngringsavverkning</t>
        </is>
      </c>
      <c r="D1276" s="1" t="n">
        <v>45142</v>
      </c>
      <c r="E1276" s="1" t="n">
        <v>46312</v>
      </c>
      <c r="F1276" t="inlineStr">
        <is>
          <t>SKÅNE LÄN</t>
        </is>
      </c>
      <c r="G1276" t="inlineStr">
        <is>
          <t>HÄSSLEHOLM</t>
        </is>
      </c>
      <c r="I1276" t="n">
        <v>2.5</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26397-2023</t>
        </is>
      </c>
      <c r="B1277" t="inlineStr">
        <is>
          <t>avverkningsanmälan</t>
        </is>
      </c>
      <c r="C1277" t="inlineStr">
        <is>
          <t>Föryngringsavverkning</t>
        </is>
      </c>
      <c r="D1277" s="1" t="n">
        <v>45087</v>
      </c>
      <c r="E1277" s="1" t="n">
        <v>46312</v>
      </c>
      <c r="F1277" t="inlineStr">
        <is>
          <t>SKÅNE LÄN</t>
        </is>
      </c>
      <c r="G1277" t="inlineStr">
        <is>
          <t>HÄSSLEHOLM</t>
        </is>
      </c>
      <c r="I1277" t="n">
        <v>1.7</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3258-2023</t>
        </is>
      </c>
      <c r="B1278" t="inlineStr">
        <is>
          <t>avverkningsanmälan</t>
        </is>
      </c>
      <c r="C1278" t="inlineStr">
        <is>
          <t>Avverkning för annat ändamål</t>
        </is>
      </c>
      <c r="D1278" s="1" t="n">
        <v>44948</v>
      </c>
      <c r="E1278" s="1" t="n">
        <v>46312</v>
      </c>
      <c r="F1278" t="inlineStr">
        <is>
          <t>SKÅNE LÄN</t>
        </is>
      </c>
      <c r="G1278" t="inlineStr">
        <is>
          <t>SJÖBO</t>
        </is>
      </c>
      <c r="I1278" t="n">
        <v>0.7</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1119-2024</t>
        </is>
      </c>
      <c r="B1279" t="inlineStr">
        <is>
          <t>avverkningsanmälan</t>
        </is>
      </c>
      <c r="C1279" t="inlineStr">
        <is>
          <t>Föryngringsavverkning</t>
        </is>
      </c>
      <c r="D1279" s="1" t="n">
        <v>45302</v>
      </c>
      <c r="E1279" s="1" t="n">
        <v>46312</v>
      </c>
      <c r="F1279" t="inlineStr">
        <is>
          <t>SKÅNE LÄN</t>
        </is>
      </c>
      <c r="G1279" t="inlineStr">
        <is>
          <t>HÄSSLEHOLM</t>
        </is>
      </c>
      <c r="I1279" t="n">
        <v>0.8</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16287-2023</t>
        </is>
      </c>
      <c r="B1280" t="inlineStr">
        <is>
          <t>avverkningsanmälan</t>
        </is>
      </c>
      <c r="C1280" t="inlineStr">
        <is>
          <t>Föryngringsavverkning</t>
        </is>
      </c>
      <c r="D1280" s="1" t="n">
        <v>45022</v>
      </c>
      <c r="E1280" s="1" t="n">
        <v>46312</v>
      </c>
      <c r="F1280" t="inlineStr">
        <is>
          <t>SKÅNE LÄN</t>
        </is>
      </c>
      <c r="G1280" t="inlineStr">
        <is>
          <t>ÖSTRA GÖINGE</t>
        </is>
      </c>
      <c r="I1280" t="n">
        <v>3.6</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2593-2024</t>
        </is>
      </c>
      <c r="B1281" t="inlineStr">
        <is>
          <t>avverkningsanmälan</t>
        </is>
      </c>
      <c r="C1281" t="inlineStr">
        <is>
          <t>Föryngringsavverkning</t>
        </is>
      </c>
      <c r="D1281" s="1" t="n">
        <v>45313</v>
      </c>
      <c r="E1281" s="1" t="n">
        <v>46312</v>
      </c>
      <c r="F1281" t="inlineStr">
        <is>
          <t>SKÅNE LÄN</t>
        </is>
      </c>
      <c r="G1281" t="inlineStr">
        <is>
          <t>HELSINGBORG</t>
        </is>
      </c>
      <c r="I1281" t="n">
        <v>2.3</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42399-2023</t>
        </is>
      </c>
      <c r="B1282" t="inlineStr">
        <is>
          <t>avverkningsanmälan</t>
        </is>
      </c>
      <c r="C1282" t="inlineStr">
        <is>
          <t>Föryngringsavverkning</t>
        </is>
      </c>
      <c r="D1282" s="1" t="n">
        <v>45180</v>
      </c>
      <c r="E1282" s="1" t="n">
        <v>46312</v>
      </c>
      <c r="F1282" t="inlineStr">
        <is>
          <t>SKÅNE LÄN</t>
        </is>
      </c>
      <c r="G1282" t="inlineStr">
        <is>
          <t>ÖSTRA GÖINGE</t>
        </is>
      </c>
      <c r="I1282" t="n">
        <v>4</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58888-2024</t>
        </is>
      </c>
      <c r="B1283" t="inlineStr">
        <is>
          <t>avverkningsanmälan</t>
        </is>
      </c>
      <c r="C1283" t="inlineStr">
        <is>
          <t>Föryngringsavverkning</t>
        </is>
      </c>
      <c r="D1283" s="1" t="n">
        <v>45636</v>
      </c>
      <c r="E1283" s="1" t="n">
        <v>46312</v>
      </c>
      <c r="F1283" t="inlineStr">
        <is>
          <t>SKÅNE LÄN</t>
        </is>
      </c>
      <c r="G1283" t="inlineStr">
        <is>
          <t>HÄSSLEHOLM</t>
        </is>
      </c>
      <c r="I1283" t="n">
        <v>0.8</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1566-2024</t>
        </is>
      </c>
      <c r="B1284" t="inlineStr">
        <is>
          <t>avverkningsanmälan</t>
        </is>
      </c>
      <c r="C1284" t="inlineStr">
        <is>
          <t>Föryngringsavverkning</t>
        </is>
      </c>
      <c r="D1284" s="1" t="n">
        <v>45306</v>
      </c>
      <c r="E1284" s="1" t="n">
        <v>46312</v>
      </c>
      <c r="F1284" t="inlineStr">
        <is>
          <t>SKÅNE LÄN</t>
        </is>
      </c>
      <c r="G1284" t="inlineStr">
        <is>
          <t>BROMÖLLA</t>
        </is>
      </c>
      <c r="I1284" t="n">
        <v>1.2</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1592-2024</t>
        </is>
      </c>
      <c r="B1285" t="inlineStr">
        <is>
          <t>avverkningsanmälan</t>
        </is>
      </c>
      <c r="C1285" t="inlineStr">
        <is>
          <t>Föryngringsavverkning</t>
        </is>
      </c>
      <c r="D1285" s="1" t="n">
        <v>45306</v>
      </c>
      <c r="E1285" s="1" t="n">
        <v>46312</v>
      </c>
      <c r="F1285" t="inlineStr">
        <is>
          <t>SKÅNE LÄN</t>
        </is>
      </c>
      <c r="G1285" t="inlineStr">
        <is>
          <t>SVALÖV</t>
        </is>
      </c>
      <c r="I1285" t="n">
        <v>2.2</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16334-2024</t>
        </is>
      </c>
      <c r="B1286" t="inlineStr">
        <is>
          <t>avverkningsanmälan</t>
        </is>
      </c>
      <c r="C1286" t="inlineStr">
        <is>
          <t>Föryngringsavverkning</t>
        </is>
      </c>
      <c r="D1286" s="1" t="n">
        <v>45407</v>
      </c>
      <c r="E1286" s="1" t="n">
        <v>46312</v>
      </c>
      <c r="F1286" t="inlineStr">
        <is>
          <t>SKÅNE LÄN</t>
        </is>
      </c>
      <c r="G1286" t="inlineStr">
        <is>
          <t>HÄSSLEHOLM</t>
        </is>
      </c>
      <c r="I1286" t="n">
        <v>0.6</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3663-2024</t>
        </is>
      </c>
      <c r="B1287" t="inlineStr">
        <is>
          <t>avverkningsanmälan</t>
        </is>
      </c>
      <c r="C1287" t="inlineStr">
        <is>
          <t>Föryngringsavverkning</t>
        </is>
      </c>
      <c r="D1287" s="1" t="n">
        <v>45321</v>
      </c>
      <c r="E1287" s="1" t="n">
        <v>46312</v>
      </c>
      <c r="F1287" t="inlineStr">
        <is>
          <t>SKÅNE LÄN</t>
        </is>
      </c>
      <c r="G1287" t="inlineStr">
        <is>
          <t>HÄSSLEHOLM</t>
        </is>
      </c>
      <c r="I1287" t="n">
        <v>0.4</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45764-2022</t>
        </is>
      </c>
      <c r="B1288" t="inlineStr">
        <is>
          <t>avverkningsanmälan</t>
        </is>
      </c>
      <c r="C1288" t="inlineStr">
        <is>
          <t>Föryngringsavverkning</t>
        </is>
      </c>
      <c r="D1288" s="1" t="n">
        <v>44846</v>
      </c>
      <c r="E1288" s="1" t="n">
        <v>46312</v>
      </c>
      <c r="F1288" t="inlineStr">
        <is>
          <t>SKÅNE LÄN</t>
        </is>
      </c>
      <c r="G1288" t="inlineStr">
        <is>
          <t>KRISTIANSTAD</t>
        </is>
      </c>
      <c r="I1288" t="n">
        <v>0.9</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42374-2023</t>
        </is>
      </c>
      <c r="B1289" t="inlineStr">
        <is>
          <t>avverkningsanmälan</t>
        </is>
      </c>
      <c r="C1289" t="inlineStr">
        <is>
          <t>Föryngringsavverkning</t>
        </is>
      </c>
      <c r="D1289" s="1" t="n">
        <v>45180</v>
      </c>
      <c r="E1289" s="1" t="n">
        <v>46312</v>
      </c>
      <c r="F1289" t="inlineStr">
        <is>
          <t>SKÅNE LÄN</t>
        </is>
      </c>
      <c r="G1289" t="inlineStr">
        <is>
          <t>SIMRISHAMN</t>
        </is>
      </c>
      <c r="I1289" t="n">
        <v>0.5</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6719-2024</t>
        </is>
      </c>
      <c r="B1290" t="inlineStr">
        <is>
          <t>avverkningsanmälan</t>
        </is>
      </c>
      <c r="C1290" t="inlineStr">
        <is>
          <t>Föryngringsavverkning</t>
        </is>
      </c>
      <c r="D1290" s="1" t="n">
        <v>45342</v>
      </c>
      <c r="E1290" s="1" t="n">
        <v>46312</v>
      </c>
      <c r="F1290" t="inlineStr">
        <is>
          <t>SKÅNE LÄN</t>
        </is>
      </c>
      <c r="G1290" t="inlineStr">
        <is>
          <t>KRISTIANSTAD</t>
        </is>
      </c>
      <c r="I1290" t="n">
        <v>1.5</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4193-2024</t>
        </is>
      </c>
      <c r="B1291" t="inlineStr">
        <is>
          <t>avverkningsanmälan</t>
        </is>
      </c>
      <c r="C1291" t="inlineStr">
        <is>
          <t>Föryngringsavverkning</t>
        </is>
      </c>
      <c r="D1291" s="1" t="n">
        <v>45324</v>
      </c>
      <c r="E1291" s="1" t="n">
        <v>46312</v>
      </c>
      <c r="F1291" t="inlineStr">
        <is>
          <t>SKÅNE LÄN</t>
        </is>
      </c>
      <c r="G1291" t="inlineStr">
        <is>
          <t>SIMRISHAMN</t>
        </is>
      </c>
      <c r="H1291" t="inlineStr">
        <is>
          <t>Övriga Aktiebolag</t>
        </is>
      </c>
      <c r="I1291" t="n">
        <v>1.9</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8721-2023</t>
        </is>
      </c>
      <c r="B1292" t="inlineStr">
        <is>
          <t>avverkningsanmälan</t>
        </is>
      </c>
      <c r="C1292" t="inlineStr">
        <is>
          <t>Föryngringsavverkning</t>
        </is>
      </c>
      <c r="D1292" s="1" t="n">
        <v>44978</v>
      </c>
      <c r="E1292" s="1" t="n">
        <v>46312</v>
      </c>
      <c r="F1292" t="inlineStr">
        <is>
          <t>SKÅNE LÄN</t>
        </is>
      </c>
      <c r="G1292" t="inlineStr">
        <is>
          <t>SIMRISHAMN</t>
        </is>
      </c>
      <c r="I1292" t="n">
        <v>1.7</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44613-2023</t>
        </is>
      </c>
      <c r="B1293" t="inlineStr">
        <is>
          <t>avverkningsanmälan</t>
        </is>
      </c>
      <c r="C1293" t="inlineStr">
        <is>
          <t>Föryngringsavverkning</t>
        </is>
      </c>
      <c r="D1293" s="1" t="n">
        <v>45189</v>
      </c>
      <c r="E1293" s="1" t="n">
        <v>46312</v>
      </c>
      <c r="F1293" t="inlineStr">
        <is>
          <t>SKÅNE LÄN</t>
        </is>
      </c>
      <c r="G1293" t="inlineStr">
        <is>
          <t>HÖRBY</t>
        </is>
      </c>
      <c r="H1293" t="inlineStr">
        <is>
          <t>Sveaskog</t>
        </is>
      </c>
      <c r="I1293" t="n">
        <v>3.8</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4196-2025</t>
        </is>
      </c>
      <c r="B1294" t="inlineStr">
        <is>
          <t>avverkningsanmälan</t>
        </is>
      </c>
      <c r="C1294" t="inlineStr">
        <is>
          <t>Föryngringsavverkning</t>
        </is>
      </c>
      <c r="D1294" s="1" t="n">
        <v>45685</v>
      </c>
      <c r="E1294" s="1" t="n">
        <v>46312</v>
      </c>
      <c r="F1294" t="inlineStr">
        <is>
          <t>SKÅNE LÄN</t>
        </is>
      </c>
      <c r="G1294" t="inlineStr">
        <is>
          <t>ÖSTRA GÖINGE</t>
        </is>
      </c>
      <c r="I1294" t="n">
        <v>1</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60394-2024</t>
        </is>
      </c>
      <c r="B1295" t="inlineStr">
        <is>
          <t>avverkningsanmälan</t>
        </is>
      </c>
      <c r="C1295" t="inlineStr">
        <is>
          <t>Föryngringsavverkning</t>
        </is>
      </c>
      <c r="D1295" s="1" t="n">
        <v>45643</v>
      </c>
      <c r="E1295" s="1" t="n">
        <v>46312</v>
      </c>
      <c r="F1295" t="inlineStr">
        <is>
          <t>SKÅNE LÄN</t>
        </is>
      </c>
      <c r="G1295" t="inlineStr">
        <is>
          <t>ÖSTRA GÖINGE</t>
        </is>
      </c>
      <c r="I1295" t="n">
        <v>0.4</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39221-2023</t>
        </is>
      </c>
      <c r="B1296" t="inlineStr">
        <is>
          <t>avverkningsanmälan</t>
        </is>
      </c>
      <c r="C1296" t="inlineStr">
        <is>
          <t>Föryngringsavverkning</t>
        </is>
      </c>
      <c r="D1296" s="1" t="n">
        <v>45162</v>
      </c>
      <c r="E1296" s="1" t="n">
        <v>46312</v>
      </c>
      <c r="F1296" t="inlineStr">
        <is>
          <t>SKÅNE LÄN</t>
        </is>
      </c>
      <c r="G1296" t="inlineStr">
        <is>
          <t>SIMRISHAMN</t>
        </is>
      </c>
      <c r="I1296" t="n">
        <v>3.1</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58618-2024</t>
        </is>
      </c>
      <c r="B1297" t="inlineStr">
        <is>
          <t>avverkningsanmälan</t>
        </is>
      </c>
      <c r="C1297" t="inlineStr">
        <is>
          <t>Föryngringsavverkning</t>
        </is>
      </c>
      <c r="D1297" s="1" t="n">
        <v>45635</v>
      </c>
      <c r="E1297" s="1" t="n">
        <v>46312</v>
      </c>
      <c r="F1297" t="inlineStr">
        <is>
          <t>SKÅNE LÄN</t>
        </is>
      </c>
      <c r="G1297" t="inlineStr">
        <is>
          <t>HÄSSLEHOLM</t>
        </is>
      </c>
      <c r="I1297" t="n">
        <v>2.3</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11177-2023</t>
        </is>
      </c>
      <c r="B1298" t="inlineStr">
        <is>
          <t>avverkningsanmälan</t>
        </is>
      </c>
      <c r="C1298" t="inlineStr">
        <is>
          <t>Föryngringsavverkning</t>
        </is>
      </c>
      <c r="D1298" s="1" t="n">
        <v>44987</v>
      </c>
      <c r="E1298" s="1" t="n">
        <v>46312</v>
      </c>
      <c r="F1298" t="inlineStr">
        <is>
          <t>SKÅNE LÄN</t>
        </is>
      </c>
      <c r="G1298" t="inlineStr">
        <is>
          <t>SVALÖV</t>
        </is>
      </c>
      <c r="I1298" t="n">
        <v>1.2</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17737-2023</t>
        </is>
      </c>
      <c r="B1299" t="inlineStr">
        <is>
          <t>avverkningsanmälan</t>
        </is>
      </c>
      <c r="C1299" t="inlineStr">
        <is>
          <t>Föryngringsavverkning</t>
        </is>
      </c>
      <c r="D1299" s="1" t="n">
        <v>45037</v>
      </c>
      <c r="E1299" s="1" t="n">
        <v>46312</v>
      </c>
      <c r="F1299" t="inlineStr">
        <is>
          <t>SKÅNE LÄN</t>
        </is>
      </c>
      <c r="G1299" t="inlineStr">
        <is>
          <t>ÖRKELLJUNGA</t>
        </is>
      </c>
      <c r="I1299" t="n">
        <v>3.7</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30233-2023</t>
        </is>
      </c>
      <c r="B1300" t="inlineStr">
        <is>
          <t>avverkningsanmälan</t>
        </is>
      </c>
      <c r="C1300" t="inlineStr">
        <is>
          <t>Föryngringsavverkning</t>
        </is>
      </c>
      <c r="D1300" s="1" t="n">
        <v>45110</v>
      </c>
      <c r="E1300" s="1" t="n">
        <v>46312</v>
      </c>
      <c r="F1300" t="inlineStr">
        <is>
          <t>SKÅNE LÄN</t>
        </is>
      </c>
      <c r="G1300" t="inlineStr">
        <is>
          <t>KRISTIANSTAD</t>
        </is>
      </c>
      <c r="I1300" t="n">
        <v>1</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27492-2023</t>
        </is>
      </c>
      <c r="B1301" t="inlineStr">
        <is>
          <t>avverkningsanmälan</t>
        </is>
      </c>
      <c r="C1301" t="inlineStr">
        <is>
          <t>Föryngringsavverkning</t>
        </is>
      </c>
      <c r="D1301" s="1" t="n">
        <v>45097</v>
      </c>
      <c r="E1301" s="1" t="n">
        <v>46312</v>
      </c>
      <c r="F1301" t="inlineStr">
        <is>
          <t>SKÅNE LÄN</t>
        </is>
      </c>
      <c r="G1301" t="inlineStr">
        <is>
          <t>OSBY</t>
        </is>
      </c>
      <c r="I1301" t="n">
        <v>1.4</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33822-2022</t>
        </is>
      </c>
      <c r="B1302" t="inlineStr">
        <is>
          <t>avverkningsanmälan</t>
        </is>
      </c>
      <c r="C1302" t="inlineStr">
        <is>
          <t>Föryngringsavverkning</t>
        </is>
      </c>
      <c r="D1302" s="1" t="n">
        <v>44790</v>
      </c>
      <c r="E1302" s="1" t="n">
        <v>46312</v>
      </c>
      <c r="F1302" t="inlineStr">
        <is>
          <t>SKÅNE LÄN</t>
        </is>
      </c>
      <c r="G1302" t="inlineStr">
        <is>
          <t>OSBY</t>
        </is>
      </c>
      <c r="I1302" t="n">
        <v>9.1</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27957-2022</t>
        </is>
      </c>
      <c r="B1303" t="inlineStr">
        <is>
          <t>avverkningsanmälan</t>
        </is>
      </c>
      <c r="C1303" t="inlineStr">
        <is>
          <t>Föryngringsavverkning</t>
        </is>
      </c>
      <c r="D1303" s="1" t="n">
        <v>44743</v>
      </c>
      <c r="E1303" s="1" t="n">
        <v>46312</v>
      </c>
      <c r="F1303" t="inlineStr">
        <is>
          <t>SKÅNE LÄN</t>
        </is>
      </c>
      <c r="G1303" t="inlineStr">
        <is>
          <t>KRISTIANSTAD</t>
        </is>
      </c>
      <c r="I1303" t="n">
        <v>1.9</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12843-2023</t>
        </is>
      </c>
      <c r="B1304" t="inlineStr">
        <is>
          <t>avverkningsanmälan</t>
        </is>
      </c>
      <c r="C1304" t="inlineStr">
        <is>
          <t>Föryngringsavverkning</t>
        </is>
      </c>
      <c r="D1304" s="1" t="n">
        <v>45001</v>
      </c>
      <c r="E1304" s="1" t="n">
        <v>46312</v>
      </c>
      <c r="F1304" t="inlineStr">
        <is>
          <t>SKÅNE LÄN</t>
        </is>
      </c>
      <c r="G1304" t="inlineStr">
        <is>
          <t>HÄSSLEHOLM</t>
        </is>
      </c>
      <c r="I1304" t="n">
        <v>3.9</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37967-2024</t>
        </is>
      </c>
      <c r="B1305" t="inlineStr">
        <is>
          <t>avverkningsanmälan</t>
        </is>
      </c>
      <c r="C1305" t="inlineStr">
        <is>
          <t>Föryngringsavverkning</t>
        </is>
      </c>
      <c r="D1305" s="1" t="n">
        <v>45544</v>
      </c>
      <c r="E1305" s="1" t="n">
        <v>46312</v>
      </c>
      <c r="F1305" t="inlineStr">
        <is>
          <t>SKÅNE LÄN</t>
        </is>
      </c>
      <c r="G1305" t="inlineStr">
        <is>
          <t>KLIPPAN</t>
        </is>
      </c>
      <c r="I1305" t="n">
        <v>1</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29030-2023</t>
        </is>
      </c>
      <c r="B1306" t="inlineStr">
        <is>
          <t>avverkningsanmälan</t>
        </is>
      </c>
      <c r="C1306" t="inlineStr">
        <is>
          <t>Föryngringsavverkning</t>
        </is>
      </c>
      <c r="D1306" s="1" t="n">
        <v>45104</v>
      </c>
      <c r="E1306" s="1" t="n">
        <v>46312</v>
      </c>
      <c r="F1306" t="inlineStr">
        <is>
          <t>SKÅNE LÄN</t>
        </is>
      </c>
      <c r="G1306" t="inlineStr">
        <is>
          <t>SVEDALA</t>
        </is>
      </c>
      <c r="I1306" t="n">
        <v>8.1</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60404-2024</t>
        </is>
      </c>
      <c r="B1307" t="inlineStr">
        <is>
          <t>avverkningsanmälan</t>
        </is>
      </c>
      <c r="C1307" t="inlineStr">
        <is>
          <t>Föryngringsavverkning</t>
        </is>
      </c>
      <c r="D1307" s="1" t="n">
        <v>45643</v>
      </c>
      <c r="E1307" s="1" t="n">
        <v>46312</v>
      </c>
      <c r="F1307" t="inlineStr">
        <is>
          <t>SKÅNE LÄN</t>
        </is>
      </c>
      <c r="G1307" t="inlineStr">
        <is>
          <t>OSBY</t>
        </is>
      </c>
      <c r="I1307" t="n">
        <v>0.8</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58360-2023</t>
        </is>
      </c>
      <c r="B1308" t="inlineStr">
        <is>
          <t>avverkningsanmälan</t>
        </is>
      </c>
      <c r="C1308" t="inlineStr">
        <is>
          <t>Föryngringsavverkning</t>
        </is>
      </c>
      <c r="D1308" s="1" t="n">
        <v>45250</v>
      </c>
      <c r="E1308" s="1" t="n">
        <v>46312</v>
      </c>
      <c r="F1308" t="inlineStr">
        <is>
          <t>SKÅNE LÄN</t>
        </is>
      </c>
      <c r="G1308" t="inlineStr">
        <is>
          <t>HÖRBY</t>
        </is>
      </c>
      <c r="I1308" t="n">
        <v>2.5</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28785-2023</t>
        </is>
      </c>
      <c r="B1309" t="inlineStr">
        <is>
          <t>avverkningsanmälan</t>
        </is>
      </c>
      <c r="C1309" t="inlineStr">
        <is>
          <t>Avverkning för annat ändamål</t>
        </is>
      </c>
      <c r="D1309" s="1" t="n">
        <v>45104</v>
      </c>
      <c r="E1309" s="1" t="n">
        <v>46312</v>
      </c>
      <c r="F1309" t="inlineStr">
        <is>
          <t>SKÅNE LÄN</t>
        </is>
      </c>
      <c r="G1309" t="inlineStr">
        <is>
          <t>HÖRBY</t>
        </is>
      </c>
      <c r="I1309" t="n">
        <v>2.1</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28844-2023</t>
        </is>
      </c>
      <c r="B1310" t="inlineStr">
        <is>
          <t>avverkningsanmälan</t>
        </is>
      </c>
      <c r="C1310" t="inlineStr">
        <is>
          <t>Föryngringsavverkning</t>
        </is>
      </c>
      <c r="D1310" s="1" t="n">
        <v>45104</v>
      </c>
      <c r="E1310" s="1" t="n">
        <v>46312</v>
      </c>
      <c r="F1310" t="inlineStr">
        <is>
          <t>SKÅNE LÄN</t>
        </is>
      </c>
      <c r="G1310" t="inlineStr">
        <is>
          <t>KLIPPAN</t>
        </is>
      </c>
      <c r="I1310" t="n">
        <v>0.7</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16101-2025</t>
        </is>
      </c>
      <c r="B1311" t="inlineStr">
        <is>
          <t>avverkningsanmälan</t>
        </is>
      </c>
      <c r="C1311" t="inlineStr">
        <is>
          <t>Föryngringsavverkning</t>
        </is>
      </c>
      <c r="D1311" s="1" t="n">
        <v>45750</v>
      </c>
      <c r="E1311" s="1" t="n">
        <v>46312</v>
      </c>
      <c r="F1311" t="inlineStr">
        <is>
          <t>SKÅNE LÄN</t>
        </is>
      </c>
      <c r="G1311" t="inlineStr">
        <is>
          <t>HÖRBY</t>
        </is>
      </c>
      <c r="I1311" t="n">
        <v>0.5</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721-2024</t>
        </is>
      </c>
      <c r="B1312" t="inlineStr">
        <is>
          <t>avverkningsanmälan</t>
        </is>
      </c>
      <c r="C1312" t="inlineStr">
        <is>
          <t>Föryngringsavverkning</t>
        </is>
      </c>
      <c r="D1312" s="1" t="n">
        <v>45300</v>
      </c>
      <c r="E1312" s="1" t="n">
        <v>46312</v>
      </c>
      <c r="F1312" t="inlineStr">
        <is>
          <t>SKÅNE LÄN</t>
        </is>
      </c>
      <c r="G1312" t="inlineStr">
        <is>
          <t>KRISTIANSTAD</t>
        </is>
      </c>
      <c r="I1312" t="n">
        <v>0.6</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44429-2024</t>
        </is>
      </c>
      <c r="B1313" t="inlineStr">
        <is>
          <t>avverkningsanmälan</t>
        </is>
      </c>
      <c r="C1313" t="inlineStr">
        <is>
          <t>Föryngringsavverkning</t>
        </is>
      </c>
      <c r="D1313" s="1" t="n">
        <v>45573</v>
      </c>
      <c r="E1313" s="1" t="n">
        <v>46312</v>
      </c>
      <c r="F1313" t="inlineStr">
        <is>
          <t>SKÅNE LÄN</t>
        </is>
      </c>
      <c r="G1313" t="inlineStr">
        <is>
          <t>OSBY</t>
        </is>
      </c>
      <c r="I1313" t="n">
        <v>0.1</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48621-2023</t>
        </is>
      </c>
      <c r="B1314" t="inlineStr">
        <is>
          <t>avverkningsanmälan</t>
        </is>
      </c>
      <c r="C1314" t="inlineStr">
        <is>
          <t>Föryngringsavverkning</t>
        </is>
      </c>
      <c r="D1314" s="1" t="n">
        <v>45202</v>
      </c>
      <c r="E1314" s="1" t="n">
        <v>46312</v>
      </c>
      <c r="F1314" t="inlineStr">
        <is>
          <t>SKÅNE LÄN</t>
        </is>
      </c>
      <c r="G1314" t="inlineStr">
        <is>
          <t>ÖSTRA GÖINGE</t>
        </is>
      </c>
      <c r="I1314" t="n">
        <v>1.3</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56056-2023</t>
        </is>
      </c>
      <c r="B1315" t="inlineStr">
        <is>
          <t>avverkningsanmälan</t>
        </is>
      </c>
      <c r="C1315" t="inlineStr">
        <is>
          <t>Föryngringsavverkning</t>
        </is>
      </c>
      <c r="D1315" s="1" t="n">
        <v>45233</v>
      </c>
      <c r="E1315" s="1" t="n">
        <v>46312</v>
      </c>
      <c r="F1315" t="inlineStr">
        <is>
          <t>SKÅNE LÄN</t>
        </is>
      </c>
      <c r="G1315" t="inlineStr">
        <is>
          <t>BROMÖLLA</t>
        </is>
      </c>
      <c r="I1315" t="n">
        <v>1.2</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9359-2025</t>
        </is>
      </c>
      <c r="B1316" t="inlineStr">
        <is>
          <t>avverkningsanmälan</t>
        </is>
      </c>
      <c r="C1316" t="inlineStr">
        <is>
          <t>Föryngringsavverkning</t>
        </is>
      </c>
      <c r="D1316" s="1" t="n">
        <v>45715</v>
      </c>
      <c r="E1316" s="1" t="n">
        <v>46312</v>
      </c>
      <c r="F1316" t="inlineStr">
        <is>
          <t>SKÅNE LÄN</t>
        </is>
      </c>
      <c r="G1316" t="inlineStr">
        <is>
          <t>ÖRKELLJUNGA</t>
        </is>
      </c>
      <c r="I1316" t="n">
        <v>0.4</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53773-2023</t>
        </is>
      </c>
      <c r="B1317" t="inlineStr">
        <is>
          <t>avverkningsanmälan</t>
        </is>
      </c>
      <c r="C1317" t="inlineStr">
        <is>
          <t>Föryngringsavverkning</t>
        </is>
      </c>
      <c r="D1317" s="1" t="n">
        <v>45231</v>
      </c>
      <c r="E1317" s="1" t="n">
        <v>46312</v>
      </c>
      <c r="F1317" t="inlineStr">
        <is>
          <t>SKÅNE LÄN</t>
        </is>
      </c>
      <c r="G1317" t="inlineStr">
        <is>
          <t>OSBY</t>
        </is>
      </c>
      <c r="I1317" t="n">
        <v>0.5</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53774-2023</t>
        </is>
      </c>
      <c r="B1318" t="inlineStr">
        <is>
          <t>avverkningsanmälan</t>
        </is>
      </c>
      <c r="C1318" t="inlineStr">
        <is>
          <t>Föryngringsavverkning</t>
        </is>
      </c>
      <c r="D1318" s="1" t="n">
        <v>45231</v>
      </c>
      <c r="E1318" s="1" t="n">
        <v>46312</v>
      </c>
      <c r="F1318" t="inlineStr">
        <is>
          <t>SKÅNE LÄN</t>
        </is>
      </c>
      <c r="G1318" t="inlineStr">
        <is>
          <t>OSBY</t>
        </is>
      </c>
      <c r="I1318" t="n">
        <v>1.2</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9393-2025</t>
        </is>
      </c>
      <c r="B1319" t="inlineStr">
        <is>
          <t>avverkningsanmälan</t>
        </is>
      </c>
      <c r="C1319" t="inlineStr">
        <is>
          <t>Föryngringsavverkning</t>
        </is>
      </c>
      <c r="D1319" s="1" t="n">
        <v>45715</v>
      </c>
      <c r="E1319" s="1" t="n">
        <v>46312</v>
      </c>
      <c r="F1319" t="inlineStr">
        <is>
          <t>SKÅNE LÄN</t>
        </is>
      </c>
      <c r="G1319" t="inlineStr">
        <is>
          <t>HÄSSLEHOLM</t>
        </is>
      </c>
      <c r="I1319" t="n">
        <v>1.4</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11786-2022</t>
        </is>
      </c>
      <c r="B1320" t="inlineStr">
        <is>
          <t>avverkningsanmälan</t>
        </is>
      </c>
      <c r="C1320" t="inlineStr">
        <is>
          <t>Föryngringsavverkning</t>
        </is>
      </c>
      <c r="D1320" s="1" t="n">
        <v>44634</v>
      </c>
      <c r="E1320" s="1" t="n">
        <v>46312</v>
      </c>
      <c r="F1320" t="inlineStr">
        <is>
          <t>SKÅNE LÄN</t>
        </is>
      </c>
      <c r="G1320" t="inlineStr">
        <is>
          <t>KRISTIANSTAD</t>
        </is>
      </c>
      <c r="I1320" t="n">
        <v>0.8</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61876-2024</t>
        </is>
      </c>
      <c r="B1321" t="inlineStr">
        <is>
          <t>avverkningsanmälan</t>
        </is>
      </c>
      <c r="C1321" t="inlineStr">
        <is>
          <t>Föryngringsavverkning</t>
        </is>
      </c>
      <c r="D1321" s="1" t="n">
        <v>45652</v>
      </c>
      <c r="E1321" s="1" t="n">
        <v>46312</v>
      </c>
      <c r="F1321" t="inlineStr">
        <is>
          <t>SKÅNE LÄN</t>
        </is>
      </c>
      <c r="G1321" t="inlineStr">
        <is>
          <t>SIMRISHAMN</t>
        </is>
      </c>
      <c r="I1321" t="n">
        <v>1.4</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61878-2024</t>
        </is>
      </c>
      <c r="B1322" t="inlineStr">
        <is>
          <t>avverkningsanmälan</t>
        </is>
      </c>
      <c r="C1322" t="inlineStr">
        <is>
          <t>Föryngringsavverkning</t>
        </is>
      </c>
      <c r="D1322" s="1" t="n">
        <v>45652</v>
      </c>
      <c r="E1322" s="1" t="n">
        <v>46312</v>
      </c>
      <c r="F1322" t="inlineStr">
        <is>
          <t>SKÅNE LÄN</t>
        </is>
      </c>
      <c r="G1322" t="inlineStr">
        <is>
          <t>KRISTIANSTAD</t>
        </is>
      </c>
      <c r="I1322" t="n">
        <v>1.8</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61882-2024</t>
        </is>
      </c>
      <c r="B1323" t="inlineStr">
        <is>
          <t>avverkningsanmälan</t>
        </is>
      </c>
      <c r="C1323" t="inlineStr">
        <is>
          <t>Föryngringsavverkning</t>
        </is>
      </c>
      <c r="D1323" s="1" t="n">
        <v>45652</v>
      </c>
      <c r="E1323" s="1" t="n">
        <v>46312</v>
      </c>
      <c r="F1323" t="inlineStr">
        <is>
          <t>SKÅNE LÄN</t>
        </is>
      </c>
      <c r="G1323" t="inlineStr">
        <is>
          <t>OSBY</t>
        </is>
      </c>
      <c r="I1323" t="n">
        <v>1.2</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14255-2024</t>
        </is>
      </c>
      <c r="B1324" t="inlineStr">
        <is>
          <t>avverkningsanmälan</t>
        </is>
      </c>
      <c r="C1324" t="inlineStr">
        <is>
          <t>Föryngringsavverkning</t>
        </is>
      </c>
      <c r="D1324" s="1" t="n">
        <v>45393</v>
      </c>
      <c r="E1324" s="1" t="n">
        <v>46312</v>
      </c>
      <c r="F1324" t="inlineStr">
        <is>
          <t>SKÅNE LÄN</t>
        </is>
      </c>
      <c r="G1324" t="inlineStr">
        <is>
          <t>HÄSSLEHOLM</t>
        </is>
      </c>
      <c r="I1324" t="n">
        <v>11.9</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18035-2025</t>
        </is>
      </c>
      <c r="B1325" t="inlineStr">
        <is>
          <t>avverkningsanmälan</t>
        </is>
      </c>
      <c r="C1325" t="inlineStr">
        <is>
          <t>Föryngringsavverkning</t>
        </is>
      </c>
      <c r="D1325" s="1" t="n">
        <v>45761</v>
      </c>
      <c r="E1325" s="1" t="n">
        <v>46312</v>
      </c>
      <c r="F1325" t="inlineStr">
        <is>
          <t>SKÅNE LÄN</t>
        </is>
      </c>
      <c r="G1325" t="inlineStr">
        <is>
          <t>KRISTIANSTAD</t>
        </is>
      </c>
      <c r="I1325" t="n">
        <v>0.4</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5723-2023</t>
        </is>
      </c>
      <c r="B1326" t="inlineStr">
        <is>
          <t>avverkningsanmälan</t>
        </is>
      </c>
      <c r="C1326" t="inlineStr">
        <is>
          <t>Föryngringsavverkning</t>
        </is>
      </c>
      <c r="D1326" s="1" t="n">
        <v>44961</v>
      </c>
      <c r="E1326" s="1" t="n">
        <v>46312</v>
      </c>
      <c r="F1326" t="inlineStr">
        <is>
          <t>SKÅNE LÄN</t>
        </is>
      </c>
      <c r="G1326" t="inlineStr">
        <is>
          <t>KRISTIANSTAD</t>
        </is>
      </c>
      <c r="I1326" t="n">
        <v>1.4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54982-2024</t>
        </is>
      </c>
      <c r="B1327" t="inlineStr">
        <is>
          <t>avverkningsanmälan</t>
        </is>
      </c>
      <c r="C1327" t="inlineStr">
        <is>
          <t>Föryngringsavverkning</t>
        </is>
      </c>
      <c r="D1327" s="1" t="n">
        <v>45620</v>
      </c>
      <c r="E1327" s="1" t="n">
        <v>46312</v>
      </c>
      <c r="F1327" t="inlineStr">
        <is>
          <t>SKÅNE LÄN</t>
        </is>
      </c>
      <c r="G1327" t="inlineStr">
        <is>
          <t>HÄSSLEHOLM</t>
        </is>
      </c>
      <c r="I1327" t="n">
        <v>0.5</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47136-2022</t>
        </is>
      </c>
      <c r="B1328" t="inlineStr">
        <is>
          <t>avverkningsanmälan</t>
        </is>
      </c>
      <c r="C1328" t="inlineStr">
        <is>
          <t>Föryngringsavverkning</t>
        </is>
      </c>
      <c r="D1328" s="1" t="n">
        <v>44848</v>
      </c>
      <c r="E1328" s="1" t="n">
        <v>46312</v>
      </c>
      <c r="F1328" t="inlineStr">
        <is>
          <t>SKÅNE LÄN</t>
        </is>
      </c>
      <c r="G1328" t="inlineStr">
        <is>
          <t>HÖÖR</t>
        </is>
      </c>
      <c r="I1328" t="n">
        <v>1.5</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751-2025</t>
        </is>
      </c>
      <c r="B1329" t="inlineStr">
        <is>
          <t>avverkningsanmälan</t>
        </is>
      </c>
      <c r="C1329" t="inlineStr">
        <is>
          <t>Föryngringsavverkning</t>
        </is>
      </c>
      <c r="D1329" s="1" t="n">
        <v>45665</v>
      </c>
      <c r="E1329" s="1" t="n">
        <v>46312</v>
      </c>
      <c r="F1329" t="inlineStr">
        <is>
          <t>SKÅNE LÄN</t>
        </is>
      </c>
      <c r="G1329" t="inlineStr">
        <is>
          <t>KRISTIANSTAD</t>
        </is>
      </c>
      <c r="I1329" t="n">
        <v>0.4</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61182-2024</t>
        </is>
      </c>
      <c r="B1330" t="inlineStr">
        <is>
          <t>avverkningsanmälan</t>
        </is>
      </c>
      <c r="C1330" t="inlineStr">
        <is>
          <t>Föryngringsavverkning</t>
        </is>
      </c>
      <c r="D1330" s="1" t="n">
        <v>45645</v>
      </c>
      <c r="E1330" s="1" t="n">
        <v>46312</v>
      </c>
      <c r="F1330" t="inlineStr">
        <is>
          <t>SKÅNE LÄN</t>
        </is>
      </c>
      <c r="G1330" t="inlineStr">
        <is>
          <t>HÄSSLEHOLM</t>
        </is>
      </c>
      <c r="I1330" t="n">
        <v>3.2</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26262-2024</t>
        </is>
      </c>
      <c r="B1331" t="inlineStr">
        <is>
          <t>avverkningsanmälan</t>
        </is>
      </c>
      <c r="C1331" t="inlineStr">
        <is>
          <t>Föryngringsavverkning</t>
        </is>
      </c>
      <c r="D1331" s="1" t="n">
        <v>45468</v>
      </c>
      <c r="E1331" s="1" t="n">
        <v>46312</v>
      </c>
      <c r="F1331" t="inlineStr">
        <is>
          <t>SKÅNE LÄN</t>
        </is>
      </c>
      <c r="G1331" t="inlineStr">
        <is>
          <t>ÅSTORP</t>
        </is>
      </c>
      <c r="I1331" t="n">
        <v>0.6</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8438-2024</t>
        </is>
      </c>
      <c r="B1332" t="inlineStr">
        <is>
          <t>avverkningsanmälan</t>
        </is>
      </c>
      <c r="C1332" t="inlineStr">
        <is>
          <t>Föryngringsavverkning</t>
        </is>
      </c>
      <c r="D1332" s="1" t="n">
        <v>45353</v>
      </c>
      <c r="E1332" s="1" t="n">
        <v>46312</v>
      </c>
      <c r="F1332" t="inlineStr">
        <is>
          <t>SKÅNE LÄN</t>
        </is>
      </c>
      <c r="G1332" t="inlineStr">
        <is>
          <t>OSBY</t>
        </is>
      </c>
      <c r="I1332" t="n">
        <v>4.1</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46777-2024</t>
        </is>
      </c>
      <c r="B1333" t="inlineStr">
        <is>
          <t>avverkningsanmälan</t>
        </is>
      </c>
      <c r="C1333" t="inlineStr">
        <is>
          <t>Föryngringsavverkning</t>
        </is>
      </c>
      <c r="D1333" s="1" t="n">
        <v>45583</v>
      </c>
      <c r="E1333" s="1" t="n">
        <v>46312</v>
      </c>
      <c r="F1333" t="inlineStr">
        <is>
          <t>SKÅNE LÄN</t>
        </is>
      </c>
      <c r="G1333" t="inlineStr">
        <is>
          <t>HÖÖR</t>
        </is>
      </c>
      <c r="I1333" t="n">
        <v>4.9</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2548-2024</t>
        </is>
      </c>
      <c r="B1334" t="inlineStr">
        <is>
          <t>avverkningsanmälan</t>
        </is>
      </c>
      <c r="C1334" t="inlineStr">
        <is>
          <t>Föryngringsavverkning</t>
        </is>
      </c>
      <c r="D1334" s="1" t="n">
        <v>45313</v>
      </c>
      <c r="E1334" s="1" t="n">
        <v>46312</v>
      </c>
      <c r="F1334" t="inlineStr">
        <is>
          <t>SKÅNE LÄN</t>
        </is>
      </c>
      <c r="G1334" t="inlineStr">
        <is>
          <t>TOMELILLA</t>
        </is>
      </c>
      <c r="I1334" t="n">
        <v>0.5</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30220-2024</t>
        </is>
      </c>
      <c r="B1335" t="inlineStr">
        <is>
          <t>avverkningsanmälan</t>
        </is>
      </c>
      <c r="C1335" t="inlineStr">
        <is>
          <t>Föryngringsavverkning</t>
        </is>
      </c>
      <c r="D1335" s="1" t="n">
        <v>45490</v>
      </c>
      <c r="E1335" s="1" t="n">
        <v>46312</v>
      </c>
      <c r="F1335" t="inlineStr">
        <is>
          <t>SKÅNE LÄN</t>
        </is>
      </c>
      <c r="G1335" t="inlineStr">
        <is>
          <t>KRISTIANSTAD</t>
        </is>
      </c>
      <c r="I1335" t="n">
        <v>0.9</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28385-2024</t>
        </is>
      </c>
      <c r="B1336" t="inlineStr">
        <is>
          <t>avverkningsanmälan</t>
        </is>
      </c>
      <c r="C1336" t="inlineStr">
        <is>
          <t>Föryngringsavverkning</t>
        </is>
      </c>
      <c r="D1336" s="1" t="n">
        <v>45477</v>
      </c>
      <c r="E1336" s="1" t="n">
        <v>46312</v>
      </c>
      <c r="F1336" t="inlineStr">
        <is>
          <t>SKÅNE LÄN</t>
        </is>
      </c>
      <c r="G1336" t="inlineStr">
        <is>
          <t>HÖÖR</t>
        </is>
      </c>
      <c r="I1336" t="n">
        <v>0.3</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1166-2024</t>
        </is>
      </c>
      <c r="B1337" t="inlineStr">
        <is>
          <t>avverkningsanmälan</t>
        </is>
      </c>
      <c r="C1337" t="inlineStr">
        <is>
          <t>Föryngringsavverkning</t>
        </is>
      </c>
      <c r="D1337" s="1" t="n">
        <v>45302</v>
      </c>
      <c r="E1337" s="1" t="n">
        <v>46312</v>
      </c>
      <c r="F1337" t="inlineStr">
        <is>
          <t>SKÅNE LÄN</t>
        </is>
      </c>
      <c r="G1337" t="inlineStr">
        <is>
          <t>PERSTORP</t>
        </is>
      </c>
      <c r="I1337" t="n">
        <v>1.8</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2684-2024</t>
        </is>
      </c>
      <c r="B1338" t="inlineStr">
        <is>
          <t>avverkningsanmälan</t>
        </is>
      </c>
      <c r="C1338" t="inlineStr">
        <is>
          <t>Föryngringsavverkning</t>
        </is>
      </c>
      <c r="D1338" s="1" t="n">
        <v>45314</v>
      </c>
      <c r="E1338" s="1" t="n">
        <v>46312</v>
      </c>
      <c r="F1338" t="inlineStr">
        <is>
          <t>SKÅNE LÄN</t>
        </is>
      </c>
      <c r="G1338" t="inlineStr">
        <is>
          <t>PERSTORP</t>
        </is>
      </c>
      <c r="H1338" t="inlineStr">
        <is>
          <t>Övriga Aktiebolag</t>
        </is>
      </c>
      <c r="I1338" t="n">
        <v>2.6</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11908-2025</t>
        </is>
      </c>
      <c r="B1339" t="inlineStr">
        <is>
          <t>avverkningsanmälan</t>
        </is>
      </c>
      <c r="C1339" t="inlineStr">
        <is>
          <t>Föryngringsavverkning</t>
        </is>
      </c>
      <c r="D1339" s="1" t="n">
        <v>45728</v>
      </c>
      <c r="E1339" s="1" t="n">
        <v>46312</v>
      </c>
      <c r="F1339" t="inlineStr">
        <is>
          <t>SKÅNE LÄN</t>
        </is>
      </c>
      <c r="G1339" t="inlineStr">
        <is>
          <t>OSBY</t>
        </is>
      </c>
      <c r="I1339" t="n">
        <v>3</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26946-2022</t>
        </is>
      </c>
      <c r="B1340" t="inlineStr">
        <is>
          <t>avverkningsanmälan</t>
        </is>
      </c>
      <c r="C1340" t="inlineStr">
        <is>
          <t>Föryngringsavverkning</t>
        </is>
      </c>
      <c r="D1340" s="1" t="n">
        <v>44740</v>
      </c>
      <c r="E1340" s="1" t="n">
        <v>46312</v>
      </c>
      <c r="F1340" t="inlineStr">
        <is>
          <t>SKÅNE LÄN</t>
        </is>
      </c>
      <c r="G1340" t="inlineStr">
        <is>
          <t>OSBY</t>
        </is>
      </c>
      <c r="I1340" t="n">
        <v>0.5</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72261-2021</t>
        </is>
      </c>
      <c r="B1341" t="inlineStr">
        <is>
          <t>avverkningsanmälan</t>
        </is>
      </c>
      <c r="C1341" t="inlineStr">
        <is>
          <t>Föryngringsavverkning</t>
        </is>
      </c>
      <c r="D1341" s="1" t="n">
        <v>44545</v>
      </c>
      <c r="E1341" s="1" t="n">
        <v>46312</v>
      </c>
      <c r="F1341" t="inlineStr">
        <is>
          <t>SKÅNE LÄN</t>
        </is>
      </c>
      <c r="G1341" t="inlineStr">
        <is>
          <t>ÖRKELLJUNGA</t>
        </is>
      </c>
      <c r="I1341" t="n">
        <v>0.7</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8433-2024</t>
        </is>
      </c>
      <c r="B1342" t="inlineStr">
        <is>
          <t>avverkningsanmälan</t>
        </is>
      </c>
      <c r="C1342" t="inlineStr">
        <is>
          <t>Föryngringsavverkning</t>
        </is>
      </c>
      <c r="D1342" s="1" t="n">
        <v>45353</v>
      </c>
      <c r="E1342" s="1" t="n">
        <v>46312</v>
      </c>
      <c r="F1342" t="inlineStr">
        <is>
          <t>SKÅNE LÄN</t>
        </is>
      </c>
      <c r="G1342" t="inlineStr">
        <is>
          <t>HÄSSLEHOLM</t>
        </is>
      </c>
      <c r="I1342" t="n">
        <v>1.9</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31640-2024</t>
        </is>
      </c>
      <c r="B1343" t="inlineStr">
        <is>
          <t>avverkningsanmälan</t>
        </is>
      </c>
      <c r="C1343" t="inlineStr">
        <is>
          <t>Föryngringsavverkning</t>
        </is>
      </c>
      <c r="D1343" s="1" t="n">
        <v>45506</v>
      </c>
      <c r="E1343" s="1" t="n">
        <v>46312</v>
      </c>
      <c r="F1343" t="inlineStr">
        <is>
          <t>SKÅNE LÄN</t>
        </is>
      </c>
      <c r="G1343" t="inlineStr">
        <is>
          <t>OSBY</t>
        </is>
      </c>
      <c r="I1343" t="n">
        <v>0.5</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46702-2024</t>
        </is>
      </c>
      <c r="B1344" t="inlineStr">
        <is>
          <t>avverkningsanmälan</t>
        </is>
      </c>
      <c r="C1344" t="inlineStr">
        <is>
          <t>Föryngringsavverkning</t>
        </is>
      </c>
      <c r="D1344" s="1" t="n">
        <v>45583</v>
      </c>
      <c r="E1344" s="1" t="n">
        <v>46312</v>
      </c>
      <c r="F1344" t="inlineStr">
        <is>
          <t>SKÅNE LÄN</t>
        </is>
      </c>
      <c r="G1344" t="inlineStr">
        <is>
          <t>ÄNGELHOLM</t>
        </is>
      </c>
      <c r="I1344" t="n">
        <v>1.2</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43395-2024</t>
        </is>
      </c>
      <c r="B1345" t="inlineStr">
        <is>
          <t>avverkningsanmälan</t>
        </is>
      </c>
      <c r="C1345" t="inlineStr">
        <is>
          <t>Föryngringsavverkning</t>
        </is>
      </c>
      <c r="D1345" s="1" t="n">
        <v>45568</v>
      </c>
      <c r="E1345" s="1" t="n">
        <v>46312</v>
      </c>
      <c r="F1345" t="inlineStr">
        <is>
          <t>SKÅNE LÄN</t>
        </is>
      </c>
      <c r="G1345" t="inlineStr">
        <is>
          <t>ÖSTRA GÖINGE</t>
        </is>
      </c>
      <c r="I1345" t="n">
        <v>4.9</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59236-2022</t>
        </is>
      </c>
      <c r="B1346" t="inlineStr">
        <is>
          <t>avverkningsanmälan</t>
        </is>
      </c>
      <c r="C1346" t="inlineStr">
        <is>
          <t>Föryngringsavverkning</t>
        </is>
      </c>
      <c r="D1346" s="1" t="n">
        <v>44904</v>
      </c>
      <c r="E1346" s="1" t="n">
        <v>46312</v>
      </c>
      <c r="F1346" t="inlineStr">
        <is>
          <t>SKÅNE LÄN</t>
        </is>
      </c>
      <c r="G1346" t="inlineStr">
        <is>
          <t>OSBY</t>
        </is>
      </c>
      <c r="I1346" t="n">
        <v>2</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59253-2022</t>
        </is>
      </c>
      <c r="B1347" t="inlineStr">
        <is>
          <t>avverkningsanmälan</t>
        </is>
      </c>
      <c r="C1347" t="inlineStr">
        <is>
          <t>Föryngringsavverkning</t>
        </is>
      </c>
      <c r="D1347" s="1" t="n">
        <v>44904</v>
      </c>
      <c r="E1347" s="1" t="n">
        <v>46312</v>
      </c>
      <c r="F1347" t="inlineStr">
        <is>
          <t>SKÅNE LÄN</t>
        </is>
      </c>
      <c r="G1347" t="inlineStr">
        <is>
          <t>OSBY</t>
        </is>
      </c>
      <c r="I1347" t="n">
        <v>0.6</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14524-2022</t>
        </is>
      </c>
      <c r="B1348" t="inlineStr">
        <is>
          <t>avverkningsanmälan</t>
        </is>
      </c>
      <c r="C1348" t="inlineStr">
        <is>
          <t>Föryngringsavverkning</t>
        </is>
      </c>
      <c r="D1348" s="1" t="n">
        <v>44655</v>
      </c>
      <c r="E1348" s="1" t="n">
        <v>46312</v>
      </c>
      <c r="F1348" t="inlineStr">
        <is>
          <t>SKÅNE LÄN</t>
        </is>
      </c>
      <c r="G1348" t="inlineStr">
        <is>
          <t>KRISTIANSTAD</t>
        </is>
      </c>
      <c r="I1348" t="n">
        <v>1.9</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47235-2024</t>
        </is>
      </c>
      <c r="B1349" t="inlineStr">
        <is>
          <t>avverkningsanmälan</t>
        </is>
      </c>
      <c r="C1349" t="inlineStr">
        <is>
          <t>Föryngringsavverkning</t>
        </is>
      </c>
      <c r="D1349" s="1" t="n">
        <v>45586</v>
      </c>
      <c r="E1349" s="1" t="n">
        <v>46312</v>
      </c>
      <c r="F1349" t="inlineStr">
        <is>
          <t>SKÅNE LÄN</t>
        </is>
      </c>
      <c r="G1349" t="inlineStr">
        <is>
          <t>KRISTIANSTAD</t>
        </is>
      </c>
      <c r="H1349" t="inlineStr">
        <is>
          <t>Övriga Aktiebolag</t>
        </is>
      </c>
      <c r="I1349" t="n">
        <v>6.2</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28457-2024</t>
        </is>
      </c>
      <c r="B1350" t="inlineStr">
        <is>
          <t>avverkningsanmälan</t>
        </is>
      </c>
      <c r="C1350" t="inlineStr">
        <is>
          <t>Föryngringsavverkning</t>
        </is>
      </c>
      <c r="D1350" s="1" t="n">
        <v>45477</v>
      </c>
      <c r="E1350" s="1" t="n">
        <v>46312</v>
      </c>
      <c r="F1350" t="inlineStr">
        <is>
          <t>SKÅNE LÄN</t>
        </is>
      </c>
      <c r="G1350" t="inlineStr">
        <is>
          <t>HÄSSLEHOLM</t>
        </is>
      </c>
      <c r="I1350" t="n">
        <v>0.7</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14000-2025</t>
        </is>
      </c>
      <c r="B1351" t="inlineStr">
        <is>
          <t>avverkningsanmälan</t>
        </is>
      </c>
      <c r="C1351" t="inlineStr">
        <is>
          <t>Föryngringsavverkning</t>
        </is>
      </c>
      <c r="D1351" s="1" t="n">
        <v>45740</v>
      </c>
      <c r="E1351" s="1" t="n">
        <v>46312</v>
      </c>
      <c r="F1351" t="inlineStr">
        <is>
          <t>SKÅNE LÄN</t>
        </is>
      </c>
      <c r="G1351" t="inlineStr">
        <is>
          <t>SIMRISHAMN</t>
        </is>
      </c>
      <c r="I1351" t="n">
        <v>0.5</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4756-2025</t>
        </is>
      </c>
      <c r="B1352" t="inlineStr">
        <is>
          <t>avverkningsanmälan</t>
        </is>
      </c>
      <c r="C1352" t="inlineStr">
        <is>
          <t>Föryngringsavverkning</t>
        </is>
      </c>
      <c r="D1352" s="1" t="n">
        <v>45688</v>
      </c>
      <c r="E1352" s="1" t="n">
        <v>46312</v>
      </c>
      <c r="F1352" t="inlineStr">
        <is>
          <t>SKÅNE LÄN</t>
        </is>
      </c>
      <c r="G1352" t="inlineStr">
        <is>
          <t>HÖRBY</t>
        </is>
      </c>
      <c r="I1352" t="n">
        <v>0.9</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2449-2023</t>
        </is>
      </c>
      <c r="B1353" t="inlineStr">
        <is>
          <t>avverkningsanmälan</t>
        </is>
      </c>
      <c r="C1353" t="inlineStr">
        <is>
          <t>Föryngringsavverkning</t>
        </is>
      </c>
      <c r="D1353" s="1" t="n">
        <v>44943</v>
      </c>
      <c r="E1353" s="1" t="n">
        <v>46312</v>
      </c>
      <c r="F1353" t="inlineStr">
        <is>
          <t>SKÅNE LÄN</t>
        </is>
      </c>
      <c r="G1353" t="inlineStr">
        <is>
          <t>SJÖBO</t>
        </is>
      </c>
      <c r="I1353" t="n">
        <v>0.7</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15951-2024</t>
        </is>
      </c>
      <c r="B1354" t="inlineStr">
        <is>
          <t>avverkningsanmälan</t>
        </is>
      </c>
      <c r="C1354" t="inlineStr">
        <is>
          <t>Föryngringsavverkning</t>
        </is>
      </c>
      <c r="D1354" s="1" t="n">
        <v>45405</v>
      </c>
      <c r="E1354" s="1" t="n">
        <v>46312</v>
      </c>
      <c r="F1354" t="inlineStr">
        <is>
          <t>SKÅNE LÄN</t>
        </is>
      </c>
      <c r="G1354" t="inlineStr">
        <is>
          <t>KRISTIANSTAD</t>
        </is>
      </c>
      <c r="I1354" t="n">
        <v>12.2</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13820-2023</t>
        </is>
      </c>
      <c r="B1355" t="inlineStr">
        <is>
          <t>avverkningsanmälan</t>
        </is>
      </c>
      <c r="C1355" t="inlineStr">
        <is>
          <t>Föryngringsavverkning</t>
        </is>
      </c>
      <c r="D1355" s="1" t="n">
        <v>45007</v>
      </c>
      <c r="E1355" s="1" t="n">
        <v>46312</v>
      </c>
      <c r="F1355" t="inlineStr">
        <is>
          <t>SKÅNE LÄN</t>
        </is>
      </c>
      <c r="G1355" t="inlineStr">
        <is>
          <t>KRISTIANSTAD</t>
        </is>
      </c>
      <c r="I1355" t="n">
        <v>0.5</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5594-2025</t>
        </is>
      </c>
      <c r="B1356" t="inlineStr">
        <is>
          <t>avverkningsanmälan</t>
        </is>
      </c>
      <c r="C1356" t="inlineStr">
        <is>
          <t>Föryngringsavverkning</t>
        </is>
      </c>
      <c r="D1356" s="1" t="n">
        <v>45693</v>
      </c>
      <c r="E1356" s="1" t="n">
        <v>46312</v>
      </c>
      <c r="F1356" t="inlineStr">
        <is>
          <t>SKÅNE LÄN</t>
        </is>
      </c>
      <c r="G1356" t="inlineStr">
        <is>
          <t>KRISTIANSTAD</t>
        </is>
      </c>
      <c r="I1356" t="n">
        <v>1.2</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5059-2025</t>
        </is>
      </c>
      <c r="B1357" t="inlineStr">
        <is>
          <t>avverkningsanmälan</t>
        </is>
      </c>
      <c r="C1357" t="inlineStr">
        <is>
          <t>Föryngringsavverkning</t>
        </is>
      </c>
      <c r="D1357" s="1" t="n">
        <v>45691</v>
      </c>
      <c r="E1357" s="1" t="n">
        <v>46312</v>
      </c>
      <c r="F1357" t="inlineStr">
        <is>
          <t>SKÅNE LÄN</t>
        </is>
      </c>
      <c r="G1357" t="inlineStr">
        <is>
          <t>LUND</t>
        </is>
      </c>
      <c r="I1357" t="n">
        <v>2.3</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13159-2024</t>
        </is>
      </c>
      <c r="B1358" t="inlineStr">
        <is>
          <t>avverkningsanmälan</t>
        </is>
      </c>
      <c r="C1358" t="inlineStr">
        <is>
          <t>Föryngringsavverkning</t>
        </is>
      </c>
      <c r="D1358" s="1" t="n">
        <v>45386</v>
      </c>
      <c r="E1358" s="1" t="n">
        <v>46312</v>
      </c>
      <c r="F1358" t="inlineStr">
        <is>
          <t>SKÅNE LÄN</t>
        </is>
      </c>
      <c r="G1358" t="inlineStr">
        <is>
          <t>TOMELILLA</t>
        </is>
      </c>
      <c r="I1358" t="n">
        <v>1.3</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4623-2024</t>
        </is>
      </c>
      <c r="B1359" t="inlineStr">
        <is>
          <t>avverkningsanmälan</t>
        </is>
      </c>
      <c r="C1359" t="inlineStr">
        <is>
          <t>Föryngringsavverkning</t>
        </is>
      </c>
      <c r="D1359" s="1" t="n">
        <v>45328</v>
      </c>
      <c r="E1359" s="1" t="n">
        <v>46312</v>
      </c>
      <c r="F1359" t="inlineStr">
        <is>
          <t>SKÅNE LÄN</t>
        </is>
      </c>
      <c r="G1359" t="inlineStr">
        <is>
          <t>KLIPPAN</t>
        </is>
      </c>
      <c r="I1359" t="n">
        <v>3.2</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51632-2024</t>
        </is>
      </c>
      <c r="B1360" t="inlineStr">
        <is>
          <t>avverkningsanmälan</t>
        </is>
      </c>
      <c r="C1360" t="inlineStr">
        <is>
          <t>Föryngringsavverkning</t>
        </is>
      </c>
      <c r="D1360" s="1" t="n">
        <v>45605</v>
      </c>
      <c r="E1360" s="1" t="n">
        <v>46312</v>
      </c>
      <c r="F1360" t="inlineStr">
        <is>
          <t>SKÅNE LÄN</t>
        </is>
      </c>
      <c r="G1360" t="inlineStr">
        <is>
          <t>OSBY</t>
        </is>
      </c>
      <c r="I1360" t="n">
        <v>3</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51633-2024</t>
        </is>
      </c>
      <c r="B1361" t="inlineStr">
        <is>
          <t>avverkningsanmälan</t>
        </is>
      </c>
      <c r="C1361" t="inlineStr">
        <is>
          <t>Föryngringsavverkning</t>
        </is>
      </c>
      <c r="D1361" s="1" t="n">
        <v>45605</v>
      </c>
      <c r="E1361" s="1" t="n">
        <v>46312</v>
      </c>
      <c r="F1361" t="inlineStr">
        <is>
          <t>SKÅNE LÄN</t>
        </is>
      </c>
      <c r="G1361" t="inlineStr">
        <is>
          <t>OSBY</t>
        </is>
      </c>
      <c r="I1361" t="n">
        <v>2.1</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15055-2023</t>
        </is>
      </c>
      <c r="B1362" t="inlineStr">
        <is>
          <t>avverkningsanmälan</t>
        </is>
      </c>
      <c r="C1362" t="inlineStr">
        <is>
          <t>Föryngringsavverkning</t>
        </is>
      </c>
      <c r="D1362" s="1" t="n">
        <v>45015</v>
      </c>
      <c r="E1362" s="1" t="n">
        <v>46312</v>
      </c>
      <c r="F1362" t="inlineStr">
        <is>
          <t>SKÅNE LÄN</t>
        </is>
      </c>
      <c r="G1362" t="inlineStr">
        <is>
          <t>HÄSSLEHOLM</t>
        </is>
      </c>
      <c r="I1362" t="n">
        <v>1.9</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23898-2023</t>
        </is>
      </c>
      <c r="B1363" t="inlineStr">
        <is>
          <t>avverkningsanmälan</t>
        </is>
      </c>
      <c r="C1363" t="inlineStr">
        <is>
          <t>Föryngringsavverkning</t>
        </is>
      </c>
      <c r="D1363" s="1" t="n">
        <v>45078</v>
      </c>
      <c r="E1363" s="1" t="n">
        <v>46312</v>
      </c>
      <c r="F1363" t="inlineStr">
        <is>
          <t>SKÅNE LÄN</t>
        </is>
      </c>
      <c r="G1363" t="inlineStr">
        <is>
          <t>ÖRKELLJUNGA</t>
        </is>
      </c>
      <c r="I1363" t="n">
        <v>0.6</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11451-2025</t>
        </is>
      </c>
      <c r="B1364" t="inlineStr">
        <is>
          <t>avverkningsanmälan</t>
        </is>
      </c>
      <c r="C1364" t="inlineStr">
        <is>
          <t>Föryngringsavverkning</t>
        </is>
      </c>
      <c r="D1364" s="1" t="n">
        <v>45726</v>
      </c>
      <c r="E1364" s="1" t="n">
        <v>46312</v>
      </c>
      <c r="F1364" t="inlineStr">
        <is>
          <t>SKÅNE LÄN</t>
        </is>
      </c>
      <c r="G1364" t="inlineStr">
        <is>
          <t>ÖSTRA GÖINGE</t>
        </is>
      </c>
      <c r="I1364" t="n">
        <v>0.9</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42748-2022</t>
        </is>
      </c>
      <c r="B1365" t="inlineStr">
        <is>
          <t>avverkningsanmälan</t>
        </is>
      </c>
      <c r="C1365" t="inlineStr">
        <is>
          <t>Föryngringsavverkning</t>
        </is>
      </c>
      <c r="D1365" s="1" t="n">
        <v>44831</v>
      </c>
      <c r="E1365" s="1" t="n">
        <v>46312</v>
      </c>
      <c r="F1365" t="inlineStr">
        <is>
          <t>SKÅNE LÄN</t>
        </is>
      </c>
      <c r="G1365" t="inlineStr">
        <is>
          <t>BROMÖLLA</t>
        </is>
      </c>
      <c r="I1365" t="n">
        <v>1.2</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25765-2024</t>
        </is>
      </c>
      <c r="B1366" t="inlineStr">
        <is>
          <t>avverkningsanmälan</t>
        </is>
      </c>
      <c r="C1366" t="inlineStr">
        <is>
          <t>Föryngringsavverkning</t>
        </is>
      </c>
      <c r="D1366" s="1" t="n">
        <v>45465</v>
      </c>
      <c r="E1366" s="1" t="n">
        <v>46312</v>
      </c>
      <c r="F1366" t="inlineStr">
        <is>
          <t>SKÅNE LÄN</t>
        </is>
      </c>
      <c r="G1366" t="inlineStr">
        <is>
          <t>KRISTIANSTAD</t>
        </is>
      </c>
      <c r="I1366" t="n">
        <v>16.6</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47890-2022</t>
        </is>
      </c>
      <c r="B1367" t="inlineStr">
        <is>
          <t>avverkningsanmälan</t>
        </is>
      </c>
      <c r="C1367" t="inlineStr">
        <is>
          <t>Föryngringsavverkning</t>
        </is>
      </c>
      <c r="D1367" s="1" t="n">
        <v>44855</v>
      </c>
      <c r="E1367" s="1" t="n">
        <v>46312</v>
      </c>
      <c r="F1367" t="inlineStr">
        <is>
          <t>SKÅNE LÄN</t>
        </is>
      </c>
      <c r="G1367" t="inlineStr">
        <is>
          <t>ÖRKELLJUNGA</t>
        </is>
      </c>
      <c r="I1367" t="n">
        <v>1.2</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48397-2022</t>
        </is>
      </c>
      <c r="B1368" t="inlineStr">
        <is>
          <t>avverkningsanmälan</t>
        </is>
      </c>
      <c r="C1368" t="inlineStr">
        <is>
          <t>Föryngringsavverkning</t>
        </is>
      </c>
      <c r="D1368" s="1" t="n">
        <v>44858</v>
      </c>
      <c r="E1368" s="1" t="n">
        <v>46312</v>
      </c>
      <c r="F1368" t="inlineStr">
        <is>
          <t>SKÅNE LÄN</t>
        </is>
      </c>
      <c r="G1368" t="inlineStr">
        <is>
          <t>HÖRBY</t>
        </is>
      </c>
      <c r="I1368" t="n">
        <v>1.7</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2816-2025</t>
        </is>
      </c>
      <c r="B1369" t="inlineStr">
        <is>
          <t>avverkningsanmälan</t>
        </is>
      </c>
      <c r="C1369" t="inlineStr">
        <is>
          <t>Avverkning för annat ändamål</t>
        </is>
      </c>
      <c r="D1369" s="1" t="n">
        <v>45677</v>
      </c>
      <c r="E1369" s="1" t="n">
        <v>46312</v>
      </c>
      <c r="F1369" t="inlineStr">
        <is>
          <t>SKÅNE LÄN</t>
        </is>
      </c>
      <c r="G1369" t="inlineStr">
        <is>
          <t>HÖRBY</t>
        </is>
      </c>
      <c r="I1369" t="n">
        <v>2</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34187-2023</t>
        </is>
      </c>
      <c r="B1370" t="inlineStr">
        <is>
          <t>avverkningsanmälan</t>
        </is>
      </c>
      <c r="C1370" t="inlineStr">
        <is>
          <t>Föryngringsavverkning</t>
        </is>
      </c>
      <c r="D1370" s="1" t="n">
        <v>45138</v>
      </c>
      <c r="E1370" s="1" t="n">
        <v>46312</v>
      </c>
      <c r="F1370" t="inlineStr">
        <is>
          <t>SKÅNE LÄN</t>
        </is>
      </c>
      <c r="G1370" t="inlineStr">
        <is>
          <t>HÄSSLEHOLM</t>
        </is>
      </c>
      <c r="I1370" t="n">
        <v>0.4</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49622-2023</t>
        </is>
      </c>
      <c r="B1371" t="inlineStr">
        <is>
          <t>avverkningsanmälan</t>
        </is>
      </c>
      <c r="C1371" t="inlineStr">
        <is>
          <t>Föryngringsavverkning</t>
        </is>
      </c>
      <c r="D1371" s="1" t="n">
        <v>45211</v>
      </c>
      <c r="E1371" s="1" t="n">
        <v>46312</v>
      </c>
      <c r="F1371" t="inlineStr">
        <is>
          <t>SKÅNE LÄN</t>
        </is>
      </c>
      <c r="G1371" t="inlineStr">
        <is>
          <t>OSBY</t>
        </is>
      </c>
      <c r="I1371" t="n">
        <v>3.3</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3747-2023</t>
        </is>
      </c>
      <c r="B1372" t="inlineStr">
        <is>
          <t>avverkningsanmälan</t>
        </is>
      </c>
      <c r="C1372" t="inlineStr">
        <is>
          <t>Föryngringsavverkning</t>
        </is>
      </c>
      <c r="D1372" s="1" t="n">
        <v>44949</v>
      </c>
      <c r="E1372" s="1" t="n">
        <v>46312</v>
      </c>
      <c r="F1372" t="inlineStr">
        <is>
          <t>SKÅNE LÄN</t>
        </is>
      </c>
      <c r="G1372" t="inlineStr">
        <is>
          <t>ÖSTRA GÖINGE</t>
        </is>
      </c>
      <c r="I1372" t="n">
        <v>0.5</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2555-2022</t>
        </is>
      </c>
      <c r="B1373" t="inlineStr">
        <is>
          <t>avverkningsanmälan</t>
        </is>
      </c>
      <c r="C1373" t="inlineStr">
        <is>
          <t>Föryngringsavverkning</t>
        </is>
      </c>
      <c r="D1373" s="1" t="n">
        <v>44579</v>
      </c>
      <c r="E1373" s="1" t="n">
        <v>46312</v>
      </c>
      <c r="F1373" t="inlineStr">
        <is>
          <t>SKÅNE LÄN</t>
        </is>
      </c>
      <c r="G1373" t="inlineStr">
        <is>
          <t>TOMELILLA</t>
        </is>
      </c>
      <c r="I1373" t="n">
        <v>1</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51752-2023</t>
        </is>
      </c>
      <c r="B1374" t="inlineStr">
        <is>
          <t>avverkningsanmälan</t>
        </is>
      </c>
      <c r="C1374" t="inlineStr">
        <is>
          <t>Föryngringsavverkning</t>
        </is>
      </c>
      <c r="D1374" s="1" t="n">
        <v>45222</v>
      </c>
      <c r="E1374" s="1" t="n">
        <v>46312</v>
      </c>
      <c r="F1374" t="inlineStr">
        <is>
          <t>SKÅNE LÄN</t>
        </is>
      </c>
      <c r="G1374" t="inlineStr">
        <is>
          <t>HÄSSLEHOLM</t>
        </is>
      </c>
      <c r="I1374" t="n">
        <v>1.8</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31789-2023</t>
        </is>
      </c>
      <c r="B1375" t="inlineStr">
        <is>
          <t>avverkningsanmälan</t>
        </is>
      </c>
      <c r="C1375" t="inlineStr">
        <is>
          <t>Föryngringsavverkning</t>
        </is>
      </c>
      <c r="D1375" s="1" t="n">
        <v>45118</v>
      </c>
      <c r="E1375" s="1" t="n">
        <v>46312</v>
      </c>
      <c r="F1375" t="inlineStr">
        <is>
          <t>SKÅNE LÄN</t>
        </is>
      </c>
      <c r="G1375" t="inlineStr">
        <is>
          <t>ÄNGELHOLM</t>
        </is>
      </c>
      <c r="I1375" t="n">
        <v>1.1</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593-2023</t>
        </is>
      </c>
      <c r="B1376" t="inlineStr">
        <is>
          <t>avverkningsanmälan</t>
        </is>
      </c>
      <c r="C1376" t="inlineStr">
        <is>
          <t>Föryngringsavverkning</t>
        </is>
      </c>
      <c r="D1376" s="1" t="n">
        <v>44930</v>
      </c>
      <c r="E1376" s="1" t="n">
        <v>46312</v>
      </c>
      <c r="F1376" t="inlineStr">
        <is>
          <t>SKÅNE LÄN</t>
        </is>
      </c>
      <c r="G1376" t="inlineStr">
        <is>
          <t>KLIPPAN</t>
        </is>
      </c>
      <c r="I1376" t="n">
        <v>0.2</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32100-2024</t>
        </is>
      </c>
      <c r="B1377" t="inlineStr">
        <is>
          <t>avverkningsanmälan</t>
        </is>
      </c>
      <c r="C1377" t="inlineStr">
        <is>
          <t>Föryngringsavverkning</t>
        </is>
      </c>
      <c r="D1377" s="1" t="n">
        <v>45511</v>
      </c>
      <c r="E1377" s="1" t="n">
        <v>46312</v>
      </c>
      <c r="F1377" t="inlineStr">
        <is>
          <t>SKÅNE LÄN</t>
        </is>
      </c>
      <c r="G1377" t="inlineStr">
        <is>
          <t>HÄSSLEHOLM</t>
        </is>
      </c>
      <c r="I1377" t="n">
        <v>0.8</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31255-2024</t>
        </is>
      </c>
      <c r="B1378" t="inlineStr">
        <is>
          <t>avverkningsanmälan</t>
        </is>
      </c>
      <c r="C1378" t="inlineStr">
        <is>
          <t>Föryngringsavverkning</t>
        </is>
      </c>
      <c r="D1378" s="1" t="n">
        <v>45503</v>
      </c>
      <c r="E1378" s="1" t="n">
        <v>46312</v>
      </c>
      <c r="F1378" t="inlineStr">
        <is>
          <t>SKÅNE LÄN</t>
        </is>
      </c>
      <c r="G1378" t="inlineStr">
        <is>
          <t>HÄSSLEHOLM</t>
        </is>
      </c>
      <c r="I1378" t="n">
        <v>0.6</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19257-2023</t>
        </is>
      </c>
      <c r="B1379" t="inlineStr">
        <is>
          <t>avverkningsanmälan</t>
        </is>
      </c>
      <c r="C1379" t="inlineStr">
        <is>
          <t>Föryngringsavverkning</t>
        </is>
      </c>
      <c r="D1379" s="1" t="n">
        <v>45049</v>
      </c>
      <c r="E1379" s="1" t="n">
        <v>46312</v>
      </c>
      <c r="F1379" t="inlineStr">
        <is>
          <t>SKÅNE LÄN</t>
        </is>
      </c>
      <c r="G1379" t="inlineStr">
        <is>
          <t>KRISTIANSTAD</t>
        </is>
      </c>
      <c r="I1379" t="n">
        <v>7.6</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33331-2024</t>
        </is>
      </c>
      <c r="B1380" t="inlineStr">
        <is>
          <t>avverkningsanmälan</t>
        </is>
      </c>
      <c r="C1380" t="inlineStr">
        <is>
          <t>Föryngringsavverkning</t>
        </is>
      </c>
      <c r="D1380" s="1" t="n">
        <v>45519</v>
      </c>
      <c r="E1380" s="1" t="n">
        <v>46312</v>
      </c>
      <c r="F1380" t="inlineStr">
        <is>
          <t>SKÅNE LÄN</t>
        </is>
      </c>
      <c r="G1380" t="inlineStr">
        <is>
          <t>KLIPPAN</t>
        </is>
      </c>
      <c r="H1380" t="inlineStr">
        <is>
          <t>Sveaskog</t>
        </is>
      </c>
      <c r="I1380" t="n">
        <v>3.9</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61875-2023</t>
        </is>
      </c>
      <c r="B1381" t="inlineStr">
        <is>
          <t>avverkningsanmälan</t>
        </is>
      </c>
      <c r="C1381" t="inlineStr">
        <is>
          <t>Föryngringsavverkning</t>
        </is>
      </c>
      <c r="D1381" s="1" t="n">
        <v>45265</v>
      </c>
      <c r="E1381" s="1" t="n">
        <v>46312</v>
      </c>
      <c r="F1381" t="inlineStr">
        <is>
          <t>SKÅNE LÄN</t>
        </is>
      </c>
      <c r="G1381" t="inlineStr">
        <is>
          <t>SJÖBO</t>
        </is>
      </c>
      <c r="I1381" t="n">
        <v>0.9</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8110-2025</t>
        </is>
      </c>
      <c r="B1382" t="inlineStr">
        <is>
          <t>avverkningsanmälan</t>
        </is>
      </c>
      <c r="C1382" t="inlineStr">
        <is>
          <t>Föryngringsavverkning</t>
        </is>
      </c>
      <c r="D1382" s="1" t="n">
        <v>45707</v>
      </c>
      <c r="E1382" s="1" t="n">
        <v>46312</v>
      </c>
      <c r="F1382" t="inlineStr">
        <is>
          <t>SKÅNE LÄN</t>
        </is>
      </c>
      <c r="G1382" t="inlineStr">
        <is>
          <t>KRISTIANSTAD</t>
        </is>
      </c>
      <c r="I1382" t="n">
        <v>2.3</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1644-2025</t>
        </is>
      </c>
      <c r="B1383" t="inlineStr">
        <is>
          <t>avverkningsanmälan</t>
        </is>
      </c>
      <c r="C1383" t="inlineStr">
        <is>
          <t>Föryngringsavverkning</t>
        </is>
      </c>
      <c r="D1383" s="1" t="n">
        <v>45670</v>
      </c>
      <c r="E1383" s="1" t="n">
        <v>46312</v>
      </c>
      <c r="F1383" t="inlineStr">
        <is>
          <t>SKÅNE LÄN</t>
        </is>
      </c>
      <c r="G1383" t="inlineStr">
        <is>
          <t>ÄNGELHOLM</t>
        </is>
      </c>
      <c r="I1383" t="n">
        <v>1</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10209-2023</t>
        </is>
      </c>
      <c r="B1384" t="inlineStr">
        <is>
          <t>avverkningsanmälan</t>
        </is>
      </c>
      <c r="C1384" t="inlineStr">
        <is>
          <t>Föryngringsavverkning</t>
        </is>
      </c>
      <c r="D1384" s="1" t="n">
        <v>44986</v>
      </c>
      <c r="E1384" s="1" t="n">
        <v>46312</v>
      </c>
      <c r="F1384" t="inlineStr">
        <is>
          <t>SKÅNE LÄN</t>
        </is>
      </c>
      <c r="G1384" t="inlineStr">
        <is>
          <t>SVALÖV</t>
        </is>
      </c>
      <c r="I1384" t="n">
        <v>1.2</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10220-2023</t>
        </is>
      </c>
      <c r="B1385" t="inlineStr">
        <is>
          <t>avverkningsanmälan</t>
        </is>
      </c>
      <c r="C1385" t="inlineStr">
        <is>
          <t>Föryngringsavverkning</t>
        </is>
      </c>
      <c r="D1385" s="1" t="n">
        <v>44986</v>
      </c>
      <c r="E1385" s="1" t="n">
        <v>46312</v>
      </c>
      <c r="F1385" t="inlineStr">
        <is>
          <t>SKÅNE LÄN</t>
        </is>
      </c>
      <c r="G1385" t="inlineStr">
        <is>
          <t>HÄSSLEHOLM</t>
        </is>
      </c>
      <c r="I1385" t="n">
        <v>1.7</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5262-2022</t>
        </is>
      </c>
      <c r="B1386" t="inlineStr">
        <is>
          <t>avverkningsanmälan</t>
        </is>
      </c>
      <c r="C1386" t="inlineStr">
        <is>
          <t>Föryngringsavverkning</t>
        </is>
      </c>
      <c r="D1386" s="1" t="n">
        <v>44594</v>
      </c>
      <c r="E1386" s="1" t="n">
        <v>46312</v>
      </c>
      <c r="F1386" t="inlineStr">
        <is>
          <t>SKÅNE LÄN</t>
        </is>
      </c>
      <c r="G1386" t="inlineStr">
        <is>
          <t>OSBY</t>
        </is>
      </c>
      <c r="I1386" t="n">
        <v>2.9</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14632-2024</t>
        </is>
      </c>
      <c r="B1387" t="inlineStr">
        <is>
          <t>avverkningsanmälan</t>
        </is>
      </c>
      <c r="C1387" t="inlineStr">
        <is>
          <t>Föryngringsavverkning</t>
        </is>
      </c>
      <c r="D1387" s="1" t="n">
        <v>45397</v>
      </c>
      <c r="E1387" s="1" t="n">
        <v>46312</v>
      </c>
      <c r="F1387" t="inlineStr">
        <is>
          <t>SKÅNE LÄN</t>
        </is>
      </c>
      <c r="G1387" t="inlineStr">
        <is>
          <t>PERSTORP</t>
        </is>
      </c>
      <c r="I1387" t="n">
        <v>0.9</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31701-2023</t>
        </is>
      </c>
      <c r="B1388" t="inlineStr">
        <is>
          <t>avverkningsanmälan</t>
        </is>
      </c>
      <c r="C1388" t="inlineStr">
        <is>
          <t>Föryngringsavverkning</t>
        </is>
      </c>
      <c r="D1388" s="1" t="n">
        <v>45117</v>
      </c>
      <c r="E1388" s="1" t="n">
        <v>46312</v>
      </c>
      <c r="F1388" t="inlineStr">
        <is>
          <t>SKÅNE LÄN</t>
        </is>
      </c>
      <c r="G1388" t="inlineStr">
        <is>
          <t>SVEDALA</t>
        </is>
      </c>
      <c r="I1388" t="n">
        <v>0.7</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31704-2023</t>
        </is>
      </c>
      <c r="B1389" t="inlineStr">
        <is>
          <t>avverkningsanmälan</t>
        </is>
      </c>
      <c r="C1389" t="inlineStr">
        <is>
          <t>Föryngringsavverkning</t>
        </is>
      </c>
      <c r="D1389" s="1" t="n">
        <v>45117</v>
      </c>
      <c r="E1389" s="1" t="n">
        <v>46312</v>
      </c>
      <c r="F1389" t="inlineStr">
        <is>
          <t>SKÅNE LÄN</t>
        </is>
      </c>
      <c r="G1389" t="inlineStr">
        <is>
          <t>ÖRKELLJUNGA</t>
        </is>
      </c>
      <c r="I1389" t="n">
        <v>6.7</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6886-2024</t>
        </is>
      </c>
      <c r="B1390" t="inlineStr">
        <is>
          <t>avverkningsanmälan</t>
        </is>
      </c>
      <c r="C1390" t="inlineStr">
        <is>
          <t>Föryngringsavverkning</t>
        </is>
      </c>
      <c r="D1390" s="1" t="n">
        <v>45342</v>
      </c>
      <c r="E1390" s="1" t="n">
        <v>46312</v>
      </c>
      <c r="F1390" t="inlineStr">
        <is>
          <t>SKÅNE LÄN</t>
        </is>
      </c>
      <c r="G1390" t="inlineStr">
        <is>
          <t>HÖRBY</t>
        </is>
      </c>
      <c r="H1390" t="inlineStr">
        <is>
          <t>Sveaskog</t>
        </is>
      </c>
      <c r="I1390" t="n">
        <v>0.5</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32834-2024</t>
        </is>
      </c>
      <c r="B1391" t="inlineStr">
        <is>
          <t>avverkningsanmälan</t>
        </is>
      </c>
      <c r="C1391" t="inlineStr">
        <is>
          <t>Föryngringsavverkning</t>
        </is>
      </c>
      <c r="D1391" s="1" t="n">
        <v>45516</v>
      </c>
      <c r="E1391" s="1" t="n">
        <v>46312</v>
      </c>
      <c r="F1391" t="inlineStr">
        <is>
          <t>SKÅNE LÄN</t>
        </is>
      </c>
      <c r="G1391" t="inlineStr">
        <is>
          <t>HÄSSLEHOLM</t>
        </is>
      </c>
      <c r="I1391" t="n">
        <v>0.7</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61979-2024</t>
        </is>
      </c>
      <c r="B1392" t="inlineStr">
        <is>
          <t>avverkningsanmälan</t>
        </is>
      </c>
      <c r="C1392" t="inlineStr">
        <is>
          <t>Föryngringsavverkning</t>
        </is>
      </c>
      <c r="D1392" s="1" t="n">
        <v>45646</v>
      </c>
      <c r="E1392" s="1" t="n">
        <v>46312</v>
      </c>
      <c r="F1392" t="inlineStr">
        <is>
          <t>SKÅNE LÄN</t>
        </is>
      </c>
      <c r="G1392" t="inlineStr">
        <is>
          <t>OSBY</t>
        </is>
      </c>
      <c r="H1392" t="inlineStr">
        <is>
          <t>Kyrkan</t>
        </is>
      </c>
      <c r="I1392" t="n">
        <v>11</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35810-2023</t>
        </is>
      </c>
      <c r="B1393" t="inlineStr">
        <is>
          <t>avverkningsanmälan</t>
        </is>
      </c>
      <c r="C1393" t="inlineStr">
        <is>
          <t>Föryngringsavverkning</t>
        </is>
      </c>
      <c r="D1393" s="1" t="n">
        <v>45148</v>
      </c>
      <c r="E1393" s="1" t="n">
        <v>46312</v>
      </c>
      <c r="F1393" t="inlineStr">
        <is>
          <t>SKÅNE LÄN</t>
        </is>
      </c>
      <c r="G1393" t="inlineStr">
        <is>
          <t>HÄSSLEHOLM</t>
        </is>
      </c>
      <c r="I1393" t="n">
        <v>1.2</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35833-2023</t>
        </is>
      </c>
      <c r="B1394" t="inlineStr">
        <is>
          <t>avverkningsanmälan</t>
        </is>
      </c>
      <c r="C1394" t="inlineStr">
        <is>
          <t>Föryngringsavverkning</t>
        </is>
      </c>
      <c r="D1394" s="1" t="n">
        <v>45148</v>
      </c>
      <c r="E1394" s="1" t="n">
        <v>46312</v>
      </c>
      <c r="F1394" t="inlineStr">
        <is>
          <t>SKÅNE LÄN</t>
        </is>
      </c>
      <c r="G1394" t="inlineStr">
        <is>
          <t>HÄSSLEHOLM</t>
        </is>
      </c>
      <c r="H1394" t="inlineStr">
        <is>
          <t>Kommuner</t>
        </is>
      </c>
      <c r="I1394" t="n">
        <v>2</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35673-2023</t>
        </is>
      </c>
      <c r="B1395" t="inlineStr">
        <is>
          <t>avverkningsanmälan</t>
        </is>
      </c>
      <c r="C1395" t="inlineStr">
        <is>
          <t>Föryngringsavverkning</t>
        </is>
      </c>
      <c r="D1395" s="1" t="n">
        <v>45147</v>
      </c>
      <c r="E1395" s="1" t="n">
        <v>46312</v>
      </c>
      <c r="F1395" t="inlineStr">
        <is>
          <t>SKÅNE LÄN</t>
        </is>
      </c>
      <c r="G1395" t="inlineStr">
        <is>
          <t>ÖSTRA GÖINGE</t>
        </is>
      </c>
      <c r="I1395" t="n">
        <v>0.6</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11638-2025</t>
        </is>
      </c>
      <c r="B1396" t="inlineStr">
        <is>
          <t>avverkningsanmälan</t>
        </is>
      </c>
      <c r="C1396" t="inlineStr">
        <is>
          <t>Föryngringsavverkning</t>
        </is>
      </c>
      <c r="D1396" s="1" t="n">
        <v>45727</v>
      </c>
      <c r="E1396" s="1" t="n">
        <v>46312</v>
      </c>
      <c r="F1396" t="inlineStr">
        <is>
          <t>SKÅNE LÄN</t>
        </is>
      </c>
      <c r="G1396" t="inlineStr">
        <is>
          <t>ÖSTRA GÖINGE</t>
        </is>
      </c>
      <c r="I1396" t="n">
        <v>1.3</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9397-2025</t>
        </is>
      </c>
      <c r="B1397" t="inlineStr">
        <is>
          <t>avverkningsanmälan</t>
        </is>
      </c>
      <c r="C1397" t="inlineStr">
        <is>
          <t>Föryngringsavverkning</t>
        </is>
      </c>
      <c r="D1397" s="1" t="n">
        <v>45715</v>
      </c>
      <c r="E1397" s="1" t="n">
        <v>46312</v>
      </c>
      <c r="F1397" t="inlineStr">
        <is>
          <t>SKÅNE LÄN</t>
        </is>
      </c>
      <c r="G1397" t="inlineStr">
        <is>
          <t>HÄSSLEHOLM</t>
        </is>
      </c>
      <c r="I1397" t="n">
        <v>1.2</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59556-2023</t>
        </is>
      </c>
      <c r="B1398" t="inlineStr">
        <is>
          <t>avverkningsanmälan</t>
        </is>
      </c>
      <c r="C1398" t="inlineStr">
        <is>
          <t>Föryngringsavverkning</t>
        </is>
      </c>
      <c r="D1398" s="1" t="n">
        <v>45254</v>
      </c>
      <c r="E1398" s="1" t="n">
        <v>46312</v>
      </c>
      <c r="F1398" t="inlineStr">
        <is>
          <t>SKÅNE LÄN</t>
        </is>
      </c>
      <c r="G1398" t="inlineStr">
        <is>
          <t>HÄSSLEHOLM</t>
        </is>
      </c>
      <c r="I1398" t="n">
        <v>0.6</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59109-2023</t>
        </is>
      </c>
      <c r="B1399" t="inlineStr">
        <is>
          <t>avverkningsanmälan</t>
        </is>
      </c>
      <c r="C1399" t="inlineStr">
        <is>
          <t>Föryngringsavverkning</t>
        </is>
      </c>
      <c r="D1399" s="1" t="n">
        <v>45253</v>
      </c>
      <c r="E1399" s="1" t="n">
        <v>46312</v>
      </c>
      <c r="F1399" t="inlineStr">
        <is>
          <t>SKÅNE LÄN</t>
        </is>
      </c>
      <c r="G1399" t="inlineStr">
        <is>
          <t>HÄSSLEHOLM</t>
        </is>
      </c>
      <c r="I1399" t="n">
        <v>0.5</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3452-2022</t>
        </is>
      </c>
      <c r="B1400" t="inlineStr">
        <is>
          <t>avverkningsanmälan</t>
        </is>
      </c>
      <c r="C1400" t="inlineStr">
        <is>
          <t>Föryngringsavverkning</t>
        </is>
      </c>
      <c r="D1400" s="1" t="n">
        <v>44585</v>
      </c>
      <c r="E1400" s="1" t="n">
        <v>46312</v>
      </c>
      <c r="F1400" t="inlineStr">
        <is>
          <t>SKÅNE LÄN</t>
        </is>
      </c>
      <c r="G1400" t="inlineStr">
        <is>
          <t>OSBY</t>
        </is>
      </c>
      <c r="H1400" t="inlineStr">
        <is>
          <t>Sveaskog</t>
        </is>
      </c>
      <c r="I1400" t="n">
        <v>2.7</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22330-2024</t>
        </is>
      </c>
      <c r="B1401" t="inlineStr">
        <is>
          <t>avverkningsanmälan</t>
        </is>
      </c>
      <c r="C1401" t="inlineStr">
        <is>
          <t>Föryngringsavverkning</t>
        </is>
      </c>
      <c r="D1401" s="1" t="n">
        <v>45446</v>
      </c>
      <c r="E1401" s="1" t="n">
        <v>46312</v>
      </c>
      <c r="F1401" t="inlineStr">
        <is>
          <t>SKÅNE LÄN</t>
        </is>
      </c>
      <c r="G1401" t="inlineStr">
        <is>
          <t>SJÖBO</t>
        </is>
      </c>
      <c r="I1401" t="n">
        <v>4.4</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54462-2022</t>
        </is>
      </c>
      <c r="B1402" t="inlineStr">
        <is>
          <t>avverkningsanmälan</t>
        </is>
      </c>
      <c r="C1402" t="inlineStr">
        <is>
          <t>Föryngringsavverkning</t>
        </is>
      </c>
      <c r="D1402" s="1" t="n">
        <v>44882</v>
      </c>
      <c r="E1402" s="1" t="n">
        <v>46312</v>
      </c>
      <c r="F1402" t="inlineStr">
        <is>
          <t>SKÅNE LÄN</t>
        </is>
      </c>
      <c r="G1402" t="inlineStr">
        <is>
          <t>HÄSSLEHOLM</t>
        </is>
      </c>
      <c r="I1402" t="n">
        <v>0.8</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6006-2024</t>
        </is>
      </c>
      <c r="B1403" t="inlineStr">
        <is>
          <t>avverkningsanmälan</t>
        </is>
      </c>
      <c r="C1403" t="inlineStr">
        <is>
          <t>Föryngringsavverkning</t>
        </is>
      </c>
      <c r="D1403" s="1" t="n">
        <v>45336</v>
      </c>
      <c r="E1403" s="1" t="n">
        <v>46312</v>
      </c>
      <c r="F1403" t="inlineStr">
        <is>
          <t>SKÅNE LÄN</t>
        </is>
      </c>
      <c r="G1403" t="inlineStr">
        <is>
          <t>SIMRISHAMN</t>
        </is>
      </c>
      <c r="I1403" t="n">
        <v>2.9</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7043-2024</t>
        </is>
      </c>
      <c r="B1404" t="inlineStr">
        <is>
          <t>avverkningsanmälan</t>
        </is>
      </c>
      <c r="C1404" t="inlineStr">
        <is>
          <t>Föryngringsavverkning</t>
        </is>
      </c>
      <c r="D1404" s="1" t="n">
        <v>45343</v>
      </c>
      <c r="E1404" s="1" t="n">
        <v>46312</v>
      </c>
      <c r="F1404" t="inlineStr">
        <is>
          <t>SKÅNE LÄN</t>
        </is>
      </c>
      <c r="G1404" t="inlineStr">
        <is>
          <t>KRISTIANSTAD</t>
        </is>
      </c>
      <c r="H1404" t="inlineStr">
        <is>
          <t>Sveaskog</t>
        </is>
      </c>
      <c r="I1404" t="n">
        <v>0.8</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25611-2024</t>
        </is>
      </c>
      <c r="B1405" t="inlineStr">
        <is>
          <t>avverkningsanmälan</t>
        </is>
      </c>
      <c r="C1405" t="inlineStr">
        <is>
          <t>Föryngringsavverkning</t>
        </is>
      </c>
      <c r="D1405" s="1" t="n">
        <v>45463</v>
      </c>
      <c r="E1405" s="1" t="n">
        <v>46312</v>
      </c>
      <c r="F1405" t="inlineStr">
        <is>
          <t>SKÅNE LÄN</t>
        </is>
      </c>
      <c r="G1405" t="inlineStr">
        <is>
          <t>HÄSSLEHOLM</t>
        </is>
      </c>
      <c r="I1405" t="n">
        <v>0.6</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53077-2022</t>
        </is>
      </c>
      <c r="B1406" t="inlineStr">
        <is>
          <t>avverkningsanmälan</t>
        </is>
      </c>
      <c r="C1406" t="inlineStr">
        <is>
          <t>Föryngringsavverkning</t>
        </is>
      </c>
      <c r="D1406" s="1" t="n">
        <v>44873</v>
      </c>
      <c r="E1406" s="1" t="n">
        <v>46312</v>
      </c>
      <c r="F1406" t="inlineStr">
        <is>
          <t>SKÅNE LÄN</t>
        </is>
      </c>
      <c r="G1406" t="inlineStr">
        <is>
          <t>HÄSSLEHOLM</t>
        </is>
      </c>
      <c r="I1406" t="n">
        <v>3</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743-2024</t>
        </is>
      </c>
      <c r="B1407" t="inlineStr">
        <is>
          <t>avverkningsanmälan</t>
        </is>
      </c>
      <c r="C1407" t="inlineStr">
        <is>
          <t>Föryngringsavverkning</t>
        </is>
      </c>
      <c r="D1407" s="1" t="n">
        <v>45300</v>
      </c>
      <c r="E1407" s="1" t="n">
        <v>46312</v>
      </c>
      <c r="F1407" t="inlineStr">
        <is>
          <t>SKÅNE LÄN</t>
        </is>
      </c>
      <c r="G1407" t="inlineStr">
        <is>
          <t>TOMELILLA</t>
        </is>
      </c>
      <c r="H1407" t="inlineStr">
        <is>
          <t>Övriga Aktiebolag</t>
        </is>
      </c>
      <c r="I1407" t="n">
        <v>11.1</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7094-2023</t>
        </is>
      </c>
      <c r="B1408" t="inlineStr">
        <is>
          <t>avverkningsanmälan</t>
        </is>
      </c>
      <c r="C1408" t="inlineStr">
        <is>
          <t>Föryngringsavverkning</t>
        </is>
      </c>
      <c r="D1408" s="1" t="n">
        <v>44970</v>
      </c>
      <c r="E1408" s="1" t="n">
        <v>46312</v>
      </c>
      <c r="F1408" t="inlineStr">
        <is>
          <t>SKÅNE LÄN</t>
        </is>
      </c>
      <c r="G1408" t="inlineStr">
        <is>
          <t>HÄSSLEHOLM</t>
        </is>
      </c>
      <c r="I1408" t="n">
        <v>3.6</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12600-2025</t>
        </is>
      </c>
      <c r="B1409" t="inlineStr">
        <is>
          <t>avverkningsanmälan</t>
        </is>
      </c>
      <c r="C1409" t="inlineStr">
        <is>
          <t>Föryngringsavverkning</t>
        </is>
      </c>
      <c r="D1409" s="1" t="n">
        <v>45733</v>
      </c>
      <c r="E1409" s="1" t="n">
        <v>46312</v>
      </c>
      <c r="F1409" t="inlineStr">
        <is>
          <t>SKÅNE LÄN</t>
        </is>
      </c>
      <c r="G1409" t="inlineStr">
        <is>
          <t>OSBY</t>
        </is>
      </c>
      <c r="H1409" t="inlineStr">
        <is>
          <t>Sveaskog</t>
        </is>
      </c>
      <c r="I1409" t="n">
        <v>0.4</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15070-2024</t>
        </is>
      </c>
      <c r="B1410" t="inlineStr">
        <is>
          <t>avverkningsanmälan</t>
        </is>
      </c>
      <c r="C1410" t="inlineStr">
        <is>
          <t>Föryngringsavverkning</t>
        </is>
      </c>
      <c r="D1410" s="1" t="n">
        <v>45399</v>
      </c>
      <c r="E1410" s="1" t="n">
        <v>46312</v>
      </c>
      <c r="F1410" t="inlineStr">
        <is>
          <t>SKÅNE LÄN</t>
        </is>
      </c>
      <c r="G1410" t="inlineStr">
        <is>
          <t>KLIPPAN</t>
        </is>
      </c>
      <c r="H1410" t="inlineStr">
        <is>
          <t>Övriga Aktiebolag</t>
        </is>
      </c>
      <c r="I1410" t="n">
        <v>4.9</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15075-2024</t>
        </is>
      </c>
      <c r="B1411" t="inlineStr">
        <is>
          <t>avverkningsanmälan</t>
        </is>
      </c>
      <c r="C1411" t="inlineStr">
        <is>
          <t>Avverkning för annat ändamål</t>
        </is>
      </c>
      <c r="D1411" s="1" t="n">
        <v>45399</v>
      </c>
      <c r="E1411" s="1" t="n">
        <v>46312</v>
      </c>
      <c r="F1411" t="inlineStr">
        <is>
          <t>SKÅNE LÄN</t>
        </is>
      </c>
      <c r="G1411" t="inlineStr">
        <is>
          <t>TOMELILLA</t>
        </is>
      </c>
      <c r="I1411" t="n">
        <v>1.7</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19744-2023</t>
        </is>
      </c>
      <c r="B1412" t="inlineStr">
        <is>
          <t>avverkningsanmälan</t>
        </is>
      </c>
      <c r="C1412" t="inlineStr">
        <is>
          <t>Föryngringsavverkning</t>
        </is>
      </c>
      <c r="D1412" s="1" t="n">
        <v>45051</v>
      </c>
      <c r="E1412" s="1" t="n">
        <v>46312</v>
      </c>
      <c r="F1412" t="inlineStr">
        <is>
          <t>SKÅNE LÄN</t>
        </is>
      </c>
      <c r="G1412" t="inlineStr">
        <is>
          <t>HÄSSLEHOLM</t>
        </is>
      </c>
      <c r="I1412" t="n">
        <v>0.4</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25671-2023</t>
        </is>
      </c>
      <c r="B1413" t="inlineStr">
        <is>
          <t>avverkningsanmälan</t>
        </is>
      </c>
      <c r="C1413" t="inlineStr">
        <is>
          <t>Avverkning för annat ändamål</t>
        </is>
      </c>
      <c r="D1413" s="1" t="n">
        <v>45089</v>
      </c>
      <c r="E1413" s="1" t="n">
        <v>46312</v>
      </c>
      <c r="F1413" t="inlineStr">
        <is>
          <t>SKÅNE LÄN</t>
        </is>
      </c>
      <c r="G1413" t="inlineStr">
        <is>
          <t>KRISTIANSTAD</t>
        </is>
      </c>
      <c r="I1413" t="n">
        <v>4.3</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41069-2023</t>
        </is>
      </c>
      <c r="B1414" t="inlineStr">
        <is>
          <t>avverkningsanmälan</t>
        </is>
      </c>
      <c r="C1414" t="inlineStr">
        <is>
          <t>Föryngringsavverkning</t>
        </is>
      </c>
      <c r="D1414" s="1" t="n">
        <v>45173</v>
      </c>
      <c r="E1414" s="1" t="n">
        <v>46312</v>
      </c>
      <c r="F1414" t="inlineStr">
        <is>
          <t>SKÅNE LÄN</t>
        </is>
      </c>
      <c r="G1414" t="inlineStr">
        <is>
          <t>KRISTIANSTAD</t>
        </is>
      </c>
      <c r="I1414" t="n">
        <v>1.3</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14912-2024</t>
        </is>
      </c>
      <c r="B1415" t="inlineStr">
        <is>
          <t>avverkningsanmälan</t>
        </is>
      </c>
      <c r="C1415" t="inlineStr">
        <is>
          <t>Avverkning för annat ändamål</t>
        </is>
      </c>
      <c r="D1415" s="1" t="n">
        <v>45398</v>
      </c>
      <c r="E1415" s="1" t="n">
        <v>46312</v>
      </c>
      <c r="F1415" t="inlineStr">
        <is>
          <t>SKÅNE LÄN</t>
        </is>
      </c>
      <c r="G1415" t="inlineStr">
        <is>
          <t>ÖRKELLJUNGA</t>
        </is>
      </c>
      <c r="I1415" t="n">
        <v>0.6</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14926-2024</t>
        </is>
      </c>
      <c r="B1416" t="inlineStr">
        <is>
          <t>avverkningsanmälan</t>
        </is>
      </c>
      <c r="C1416" t="inlineStr">
        <is>
          <t>Föryngringsavverkning</t>
        </is>
      </c>
      <c r="D1416" s="1" t="n">
        <v>45398</v>
      </c>
      <c r="E1416" s="1" t="n">
        <v>46312</v>
      </c>
      <c r="F1416" t="inlineStr">
        <is>
          <t>SKÅNE LÄN</t>
        </is>
      </c>
      <c r="G1416" t="inlineStr">
        <is>
          <t>HÄSSLEHOLM</t>
        </is>
      </c>
      <c r="I1416" t="n">
        <v>3.4</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60843-2022</t>
        </is>
      </c>
      <c r="B1417" t="inlineStr">
        <is>
          <t>avverkningsanmälan</t>
        </is>
      </c>
      <c r="C1417" t="inlineStr">
        <is>
          <t>Föryngringsavverkning</t>
        </is>
      </c>
      <c r="D1417" s="1" t="n">
        <v>44914</v>
      </c>
      <c r="E1417" s="1" t="n">
        <v>46312</v>
      </c>
      <c r="F1417" t="inlineStr">
        <is>
          <t>SKÅNE LÄN</t>
        </is>
      </c>
      <c r="G1417" t="inlineStr">
        <is>
          <t>HÄSSLEHOLM</t>
        </is>
      </c>
      <c r="I1417" t="n">
        <v>2.2</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38182-2024</t>
        </is>
      </c>
      <c r="B1418" t="inlineStr">
        <is>
          <t>avverkningsanmälan</t>
        </is>
      </c>
      <c r="C1418" t="inlineStr">
        <is>
          <t>Föryngringsavverkning</t>
        </is>
      </c>
      <c r="D1418" s="1" t="n">
        <v>45545</v>
      </c>
      <c r="E1418" s="1" t="n">
        <v>46312</v>
      </c>
      <c r="F1418" t="inlineStr">
        <is>
          <t>SKÅNE LÄN</t>
        </is>
      </c>
      <c r="G1418" t="inlineStr">
        <is>
          <t>BJUV</t>
        </is>
      </c>
      <c r="I1418" t="n">
        <v>0.5</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33358-2023</t>
        </is>
      </c>
      <c r="B1419" t="inlineStr">
        <is>
          <t>avverkningsanmälan</t>
        </is>
      </c>
      <c r="C1419" t="inlineStr">
        <is>
          <t>Föryngringsavverkning</t>
        </is>
      </c>
      <c r="D1419" s="1" t="n">
        <v>45128</v>
      </c>
      <c r="E1419" s="1" t="n">
        <v>46312</v>
      </c>
      <c r="F1419" t="inlineStr">
        <is>
          <t>SKÅNE LÄN</t>
        </is>
      </c>
      <c r="G1419" t="inlineStr">
        <is>
          <t>HÖRBY</t>
        </is>
      </c>
      <c r="I1419" t="n">
        <v>0.4</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15562-2024</t>
        </is>
      </c>
      <c r="B1420" t="inlineStr">
        <is>
          <t>avverkningsanmälan</t>
        </is>
      </c>
      <c r="C1420" t="inlineStr">
        <is>
          <t>Föryngringsavverkning</t>
        </is>
      </c>
      <c r="D1420" s="1" t="n">
        <v>45401</v>
      </c>
      <c r="E1420" s="1" t="n">
        <v>46312</v>
      </c>
      <c r="F1420" t="inlineStr">
        <is>
          <t>SKÅNE LÄN</t>
        </is>
      </c>
      <c r="G1420" t="inlineStr">
        <is>
          <t>HÄSSLEHOLM</t>
        </is>
      </c>
      <c r="I1420" t="n">
        <v>0.8</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11887-2024</t>
        </is>
      </c>
      <c r="B1421" t="inlineStr">
        <is>
          <t>avverkningsanmälan</t>
        </is>
      </c>
      <c r="C1421" t="inlineStr">
        <is>
          <t>Föryngringsavverkning</t>
        </is>
      </c>
      <c r="D1421" s="1" t="n">
        <v>45376</v>
      </c>
      <c r="E1421" s="1" t="n">
        <v>46312</v>
      </c>
      <c r="F1421" t="inlineStr">
        <is>
          <t>SKÅNE LÄN</t>
        </is>
      </c>
      <c r="G1421" t="inlineStr">
        <is>
          <t>TOMELILLA</t>
        </is>
      </c>
      <c r="H1421" t="inlineStr">
        <is>
          <t>Övriga Aktiebolag</t>
        </is>
      </c>
      <c r="I1421" t="n">
        <v>6.3</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61504-2022</t>
        </is>
      </c>
      <c r="B1422" t="inlineStr">
        <is>
          <t>avverkningsanmälan</t>
        </is>
      </c>
      <c r="C1422" t="inlineStr">
        <is>
          <t>Föryngringsavverkning</t>
        </is>
      </c>
      <c r="D1422" s="1" t="n">
        <v>44910</v>
      </c>
      <c r="E1422" s="1" t="n">
        <v>46312</v>
      </c>
      <c r="F1422" t="inlineStr">
        <is>
          <t>SKÅNE LÄN</t>
        </is>
      </c>
      <c r="G1422" t="inlineStr">
        <is>
          <t>HÄSSLEHOLM</t>
        </is>
      </c>
      <c r="H1422" t="inlineStr">
        <is>
          <t>Kyrkan</t>
        </is>
      </c>
      <c r="I1422" t="n">
        <v>2.9</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35804-2023</t>
        </is>
      </c>
      <c r="B1423" t="inlineStr">
        <is>
          <t>avverkningsanmälan</t>
        </is>
      </c>
      <c r="C1423" t="inlineStr">
        <is>
          <t>Föryngringsavverkning</t>
        </is>
      </c>
      <c r="D1423" s="1" t="n">
        <v>45148</v>
      </c>
      <c r="E1423" s="1" t="n">
        <v>46312</v>
      </c>
      <c r="F1423" t="inlineStr">
        <is>
          <t>SKÅNE LÄN</t>
        </is>
      </c>
      <c r="G1423" t="inlineStr">
        <is>
          <t>BROMÖLLA</t>
        </is>
      </c>
      <c r="I1423" t="n">
        <v>0.4</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31525-2023</t>
        </is>
      </c>
      <c r="B1424" t="inlineStr">
        <is>
          <t>avverkningsanmälan</t>
        </is>
      </c>
      <c r="C1424" t="inlineStr">
        <is>
          <t>Föryngringsavverkning</t>
        </is>
      </c>
      <c r="D1424" s="1" t="n">
        <v>45116</v>
      </c>
      <c r="E1424" s="1" t="n">
        <v>46312</v>
      </c>
      <c r="F1424" t="inlineStr">
        <is>
          <t>SKÅNE LÄN</t>
        </is>
      </c>
      <c r="G1424" t="inlineStr">
        <is>
          <t>KRISTIANSTAD</t>
        </is>
      </c>
      <c r="H1424" t="inlineStr">
        <is>
          <t>Sveaskog</t>
        </is>
      </c>
      <c r="I1424" t="n">
        <v>0.8</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40388-2024</t>
        </is>
      </c>
      <c r="B1425" t="inlineStr">
        <is>
          <t>avverkningsanmälan</t>
        </is>
      </c>
      <c r="C1425" t="inlineStr">
        <is>
          <t>Föryngringsavverkning</t>
        </is>
      </c>
      <c r="D1425" s="1" t="n">
        <v>45555</v>
      </c>
      <c r="E1425" s="1" t="n">
        <v>46312</v>
      </c>
      <c r="F1425" t="inlineStr">
        <is>
          <t>SKÅNE LÄN</t>
        </is>
      </c>
      <c r="G1425" t="inlineStr">
        <is>
          <t>OSBY</t>
        </is>
      </c>
      <c r="I1425" t="n">
        <v>0.4</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40423-2024</t>
        </is>
      </c>
      <c r="B1426" t="inlineStr">
        <is>
          <t>avverkningsanmälan</t>
        </is>
      </c>
      <c r="C1426" t="inlineStr">
        <is>
          <t>Föryngringsavverkning</t>
        </is>
      </c>
      <c r="D1426" s="1" t="n">
        <v>45555</v>
      </c>
      <c r="E1426" s="1" t="n">
        <v>46312</v>
      </c>
      <c r="F1426" t="inlineStr">
        <is>
          <t>SKÅNE LÄN</t>
        </is>
      </c>
      <c r="G1426" t="inlineStr">
        <is>
          <t>KRISTIANSTAD</t>
        </is>
      </c>
      <c r="I1426" t="n">
        <v>2.7</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12855-2023</t>
        </is>
      </c>
      <c r="B1427" t="inlineStr">
        <is>
          <t>avverkningsanmälan</t>
        </is>
      </c>
      <c r="C1427" t="inlineStr">
        <is>
          <t>Avverkning för annat ändamål</t>
        </is>
      </c>
      <c r="D1427" s="1" t="n">
        <v>45001</v>
      </c>
      <c r="E1427" s="1" t="n">
        <v>46312</v>
      </c>
      <c r="F1427" t="inlineStr">
        <is>
          <t>SKÅNE LÄN</t>
        </is>
      </c>
      <c r="G1427" t="inlineStr">
        <is>
          <t>HÖÖR</t>
        </is>
      </c>
      <c r="I1427" t="n">
        <v>1.2</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2543-2025</t>
        </is>
      </c>
      <c r="B1428" t="inlineStr">
        <is>
          <t>avverkningsanmälan</t>
        </is>
      </c>
      <c r="C1428" t="inlineStr">
        <is>
          <t>Föryngringsavverkning</t>
        </is>
      </c>
      <c r="D1428" s="1" t="n">
        <v>45674</v>
      </c>
      <c r="E1428" s="1" t="n">
        <v>46312</v>
      </c>
      <c r="F1428" t="inlineStr">
        <is>
          <t>SKÅNE LÄN</t>
        </is>
      </c>
      <c r="G1428" t="inlineStr">
        <is>
          <t>ÖSTRA GÖINGE</t>
        </is>
      </c>
      <c r="I1428" t="n">
        <v>2.1</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55545-2022</t>
        </is>
      </c>
      <c r="B1429" t="inlineStr">
        <is>
          <t>avverkningsanmälan</t>
        </is>
      </c>
      <c r="C1429" t="inlineStr">
        <is>
          <t>Föryngringsavverkning</t>
        </is>
      </c>
      <c r="D1429" s="1" t="n">
        <v>44887</v>
      </c>
      <c r="E1429" s="1" t="n">
        <v>46312</v>
      </c>
      <c r="F1429" t="inlineStr">
        <is>
          <t>SKÅNE LÄN</t>
        </is>
      </c>
      <c r="G1429" t="inlineStr">
        <is>
          <t>ÄNGELHOLM</t>
        </is>
      </c>
      <c r="I1429" t="n">
        <v>4.4</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217-2023</t>
        </is>
      </c>
      <c r="B1430" t="inlineStr">
        <is>
          <t>avverkningsanmälan</t>
        </is>
      </c>
      <c r="C1430" t="inlineStr">
        <is>
          <t>Föryngringsavverkning</t>
        </is>
      </c>
      <c r="D1430" s="1" t="n">
        <v>44928</v>
      </c>
      <c r="E1430" s="1" t="n">
        <v>46312</v>
      </c>
      <c r="F1430" t="inlineStr">
        <is>
          <t>SKÅNE LÄN</t>
        </is>
      </c>
      <c r="G1430" t="inlineStr">
        <is>
          <t>KLIPPAN</t>
        </is>
      </c>
      <c r="I1430" t="n">
        <v>3.6</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37999-2024</t>
        </is>
      </c>
      <c r="B1431" t="inlineStr">
        <is>
          <t>avverkningsanmälan</t>
        </is>
      </c>
      <c r="C1431" t="inlineStr">
        <is>
          <t>Föryngringsavverkning</t>
        </is>
      </c>
      <c r="D1431" s="1" t="n">
        <v>45544</v>
      </c>
      <c r="E1431" s="1" t="n">
        <v>46312</v>
      </c>
      <c r="F1431" t="inlineStr">
        <is>
          <t>SKÅNE LÄN</t>
        </is>
      </c>
      <c r="G1431" t="inlineStr">
        <is>
          <t>KRISTIANSTAD</t>
        </is>
      </c>
      <c r="I1431" t="n">
        <v>0.8</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3158-2023</t>
        </is>
      </c>
      <c r="B1432" t="inlineStr">
        <is>
          <t>avverkningsanmälan</t>
        </is>
      </c>
      <c r="C1432" t="inlineStr">
        <is>
          <t>Föryngringsavverkning</t>
        </is>
      </c>
      <c r="D1432" s="1" t="n">
        <v>44946</v>
      </c>
      <c r="E1432" s="1" t="n">
        <v>46312</v>
      </c>
      <c r="F1432" t="inlineStr">
        <is>
          <t>SKÅNE LÄN</t>
        </is>
      </c>
      <c r="G1432" t="inlineStr">
        <is>
          <t>ÖSTRA GÖINGE</t>
        </is>
      </c>
      <c r="I1432" t="n">
        <v>1.5</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62144-2023</t>
        </is>
      </c>
      <c r="B1433" t="inlineStr">
        <is>
          <t>avverkningsanmälan</t>
        </is>
      </c>
      <c r="C1433" t="inlineStr">
        <is>
          <t>Föryngringsavverkning</t>
        </is>
      </c>
      <c r="D1433" s="1" t="n">
        <v>45267</v>
      </c>
      <c r="E1433" s="1" t="n">
        <v>46312</v>
      </c>
      <c r="F1433" t="inlineStr">
        <is>
          <t>SKÅNE LÄN</t>
        </is>
      </c>
      <c r="G1433" t="inlineStr">
        <is>
          <t>ÖSTRA GÖINGE</t>
        </is>
      </c>
      <c r="I1433" t="n">
        <v>1.1</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10272-2023</t>
        </is>
      </c>
      <c r="B1434" t="inlineStr">
        <is>
          <t>avverkningsanmälan</t>
        </is>
      </c>
      <c r="C1434" t="inlineStr">
        <is>
          <t>Föryngringsavverkning</t>
        </is>
      </c>
      <c r="D1434" s="1" t="n">
        <v>44986</v>
      </c>
      <c r="E1434" s="1" t="n">
        <v>46312</v>
      </c>
      <c r="F1434" t="inlineStr">
        <is>
          <t>SKÅNE LÄN</t>
        </is>
      </c>
      <c r="G1434" t="inlineStr">
        <is>
          <t>TOMELILLA</t>
        </is>
      </c>
      <c r="H1434" t="inlineStr">
        <is>
          <t>Övriga Aktiebolag</t>
        </is>
      </c>
      <c r="I1434" t="n">
        <v>7.7</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5136-2023</t>
        </is>
      </c>
      <c r="B1435" t="inlineStr">
        <is>
          <t>avverkningsanmälan</t>
        </is>
      </c>
      <c r="C1435" t="inlineStr">
        <is>
          <t>Föryngringsavverkning</t>
        </is>
      </c>
      <c r="D1435" s="1" t="n">
        <v>44958</v>
      </c>
      <c r="E1435" s="1" t="n">
        <v>46312</v>
      </c>
      <c r="F1435" t="inlineStr">
        <is>
          <t>SKÅNE LÄN</t>
        </is>
      </c>
      <c r="G1435" t="inlineStr">
        <is>
          <t>ÖSTRA GÖINGE</t>
        </is>
      </c>
      <c r="I1435" t="n">
        <v>2.5</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38724-2023</t>
        </is>
      </c>
      <c r="B1436" t="inlineStr">
        <is>
          <t>avverkningsanmälan</t>
        </is>
      </c>
      <c r="C1436" t="inlineStr">
        <is>
          <t>Föryngringsavverkning</t>
        </is>
      </c>
      <c r="D1436" s="1" t="n">
        <v>45163</v>
      </c>
      <c r="E1436" s="1" t="n">
        <v>46312</v>
      </c>
      <c r="F1436" t="inlineStr">
        <is>
          <t>SKÅNE LÄN</t>
        </is>
      </c>
      <c r="G1436" t="inlineStr">
        <is>
          <t>KLIPPAN</t>
        </is>
      </c>
      <c r="I1436" t="n">
        <v>3.2</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19739-2023</t>
        </is>
      </c>
      <c r="B1437" t="inlineStr">
        <is>
          <t>avverkningsanmälan</t>
        </is>
      </c>
      <c r="C1437" t="inlineStr">
        <is>
          <t>Föryngringsavverkning</t>
        </is>
      </c>
      <c r="D1437" s="1" t="n">
        <v>45051</v>
      </c>
      <c r="E1437" s="1" t="n">
        <v>46312</v>
      </c>
      <c r="F1437" t="inlineStr">
        <is>
          <t>SKÅNE LÄN</t>
        </is>
      </c>
      <c r="G1437" t="inlineStr">
        <is>
          <t>HÄSSLEHOLM</t>
        </is>
      </c>
      <c r="I1437" t="n">
        <v>0.5</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48840-2023</t>
        </is>
      </c>
      <c r="B1438" t="inlineStr">
        <is>
          <t>avverkningsanmälan</t>
        </is>
      </c>
      <c r="C1438" t="inlineStr">
        <is>
          <t>Föryngringsavverkning</t>
        </is>
      </c>
      <c r="D1438" s="1" t="n">
        <v>45209</v>
      </c>
      <c r="E1438" s="1" t="n">
        <v>46312</v>
      </c>
      <c r="F1438" t="inlineStr">
        <is>
          <t>SKÅNE LÄN</t>
        </is>
      </c>
      <c r="G1438" t="inlineStr">
        <is>
          <t>OSBY</t>
        </is>
      </c>
      <c r="I1438" t="n">
        <v>7.9</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48853-2023</t>
        </is>
      </c>
      <c r="B1439" t="inlineStr">
        <is>
          <t>avverkningsanmälan</t>
        </is>
      </c>
      <c r="C1439" t="inlineStr">
        <is>
          <t>Föryngringsavverkning</t>
        </is>
      </c>
      <c r="D1439" s="1" t="n">
        <v>45204</v>
      </c>
      <c r="E1439" s="1" t="n">
        <v>46312</v>
      </c>
      <c r="F1439" t="inlineStr">
        <is>
          <t>SKÅNE LÄN</t>
        </is>
      </c>
      <c r="G1439" t="inlineStr">
        <is>
          <t>KRISTIANSTAD</t>
        </is>
      </c>
      <c r="I1439" t="n">
        <v>4.3</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8997-2024</t>
        </is>
      </c>
      <c r="B1440" t="inlineStr">
        <is>
          <t>avverkningsanmälan</t>
        </is>
      </c>
      <c r="C1440" t="inlineStr">
        <is>
          <t>Föryngringsavverkning</t>
        </is>
      </c>
      <c r="D1440" s="1" t="n">
        <v>45357</v>
      </c>
      <c r="E1440" s="1" t="n">
        <v>46312</v>
      </c>
      <c r="F1440" t="inlineStr">
        <is>
          <t>SKÅNE LÄN</t>
        </is>
      </c>
      <c r="G1440" t="inlineStr">
        <is>
          <t>KRISTIANSTAD</t>
        </is>
      </c>
      <c r="I1440" t="n">
        <v>0.6</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59763-2022</t>
        </is>
      </c>
      <c r="B1441" t="inlineStr">
        <is>
          <t>avverkningsanmälan</t>
        </is>
      </c>
      <c r="C1441" t="inlineStr">
        <is>
          <t>Föryngringsavverkning</t>
        </is>
      </c>
      <c r="D1441" s="1" t="n">
        <v>44900</v>
      </c>
      <c r="E1441" s="1" t="n">
        <v>46312</v>
      </c>
      <c r="F1441" t="inlineStr">
        <is>
          <t>SKÅNE LÄN</t>
        </is>
      </c>
      <c r="G1441" t="inlineStr">
        <is>
          <t>HÄSSLEHOLM</t>
        </is>
      </c>
      <c r="H1441" t="inlineStr">
        <is>
          <t>Övriga Aktiebolag</t>
        </is>
      </c>
      <c r="I1441" t="n">
        <v>1.2</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3364-2023</t>
        </is>
      </c>
      <c r="B1442" t="inlineStr">
        <is>
          <t>avverkningsanmälan</t>
        </is>
      </c>
      <c r="C1442" t="inlineStr">
        <is>
          <t>Föryngringsavverkning</t>
        </is>
      </c>
      <c r="D1442" s="1" t="n">
        <v>44949</v>
      </c>
      <c r="E1442" s="1" t="n">
        <v>46312</v>
      </c>
      <c r="F1442" t="inlineStr">
        <is>
          <t>SKÅNE LÄN</t>
        </is>
      </c>
      <c r="G1442" t="inlineStr">
        <is>
          <t>HÄSSLEHOLM</t>
        </is>
      </c>
      <c r="I1442" t="n">
        <v>5.1</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52968-2022</t>
        </is>
      </c>
      <c r="B1443" t="inlineStr">
        <is>
          <t>avverkningsanmälan</t>
        </is>
      </c>
      <c r="C1443" t="inlineStr">
        <is>
          <t>Föryngringsavverkning</t>
        </is>
      </c>
      <c r="D1443" s="1" t="n">
        <v>44875</v>
      </c>
      <c r="E1443" s="1" t="n">
        <v>46312</v>
      </c>
      <c r="F1443" t="inlineStr">
        <is>
          <t>SKÅNE LÄN</t>
        </is>
      </c>
      <c r="G1443" t="inlineStr">
        <is>
          <t>HÄSSLEHOLM</t>
        </is>
      </c>
      <c r="I1443" t="n">
        <v>2.6</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15568-2022</t>
        </is>
      </c>
      <c r="B1444" t="inlineStr">
        <is>
          <t>avverkningsanmälan</t>
        </is>
      </c>
      <c r="C1444" t="inlineStr">
        <is>
          <t>Föryngringsavverkning</t>
        </is>
      </c>
      <c r="D1444" s="1" t="n">
        <v>44662</v>
      </c>
      <c r="E1444" s="1" t="n">
        <v>46312</v>
      </c>
      <c r="F1444" t="inlineStr">
        <is>
          <t>SKÅNE LÄN</t>
        </is>
      </c>
      <c r="G1444" t="inlineStr">
        <is>
          <t>OSBY</t>
        </is>
      </c>
      <c r="I1444" t="n">
        <v>2.2</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9538-2023</t>
        </is>
      </c>
      <c r="B1445" t="inlineStr">
        <is>
          <t>avverkningsanmälan</t>
        </is>
      </c>
      <c r="C1445" t="inlineStr">
        <is>
          <t>Föryngringsavverkning</t>
        </is>
      </c>
      <c r="D1445" s="1" t="n">
        <v>44981</v>
      </c>
      <c r="E1445" s="1" t="n">
        <v>46312</v>
      </c>
      <c r="F1445" t="inlineStr">
        <is>
          <t>SKÅNE LÄN</t>
        </is>
      </c>
      <c r="G1445" t="inlineStr">
        <is>
          <t>ÖSTRA GÖINGE</t>
        </is>
      </c>
      <c r="I1445" t="n">
        <v>1.3</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59188-2022</t>
        </is>
      </c>
      <c r="B1446" t="inlineStr">
        <is>
          <t>avverkningsanmälan</t>
        </is>
      </c>
      <c r="C1446" t="inlineStr">
        <is>
          <t>Föryngringsavverkning</t>
        </is>
      </c>
      <c r="D1446" s="1" t="n">
        <v>44897</v>
      </c>
      <c r="E1446" s="1" t="n">
        <v>46312</v>
      </c>
      <c r="F1446" t="inlineStr">
        <is>
          <t>SKÅNE LÄN</t>
        </is>
      </c>
      <c r="G1446" t="inlineStr">
        <is>
          <t>ÖSTRA GÖINGE</t>
        </is>
      </c>
      <c r="I1446" t="n">
        <v>2.3</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58642-2021</t>
        </is>
      </c>
      <c r="B1447" t="inlineStr">
        <is>
          <t>avverkningsanmälan</t>
        </is>
      </c>
      <c r="C1447" t="inlineStr">
        <is>
          <t>Föryngringsavverkning</t>
        </is>
      </c>
      <c r="D1447" s="1" t="n">
        <v>44489</v>
      </c>
      <c r="E1447" s="1" t="n">
        <v>46312</v>
      </c>
      <c r="F1447" t="inlineStr">
        <is>
          <t>SKÅNE LÄN</t>
        </is>
      </c>
      <c r="G1447" t="inlineStr">
        <is>
          <t>KLIPPAN</t>
        </is>
      </c>
      <c r="I1447" t="n">
        <v>2</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36578-2022</t>
        </is>
      </c>
      <c r="B1448" t="inlineStr">
        <is>
          <t>avverkningsanmälan</t>
        </is>
      </c>
      <c r="C1448" t="inlineStr">
        <is>
          <t>Avverkning för annat ändamål</t>
        </is>
      </c>
      <c r="D1448" s="1" t="n">
        <v>44804</v>
      </c>
      <c r="E1448" s="1" t="n">
        <v>46312</v>
      </c>
      <c r="F1448" t="inlineStr">
        <is>
          <t>SKÅNE LÄN</t>
        </is>
      </c>
      <c r="G1448" t="inlineStr">
        <is>
          <t>VELLINGE</t>
        </is>
      </c>
      <c r="I1448" t="n">
        <v>0.3</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59257-2022</t>
        </is>
      </c>
      <c r="B1449" t="inlineStr">
        <is>
          <t>avverkningsanmälan</t>
        </is>
      </c>
      <c r="C1449" t="inlineStr">
        <is>
          <t>Föryngringsavverkning</t>
        </is>
      </c>
      <c r="D1449" s="1" t="n">
        <v>44904</v>
      </c>
      <c r="E1449" s="1" t="n">
        <v>46312</v>
      </c>
      <c r="F1449" t="inlineStr">
        <is>
          <t>SKÅNE LÄN</t>
        </is>
      </c>
      <c r="G1449" t="inlineStr">
        <is>
          <t>OSBY</t>
        </is>
      </c>
      <c r="I1449" t="n">
        <v>0.4</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60504-2023</t>
        </is>
      </c>
      <c r="B1450" t="inlineStr">
        <is>
          <t>avverkningsanmälan</t>
        </is>
      </c>
      <c r="C1450" t="inlineStr">
        <is>
          <t>Föryngringsavverkning</t>
        </is>
      </c>
      <c r="D1450" s="1" t="n">
        <v>45259</v>
      </c>
      <c r="E1450" s="1" t="n">
        <v>46312</v>
      </c>
      <c r="F1450" t="inlineStr">
        <is>
          <t>SKÅNE LÄN</t>
        </is>
      </c>
      <c r="G1450" t="inlineStr">
        <is>
          <t>PERSTORP</t>
        </is>
      </c>
      <c r="H1450" t="inlineStr">
        <is>
          <t>Övriga Aktiebolag</t>
        </is>
      </c>
      <c r="I1450" t="n">
        <v>3.5</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60519-2023</t>
        </is>
      </c>
      <c r="B1451" t="inlineStr">
        <is>
          <t>avverkningsanmälan</t>
        </is>
      </c>
      <c r="C1451" t="inlineStr">
        <is>
          <t>Föryngringsavverkning</t>
        </is>
      </c>
      <c r="D1451" s="1" t="n">
        <v>45259</v>
      </c>
      <c r="E1451" s="1" t="n">
        <v>46312</v>
      </c>
      <c r="F1451" t="inlineStr">
        <is>
          <t>SKÅNE LÄN</t>
        </is>
      </c>
      <c r="G1451" t="inlineStr">
        <is>
          <t>ÖSTRA GÖINGE</t>
        </is>
      </c>
      <c r="I1451" t="n">
        <v>0.4</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61402-2023</t>
        </is>
      </c>
      <c r="B1452" t="inlineStr">
        <is>
          <t>avverkningsanmälan</t>
        </is>
      </c>
      <c r="C1452" t="inlineStr">
        <is>
          <t>Föryngringsavverkning</t>
        </is>
      </c>
      <c r="D1452" s="1" t="n">
        <v>45260</v>
      </c>
      <c r="E1452" s="1" t="n">
        <v>46312</v>
      </c>
      <c r="F1452" t="inlineStr">
        <is>
          <t>SKÅNE LÄN</t>
        </is>
      </c>
      <c r="G1452" t="inlineStr">
        <is>
          <t>KRISTIANSTAD</t>
        </is>
      </c>
      <c r="I1452" t="n">
        <v>0.8</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11379-2024</t>
        </is>
      </c>
      <c r="B1453" t="inlineStr">
        <is>
          <t>avverkningsanmälan</t>
        </is>
      </c>
      <c r="C1453" t="inlineStr">
        <is>
          <t>Föryngringsavverkning</t>
        </is>
      </c>
      <c r="D1453" s="1" t="n">
        <v>45372</v>
      </c>
      <c r="E1453" s="1" t="n">
        <v>46312</v>
      </c>
      <c r="F1453" t="inlineStr">
        <is>
          <t>SKÅNE LÄN</t>
        </is>
      </c>
      <c r="G1453" t="inlineStr">
        <is>
          <t>HÖÖR</t>
        </is>
      </c>
      <c r="I1453" t="n">
        <v>2.8</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30101-2023</t>
        </is>
      </c>
      <c r="B1454" t="inlineStr">
        <is>
          <t>avverkningsanmälan</t>
        </is>
      </c>
      <c r="C1454" t="inlineStr">
        <is>
          <t>Föryngringsavverkning</t>
        </is>
      </c>
      <c r="D1454" s="1" t="n">
        <v>45110</v>
      </c>
      <c r="E1454" s="1" t="n">
        <v>46312</v>
      </c>
      <c r="F1454" t="inlineStr">
        <is>
          <t>SKÅNE LÄN</t>
        </is>
      </c>
      <c r="G1454" t="inlineStr">
        <is>
          <t>BROMÖLLA</t>
        </is>
      </c>
      <c r="I1454" t="n">
        <v>2.2</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37571-2024</t>
        </is>
      </c>
      <c r="B1455" t="inlineStr">
        <is>
          <t>avverkningsanmälan</t>
        </is>
      </c>
      <c r="C1455" t="inlineStr">
        <is>
          <t>Föryngringsavverkning</t>
        </is>
      </c>
      <c r="D1455" s="1" t="n">
        <v>45541</v>
      </c>
      <c r="E1455" s="1" t="n">
        <v>46312</v>
      </c>
      <c r="F1455" t="inlineStr">
        <is>
          <t>SKÅNE LÄN</t>
        </is>
      </c>
      <c r="G1455" t="inlineStr">
        <is>
          <t>ÖSTRA GÖINGE</t>
        </is>
      </c>
      <c r="I1455" t="n">
        <v>10.4</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37578-2024</t>
        </is>
      </c>
      <c r="B1456" t="inlineStr">
        <is>
          <t>avverkningsanmälan</t>
        </is>
      </c>
      <c r="C1456" t="inlineStr">
        <is>
          <t>Föryngringsavverkning</t>
        </is>
      </c>
      <c r="D1456" s="1" t="n">
        <v>45541</v>
      </c>
      <c r="E1456" s="1" t="n">
        <v>46312</v>
      </c>
      <c r="F1456" t="inlineStr">
        <is>
          <t>SKÅNE LÄN</t>
        </is>
      </c>
      <c r="G1456" t="inlineStr">
        <is>
          <t>ÖSTRA GÖINGE</t>
        </is>
      </c>
      <c r="I1456" t="n">
        <v>8.699999999999999</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37589-2024</t>
        </is>
      </c>
      <c r="B1457" t="inlineStr">
        <is>
          <t>avverkningsanmälan</t>
        </is>
      </c>
      <c r="C1457" t="inlineStr">
        <is>
          <t>Föryngringsavverkning</t>
        </is>
      </c>
      <c r="D1457" s="1" t="n">
        <v>45541</v>
      </c>
      <c r="E1457" s="1" t="n">
        <v>46312</v>
      </c>
      <c r="F1457" t="inlineStr">
        <is>
          <t>SKÅNE LÄN</t>
        </is>
      </c>
      <c r="G1457" t="inlineStr">
        <is>
          <t>ÖSTRA GÖINGE</t>
        </is>
      </c>
      <c r="I1457" t="n">
        <v>4</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28071-2023</t>
        </is>
      </c>
      <c r="B1458" t="inlineStr">
        <is>
          <t>avverkningsanmälan</t>
        </is>
      </c>
      <c r="C1458" t="inlineStr">
        <is>
          <t>Föryngringsavverkning</t>
        </is>
      </c>
      <c r="D1458" s="1" t="n">
        <v>45099</v>
      </c>
      <c r="E1458" s="1" t="n">
        <v>46312</v>
      </c>
      <c r="F1458" t="inlineStr">
        <is>
          <t>SKÅNE LÄN</t>
        </is>
      </c>
      <c r="G1458" t="inlineStr">
        <is>
          <t>HÄSSLEHOLM</t>
        </is>
      </c>
      <c r="I1458" t="n">
        <v>0.8</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5256-2022</t>
        </is>
      </c>
      <c r="B1459" t="inlineStr">
        <is>
          <t>avverkningsanmälan</t>
        </is>
      </c>
      <c r="C1459" t="inlineStr">
        <is>
          <t>Föryngringsavverkning</t>
        </is>
      </c>
      <c r="D1459" s="1" t="n">
        <v>44593</v>
      </c>
      <c r="E1459" s="1" t="n">
        <v>46312</v>
      </c>
      <c r="F1459" t="inlineStr">
        <is>
          <t>SKÅNE LÄN</t>
        </is>
      </c>
      <c r="G1459" t="inlineStr">
        <is>
          <t>KLIPPAN</t>
        </is>
      </c>
      <c r="I1459" t="n">
        <v>2.7</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55954-2023</t>
        </is>
      </c>
      <c r="B1460" t="inlineStr">
        <is>
          <t>avverkningsanmälan</t>
        </is>
      </c>
      <c r="C1460" t="inlineStr">
        <is>
          <t>Föryngringsavverkning</t>
        </is>
      </c>
      <c r="D1460" s="1" t="n">
        <v>45233</v>
      </c>
      <c r="E1460" s="1" t="n">
        <v>46312</v>
      </c>
      <c r="F1460" t="inlineStr">
        <is>
          <t>SKÅNE LÄN</t>
        </is>
      </c>
      <c r="G1460" t="inlineStr">
        <is>
          <t>KRISTIANSTAD</t>
        </is>
      </c>
      <c r="I1460" t="n">
        <v>0.6</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55959-2023</t>
        </is>
      </c>
      <c r="B1461" t="inlineStr">
        <is>
          <t>avverkningsanmälan</t>
        </is>
      </c>
      <c r="C1461" t="inlineStr">
        <is>
          <t>Föryngringsavverkning</t>
        </is>
      </c>
      <c r="D1461" s="1" t="n">
        <v>45233</v>
      </c>
      <c r="E1461" s="1" t="n">
        <v>46312</v>
      </c>
      <c r="F1461" t="inlineStr">
        <is>
          <t>SKÅNE LÄN</t>
        </is>
      </c>
      <c r="G1461" t="inlineStr">
        <is>
          <t>KRISTIANSTAD</t>
        </is>
      </c>
      <c r="I1461" t="n">
        <v>1</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61377-2024</t>
        </is>
      </c>
      <c r="B1462" t="inlineStr">
        <is>
          <t>avverkningsanmälan</t>
        </is>
      </c>
      <c r="C1462" t="inlineStr">
        <is>
          <t>Föryngringsavverkning</t>
        </is>
      </c>
      <c r="D1462" s="1" t="n">
        <v>45646</v>
      </c>
      <c r="E1462" s="1" t="n">
        <v>46312</v>
      </c>
      <c r="F1462" t="inlineStr">
        <is>
          <t>SKÅNE LÄN</t>
        </is>
      </c>
      <c r="G1462" t="inlineStr">
        <is>
          <t>HÖÖR</t>
        </is>
      </c>
      <c r="I1462" t="n">
        <v>0.6</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46469-2024</t>
        </is>
      </c>
      <c r="B1463" t="inlineStr">
        <is>
          <t>avverkningsanmälan</t>
        </is>
      </c>
      <c r="C1463" t="inlineStr">
        <is>
          <t>Föryngringsavverkning</t>
        </is>
      </c>
      <c r="D1463" s="1" t="n">
        <v>45582</v>
      </c>
      <c r="E1463" s="1" t="n">
        <v>46312</v>
      </c>
      <c r="F1463" t="inlineStr">
        <is>
          <t>SKÅNE LÄN</t>
        </is>
      </c>
      <c r="G1463" t="inlineStr">
        <is>
          <t>KRISTIANSTAD</t>
        </is>
      </c>
      <c r="I1463" t="n">
        <v>3.1</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40419-2024</t>
        </is>
      </c>
      <c r="B1464" t="inlineStr">
        <is>
          <t>avverkningsanmälan</t>
        </is>
      </c>
      <c r="C1464" t="inlineStr">
        <is>
          <t>Föryngringsavverkning</t>
        </is>
      </c>
      <c r="D1464" s="1" t="n">
        <v>45555</v>
      </c>
      <c r="E1464" s="1" t="n">
        <v>46312</v>
      </c>
      <c r="F1464" t="inlineStr">
        <is>
          <t>SKÅNE LÄN</t>
        </is>
      </c>
      <c r="G1464" t="inlineStr">
        <is>
          <t>KRISTIANSTAD</t>
        </is>
      </c>
      <c r="I1464" t="n">
        <v>1.5</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47641-2023</t>
        </is>
      </c>
      <c r="B1465" t="inlineStr">
        <is>
          <t>avverkningsanmälan</t>
        </is>
      </c>
      <c r="C1465" t="inlineStr">
        <is>
          <t>Föryngringsavverkning</t>
        </is>
      </c>
      <c r="D1465" s="1" t="n">
        <v>45203</v>
      </c>
      <c r="E1465" s="1" t="n">
        <v>46312</v>
      </c>
      <c r="F1465" t="inlineStr">
        <is>
          <t>SKÅNE LÄN</t>
        </is>
      </c>
      <c r="G1465" t="inlineStr">
        <is>
          <t>HÖRBY</t>
        </is>
      </c>
      <c r="I1465" t="n">
        <v>4.8</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58175-2021</t>
        </is>
      </c>
      <c r="B1466" t="inlineStr">
        <is>
          <t>avverkningsanmälan</t>
        </is>
      </c>
      <c r="C1466" t="inlineStr">
        <is>
          <t>Föryngringsavverkning</t>
        </is>
      </c>
      <c r="D1466" s="1" t="n">
        <v>44487</v>
      </c>
      <c r="E1466" s="1" t="n">
        <v>46312</v>
      </c>
      <c r="F1466" t="inlineStr">
        <is>
          <t>SKÅNE LÄN</t>
        </is>
      </c>
      <c r="G1466" t="inlineStr">
        <is>
          <t>KRISTIANSTAD</t>
        </is>
      </c>
      <c r="I1466" t="n">
        <v>1</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23946-2023</t>
        </is>
      </c>
      <c r="B1467" t="inlineStr">
        <is>
          <t>avverkningsanmälan</t>
        </is>
      </c>
      <c r="C1467" t="inlineStr">
        <is>
          <t>Föryngringsavverkning</t>
        </is>
      </c>
      <c r="D1467" s="1" t="n">
        <v>45078</v>
      </c>
      <c r="E1467" s="1" t="n">
        <v>46312</v>
      </c>
      <c r="F1467" t="inlineStr">
        <is>
          <t>SKÅNE LÄN</t>
        </is>
      </c>
      <c r="G1467" t="inlineStr">
        <is>
          <t>HÄSSLEHOLM</t>
        </is>
      </c>
      <c r="I1467" t="n">
        <v>0.2</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57782-2024</t>
        </is>
      </c>
      <c r="B1468" t="inlineStr">
        <is>
          <t>avverkningsanmälan</t>
        </is>
      </c>
      <c r="C1468" t="inlineStr">
        <is>
          <t>Föryngringsavverkning</t>
        </is>
      </c>
      <c r="D1468" s="1" t="n">
        <v>45631</v>
      </c>
      <c r="E1468" s="1" t="n">
        <v>46312</v>
      </c>
      <c r="F1468" t="inlineStr">
        <is>
          <t>SKÅNE LÄN</t>
        </is>
      </c>
      <c r="G1468" t="inlineStr">
        <is>
          <t>OSBY</t>
        </is>
      </c>
      <c r="I1468" t="n">
        <v>1.3</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29847-2024</t>
        </is>
      </c>
      <c r="B1469" t="inlineStr">
        <is>
          <t>avverkningsanmälan</t>
        </is>
      </c>
      <c r="C1469" t="inlineStr">
        <is>
          <t>Föryngringsavverkning</t>
        </is>
      </c>
      <c r="D1469" s="1" t="n">
        <v>45485</v>
      </c>
      <c r="E1469" s="1" t="n">
        <v>46312</v>
      </c>
      <c r="F1469" t="inlineStr">
        <is>
          <t>SKÅNE LÄN</t>
        </is>
      </c>
      <c r="G1469" t="inlineStr">
        <is>
          <t>HÄSSLEHOLM</t>
        </is>
      </c>
      <c r="I1469" t="n">
        <v>1.2</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56202-2023</t>
        </is>
      </c>
      <c r="B1470" t="inlineStr">
        <is>
          <t>avverkningsanmälan</t>
        </is>
      </c>
      <c r="C1470" t="inlineStr">
        <is>
          <t>Föryngringsavverkning</t>
        </is>
      </c>
      <c r="D1470" s="1" t="n">
        <v>45240</v>
      </c>
      <c r="E1470" s="1" t="n">
        <v>46312</v>
      </c>
      <c r="F1470" t="inlineStr">
        <is>
          <t>SKÅNE LÄN</t>
        </is>
      </c>
      <c r="G1470" t="inlineStr">
        <is>
          <t>SVEDALA</t>
        </is>
      </c>
      <c r="I1470" t="n">
        <v>2.8</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2479-2024</t>
        </is>
      </c>
      <c r="B1471" t="inlineStr">
        <is>
          <t>avverkningsanmälan</t>
        </is>
      </c>
      <c r="C1471" t="inlineStr">
        <is>
          <t>Föryngringsavverkning</t>
        </is>
      </c>
      <c r="D1471" s="1" t="n">
        <v>45313</v>
      </c>
      <c r="E1471" s="1" t="n">
        <v>46312</v>
      </c>
      <c r="F1471" t="inlineStr">
        <is>
          <t>SKÅNE LÄN</t>
        </is>
      </c>
      <c r="G1471" t="inlineStr">
        <is>
          <t>HÄSSLEHOLM</t>
        </is>
      </c>
      <c r="I1471" t="n">
        <v>1.2</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15359-2023</t>
        </is>
      </c>
      <c r="B1472" t="inlineStr">
        <is>
          <t>avverkningsanmälan</t>
        </is>
      </c>
      <c r="C1472" t="inlineStr">
        <is>
          <t>Föryngringsavverkning</t>
        </is>
      </c>
      <c r="D1472" s="1" t="n">
        <v>45019</v>
      </c>
      <c r="E1472" s="1" t="n">
        <v>46312</v>
      </c>
      <c r="F1472" t="inlineStr">
        <is>
          <t>SKÅNE LÄN</t>
        </is>
      </c>
      <c r="G1472" t="inlineStr">
        <is>
          <t>OSBY</t>
        </is>
      </c>
      <c r="I1472" t="n">
        <v>5.4</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9803-2024</t>
        </is>
      </c>
      <c r="B1473" t="inlineStr">
        <is>
          <t>avverkningsanmälan</t>
        </is>
      </c>
      <c r="C1473" t="inlineStr">
        <is>
          <t>Föryngringsavverkning</t>
        </is>
      </c>
      <c r="D1473" s="1" t="n">
        <v>45362</v>
      </c>
      <c r="E1473" s="1" t="n">
        <v>46312</v>
      </c>
      <c r="F1473" t="inlineStr">
        <is>
          <t>SKÅNE LÄN</t>
        </is>
      </c>
      <c r="G1473" t="inlineStr">
        <is>
          <t>OSBY</t>
        </is>
      </c>
      <c r="H1473" t="inlineStr">
        <is>
          <t>Sveaskog</t>
        </is>
      </c>
      <c r="I1473" t="n">
        <v>1.1</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41459-2022</t>
        </is>
      </c>
      <c r="B1474" t="inlineStr">
        <is>
          <t>avverkningsanmälan</t>
        </is>
      </c>
      <c r="C1474" t="inlineStr">
        <is>
          <t>Föryngringsavverkning</t>
        </is>
      </c>
      <c r="D1474" s="1" t="n">
        <v>44826</v>
      </c>
      <c r="E1474" s="1" t="n">
        <v>46312</v>
      </c>
      <c r="F1474" t="inlineStr">
        <is>
          <t>SKÅNE LÄN</t>
        </is>
      </c>
      <c r="G1474" t="inlineStr">
        <is>
          <t>HÄSSLEHOLM</t>
        </is>
      </c>
      <c r="I1474" t="n">
        <v>2.3</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54667-2023</t>
        </is>
      </c>
      <c r="B1475" t="inlineStr">
        <is>
          <t>avverkningsanmälan</t>
        </is>
      </c>
      <c r="C1475" t="inlineStr">
        <is>
          <t>Föryngringsavverkning</t>
        </is>
      </c>
      <c r="D1475" s="1" t="n">
        <v>45235</v>
      </c>
      <c r="E1475" s="1" t="n">
        <v>46312</v>
      </c>
      <c r="F1475" t="inlineStr">
        <is>
          <t>SKÅNE LÄN</t>
        </is>
      </c>
      <c r="G1475" t="inlineStr">
        <is>
          <t>ÖRKELLJUNGA</t>
        </is>
      </c>
      <c r="I1475" t="n">
        <v>0.7</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54689-2023</t>
        </is>
      </c>
      <c r="B1476" t="inlineStr">
        <is>
          <t>avverkningsanmälan</t>
        </is>
      </c>
      <c r="C1476" t="inlineStr">
        <is>
          <t>Föryngringsavverkning</t>
        </is>
      </c>
      <c r="D1476" s="1" t="n">
        <v>45235</v>
      </c>
      <c r="E1476" s="1" t="n">
        <v>46312</v>
      </c>
      <c r="F1476" t="inlineStr">
        <is>
          <t>SKÅNE LÄN</t>
        </is>
      </c>
      <c r="G1476" t="inlineStr">
        <is>
          <t>BROMÖLLA</t>
        </is>
      </c>
      <c r="I1476" t="n">
        <v>3.2</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12182-2022</t>
        </is>
      </c>
      <c r="B1477" t="inlineStr">
        <is>
          <t>avverkningsanmälan</t>
        </is>
      </c>
      <c r="C1477" t="inlineStr">
        <is>
          <t>Föryngringsavverkning</t>
        </is>
      </c>
      <c r="D1477" s="1" t="n">
        <v>44636</v>
      </c>
      <c r="E1477" s="1" t="n">
        <v>46312</v>
      </c>
      <c r="F1477" t="inlineStr">
        <is>
          <t>SKÅNE LÄN</t>
        </is>
      </c>
      <c r="G1477" t="inlineStr">
        <is>
          <t>PERSTORP</t>
        </is>
      </c>
      <c r="I1477" t="n">
        <v>0.8</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63436-2023</t>
        </is>
      </c>
      <c r="B1478" t="inlineStr">
        <is>
          <t>avverkningsanmälan</t>
        </is>
      </c>
      <c r="C1478" t="inlineStr">
        <is>
          <t>Föryngringsavverkning</t>
        </is>
      </c>
      <c r="D1478" s="1" t="n">
        <v>45274</v>
      </c>
      <c r="E1478" s="1" t="n">
        <v>46312</v>
      </c>
      <c r="F1478" t="inlineStr">
        <is>
          <t>SKÅNE LÄN</t>
        </is>
      </c>
      <c r="G1478" t="inlineStr">
        <is>
          <t>ÖSTRA GÖINGE</t>
        </is>
      </c>
      <c r="I1478" t="n">
        <v>1.9</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15012-2024</t>
        </is>
      </c>
      <c r="B1479" t="inlineStr">
        <is>
          <t>avverkningsanmälan</t>
        </is>
      </c>
      <c r="C1479" t="inlineStr">
        <is>
          <t>Föryngringsavverkning</t>
        </is>
      </c>
      <c r="D1479" s="1" t="n">
        <v>45399</v>
      </c>
      <c r="E1479" s="1" t="n">
        <v>46312</v>
      </c>
      <c r="F1479" t="inlineStr">
        <is>
          <t>SKÅNE LÄN</t>
        </is>
      </c>
      <c r="G1479" t="inlineStr">
        <is>
          <t>TOMELILLA</t>
        </is>
      </c>
      <c r="I1479" t="n">
        <v>6.9</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22369-2024</t>
        </is>
      </c>
      <c r="B1480" t="inlineStr">
        <is>
          <t>avverkningsanmälan</t>
        </is>
      </c>
      <c r="C1480" t="inlineStr">
        <is>
          <t>Föryngringsavverkning</t>
        </is>
      </c>
      <c r="D1480" s="1" t="n">
        <v>45446</v>
      </c>
      <c r="E1480" s="1" t="n">
        <v>46312</v>
      </c>
      <c r="F1480" t="inlineStr">
        <is>
          <t>SKÅNE LÄN</t>
        </is>
      </c>
      <c r="G1480" t="inlineStr">
        <is>
          <t>KÄVLINGE</t>
        </is>
      </c>
      <c r="I1480" t="n">
        <v>5.6</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22384-2024</t>
        </is>
      </c>
      <c r="B1481" t="inlineStr">
        <is>
          <t>avverkningsanmälan</t>
        </is>
      </c>
      <c r="C1481" t="inlineStr">
        <is>
          <t>Föryngringsavverkning</t>
        </is>
      </c>
      <c r="D1481" s="1" t="n">
        <v>45446</v>
      </c>
      <c r="E1481" s="1" t="n">
        <v>46312</v>
      </c>
      <c r="F1481" t="inlineStr">
        <is>
          <t>SKÅNE LÄN</t>
        </is>
      </c>
      <c r="G1481" t="inlineStr">
        <is>
          <t>HÄSSLEHOLM</t>
        </is>
      </c>
      <c r="I1481" t="n">
        <v>2.4</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3346-2024</t>
        </is>
      </c>
      <c r="B1482" t="inlineStr">
        <is>
          <t>avverkningsanmälan</t>
        </is>
      </c>
      <c r="C1482" t="inlineStr">
        <is>
          <t>Föryngringsavverkning</t>
        </is>
      </c>
      <c r="D1482" s="1" t="n">
        <v>45317</v>
      </c>
      <c r="E1482" s="1" t="n">
        <v>46312</v>
      </c>
      <c r="F1482" t="inlineStr">
        <is>
          <t>SKÅNE LÄN</t>
        </is>
      </c>
      <c r="G1482" t="inlineStr">
        <is>
          <t>HÖRBY</t>
        </is>
      </c>
      <c r="I1482" t="n">
        <v>0.5</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39507-2024</t>
        </is>
      </c>
      <c r="B1483" t="inlineStr">
        <is>
          <t>avverkningsanmälan</t>
        </is>
      </c>
      <c r="C1483" t="inlineStr">
        <is>
          <t>Föryngringsavverkning</t>
        </is>
      </c>
      <c r="D1483" s="1" t="n">
        <v>45551</v>
      </c>
      <c r="E1483" s="1" t="n">
        <v>46312</v>
      </c>
      <c r="F1483" t="inlineStr">
        <is>
          <t>SKÅNE LÄN</t>
        </is>
      </c>
      <c r="G1483" t="inlineStr">
        <is>
          <t>HÖRBY</t>
        </is>
      </c>
      <c r="H1483" t="inlineStr">
        <is>
          <t>Sveaskog</t>
        </is>
      </c>
      <c r="I1483" t="n">
        <v>0.3</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43745-2023</t>
        </is>
      </c>
      <c r="B1484" t="inlineStr">
        <is>
          <t>avverkningsanmälan</t>
        </is>
      </c>
      <c r="C1484" t="inlineStr">
        <is>
          <t>Föryngringsavverkning</t>
        </is>
      </c>
      <c r="D1484" s="1" t="n">
        <v>45187</v>
      </c>
      <c r="E1484" s="1" t="n">
        <v>46312</v>
      </c>
      <c r="F1484" t="inlineStr">
        <is>
          <t>SKÅNE LÄN</t>
        </is>
      </c>
      <c r="G1484" t="inlineStr">
        <is>
          <t>SJÖBO</t>
        </is>
      </c>
      <c r="H1484" t="inlineStr">
        <is>
          <t>Sveaskog</t>
        </is>
      </c>
      <c r="I1484" t="n">
        <v>2</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12721-2023</t>
        </is>
      </c>
      <c r="B1485" t="inlineStr">
        <is>
          <t>avverkningsanmälan</t>
        </is>
      </c>
      <c r="C1485" t="inlineStr">
        <is>
          <t>Föryngringsavverkning</t>
        </is>
      </c>
      <c r="D1485" s="1" t="n">
        <v>45000</v>
      </c>
      <c r="E1485" s="1" t="n">
        <v>46312</v>
      </c>
      <c r="F1485" t="inlineStr">
        <is>
          <t>SKÅNE LÄN</t>
        </is>
      </c>
      <c r="G1485" t="inlineStr">
        <is>
          <t>BROMÖLLA</t>
        </is>
      </c>
      <c r="I1485" t="n">
        <v>0.8</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10714-2025</t>
        </is>
      </c>
      <c r="B1486" t="inlineStr">
        <is>
          <t>avverkningsanmälan</t>
        </is>
      </c>
      <c r="C1486" t="inlineStr">
        <is>
          <t>Föryngringsavverkning</t>
        </is>
      </c>
      <c r="D1486" s="1" t="n">
        <v>45722</v>
      </c>
      <c r="E1486" s="1" t="n">
        <v>46312</v>
      </c>
      <c r="F1486" t="inlineStr">
        <is>
          <t>SKÅNE LÄN</t>
        </is>
      </c>
      <c r="G1486" t="inlineStr">
        <is>
          <t>OSBY</t>
        </is>
      </c>
      <c r="I1486" t="n">
        <v>3.8</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39298-2023</t>
        </is>
      </c>
      <c r="B1487" t="inlineStr">
        <is>
          <t>avverkningsanmälan</t>
        </is>
      </c>
      <c r="C1487" t="inlineStr">
        <is>
          <t>Föryngringsavverkning</t>
        </is>
      </c>
      <c r="D1487" s="1" t="n">
        <v>45166</v>
      </c>
      <c r="E1487" s="1" t="n">
        <v>46312</v>
      </c>
      <c r="F1487" t="inlineStr">
        <is>
          <t>SKÅNE LÄN</t>
        </is>
      </c>
      <c r="G1487" t="inlineStr">
        <is>
          <t>HÖRBY</t>
        </is>
      </c>
      <c r="I1487" t="n">
        <v>4.6</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1726-2023</t>
        </is>
      </c>
      <c r="B1488" t="inlineStr">
        <is>
          <t>avverkningsanmälan</t>
        </is>
      </c>
      <c r="C1488" t="inlineStr">
        <is>
          <t>Föryngringsavverkning</t>
        </is>
      </c>
      <c r="D1488" s="1" t="n">
        <v>44938</v>
      </c>
      <c r="E1488" s="1" t="n">
        <v>46312</v>
      </c>
      <c r="F1488" t="inlineStr">
        <is>
          <t>SKÅNE LÄN</t>
        </is>
      </c>
      <c r="G1488" t="inlineStr">
        <is>
          <t>KRISTIANSTAD</t>
        </is>
      </c>
      <c r="I1488" t="n">
        <v>3.3</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25069-2023</t>
        </is>
      </c>
      <c r="B1489" t="inlineStr">
        <is>
          <t>avverkningsanmälan</t>
        </is>
      </c>
      <c r="C1489" t="inlineStr">
        <is>
          <t>Föryngringsavverkning</t>
        </is>
      </c>
      <c r="D1489" s="1" t="n">
        <v>45086</v>
      </c>
      <c r="E1489" s="1" t="n">
        <v>46312</v>
      </c>
      <c r="F1489" t="inlineStr">
        <is>
          <t>SKÅNE LÄN</t>
        </is>
      </c>
      <c r="G1489" t="inlineStr">
        <is>
          <t>KLIPPAN</t>
        </is>
      </c>
      <c r="I1489" t="n">
        <v>2.2</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51571-2023</t>
        </is>
      </c>
      <c r="B1490" t="inlineStr">
        <is>
          <t>avverkningsanmälan</t>
        </is>
      </c>
      <c r="C1490" t="inlineStr">
        <is>
          <t>Föryngringsavverkning</t>
        </is>
      </c>
      <c r="D1490" s="1" t="n">
        <v>45222</v>
      </c>
      <c r="E1490" s="1" t="n">
        <v>46312</v>
      </c>
      <c r="F1490" t="inlineStr">
        <is>
          <t>SKÅNE LÄN</t>
        </is>
      </c>
      <c r="G1490" t="inlineStr">
        <is>
          <t>HÄSSLEHOLM</t>
        </is>
      </c>
      <c r="I1490" t="n">
        <v>0.8</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50543-2024</t>
        </is>
      </c>
      <c r="B1491" t="inlineStr">
        <is>
          <t>avverkningsanmälan</t>
        </is>
      </c>
      <c r="C1491" t="inlineStr">
        <is>
          <t>Föryngringsavverkning</t>
        </is>
      </c>
      <c r="D1491" s="1" t="n">
        <v>45600</v>
      </c>
      <c r="E1491" s="1" t="n">
        <v>46312</v>
      </c>
      <c r="F1491" t="inlineStr">
        <is>
          <t>SKÅNE LÄN</t>
        </is>
      </c>
      <c r="G1491" t="inlineStr">
        <is>
          <t>KRISTIANSTAD</t>
        </is>
      </c>
      <c r="I1491" t="n">
        <v>9.5</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32714-2023</t>
        </is>
      </c>
      <c r="B1492" t="inlineStr">
        <is>
          <t>avverkningsanmälan</t>
        </is>
      </c>
      <c r="C1492" t="inlineStr">
        <is>
          <t>Föryngringsavverkning</t>
        </is>
      </c>
      <c r="D1492" s="1" t="n">
        <v>45121</v>
      </c>
      <c r="E1492" s="1" t="n">
        <v>46312</v>
      </c>
      <c r="F1492" t="inlineStr">
        <is>
          <t>SKÅNE LÄN</t>
        </is>
      </c>
      <c r="G1492" t="inlineStr">
        <is>
          <t>KRISTIANSTAD</t>
        </is>
      </c>
      <c r="H1492" t="inlineStr">
        <is>
          <t>Sveaskog</t>
        </is>
      </c>
      <c r="I1492" t="n">
        <v>1.2</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7016-2024</t>
        </is>
      </c>
      <c r="B1493" t="inlineStr">
        <is>
          <t>avverkningsanmälan</t>
        </is>
      </c>
      <c r="C1493" t="inlineStr">
        <is>
          <t>Föryngringsavverkning</t>
        </is>
      </c>
      <c r="D1493" s="1" t="n">
        <v>45343</v>
      </c>
      <c r="E1493" s="1" t="n">
        <v>46312</v>
      </c>
      <c r="F1493" t="inlineStr">
        <is>
          <t>SKÅNE LÄN</t>
        </is>
      </c>
      <c r="G1493" t="inlineStr">
        <is>
          <t>KRISTIANSTAD</t>
        </is>
      </c>
      <c r="H1493" t="inlineStr">
        <is>
          <t>Sveaskog</t>
        </is>
      </c>
      <c r="I1493" t="n">
        <v>0.7</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7018-2024</t>
        </is>
      </c>
      <c r="B1494" t="inlineStr">
        <is>
          <t>avverkningsanmälan</t>
        </is>
      </c>
      <c r="C1494" t="inlineStr">
        <is>
          <t>Föryngringsavverkning</t>
        </is>
      </c>
      <c r="D1494" s="1" t="n">
        <v>45343</v>
      </c>
      <c r="E1494" s="1" t="n">
        <v>46312</v>
      </c>
      <c r="F1494" t="inlineStr">
        <is>
          <t>SKÅNE LÄN</t>
        </is>
      </c>
      <c r="G1494" t="inlineStr">
        <is>
          <t>KRISTIANSTAD</t>
        </is>
      </c>
      <c r="H1494" t="inlineStr">
        <is>
          <t>Sveaskog</t>
        </is>
      </c>
      <c r="I1494" t="n">
        <v>0.7</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788-2024</t>
        </is>
      </c>
      <c r="B1495" t="inlineStr">
        <is>
          <t>avverkningsanmälan</t>
        </is>
      </c>
      <c r="C1495" t="inlineStr">
        <is>
          <t>Föryngringsavverkning</t>
        </is>
      </c>
      <c r="D1495" s="1" t="n">
        <v>45300</v>
      </c>
      <c r="E1495" s="1" t="n">
        <v>46312</v>
      </c>
      <c r="F1495" t="inlineStr">
        <is>
          <t>SKÅNE LÄN</t>
        </is>
      </c>
      <c r="G1495" t="inlineStr">
        <is>
          <t>HÖRBY</t>
        </is>
      </c>
      <c r="I1495" t="n">
        <v>0.6</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49181-2024</t>
        </is>
      </c>
      <c r="B1496" t="inlineStr">
        <is>
          <t>avverkningsanmälan</t>
        </is>
      </c>
      <c r="C1496" t="inlineStr">
        <is>
          <t>Föryngringsavverkning</t>
        </is>
      </c>
      <c r="D1496" s="1" t="n">
        <v>45595</v>
      </c>
      <c r="E1496" s="1" t="n">
        <v>46312</v>
      </c>
      <c r="F1496" t="inlineStr">
        <is>
          <t>SKÅNE LÄN</t>
        </is>
      </c>
      <c r="G1496" t="inlineStr">
        <is>
          <t>HÄSSLEHOLM</t>
        </is>
      </c>
      <c r="I1496" t="n">
        <v>0.7</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40814-2023</t>
        </is>
      </c>
      <c r="B1497" t="inlineStr">
        <is>
          <t>avverkningsanmälan</t>
        </is>
      </c>
      <c r="C1497" t="inlineStr">
        <is>
          <t>Föryngringsavverkning</t>
        </is>
      </c>
      <c r="D1497" s="1" t="n">
        <v>45171</v>
      </c>
      <c r="E1497" s="1" t="n">
        <v>46312</v>
      </c>
      <c r="F1497" t="inlineStr">
        <is>
          <t>SKÅNE LÄN</t>
        </is>
      </c>
      <c r="G1497" t="inlineStr">
        <is>
          <t>ÖRKELLJUNGA</t>
        </is>
      </c>
      <c r="I1497" t="n">
        <v>2</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62116-2022</t>
        </is>
      </c>
      <c r="B1498" t="inlineStr">
        <is>
          <t>avverkningsanmälan</t>
        </is>
      </c>
      <c r="C1498" t="inlineStr">
        <is>
          <t>Föryngringsavverkning</t>
        </is>
      </c>
      <c r="D1498" s="1" t="n">
        <v>44921</v>
      </c>
      <c r="E1498" s="1" t="n">
        <v>46312</v>
      </c>
      <c r="F1498" t="inlineStr">
        <is>
          <t>SKÅNE LÄN</t>
        </is>
      </c>
      <c r="G1498" t="inlineStr">
        <is>
          <t>OSBY</t>
        </is>
      </c>
      <c r="I1498" t="n">
        <v>1.1</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37300-2023</t>
        </is>
      </c>
      <c r="B1499" t="inlineStr">
        <is>
          <t>avverkningsanmälan</t>
        </is>
      </c>
      <c r="C1499" t="inlineStr">
        <is>
          <t>Föryngringsavverkning</t>
        </is>
      </c>
      <c r="D1499" s="1" t="n">
        <v>45156</v>
      </c>
      <c r="E1499" s="1" t="n">
        <v>46312</v>
      </c>
      <c r="F1499" t="inlineStr">
        <is>
          <t>SKÅNE LÄN</t>
        </is>
      </c>
      <c r="G1499" t="inlineStr">
        <is>
          <t>HÄSSLEHOLM</t>
        </is>
      </c>
      <c r="I1499" t="n">
        <v>1.5</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25963-2023</t>
        </is>
      </c>
      <c r="B1500" t="inlineStr">
        <is>
          <t>avverkningsanmälan</t>
        </is>
      </c>
      <c r="C1500" t="inlineStr">
        <is>
          <t>Föryngringsavverkning</t>
        </is>
      </c>
      <c r="D1500" s="1" t="n">
        <v>45090</v>
      </c>
      <c r="E1500" s="1" t="n">
        <v>46312</v>
      </c>
      <c r="F1500" t="inlineStr">
        <is>
          <t>SKÅNE LÄN</t>
        </is>
      </c>
      <c r="G1500" t="inlineStr">
        <is>
          <t>ÖRKELLJUNGA</t>
        </is>
      </c>
      <c r="I1500" t="n">
        <v>4.8</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38000-2024</t>
        </is>
      </c>
      <c r="B1501" t="inlineStr">
        <is>
          <t>avverkningsanmälan</t>
        </is>
      </c>
      <c r="C1501" t="inlineStr">
        <is>
          <t>Föryngringsavverkning</t>
        </is>
      </c>
      <c r="D1501" s="1" t="n">
        <v>45544</v>
      </c>
      <c r="E1501" s="1" t="n">
        <v>46312</v>
      </c>
      <c r="F1501" t="inlineStr">
        <is>
          <t>SKÅNE LÄN</t>
        </is>
      </c>
      <c r="G1501" t="inlineStr">
        <is>
          <t>KRISTIANSTAD</t>
        </is>
      </c>
      <c r="I1501" t="n">
        <v>3.7</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35644-2023</t>
        </is>
      </c>
      <c r="B1502" t="inlineStr">
        <is>
          <t>avverkningsanmälan</t>
        </is>
      </c>
      <c r="C1502" t="inlineStr">
        <is>
          <t>Föryngringsavverkning</t>
        </is>
      </c>
      <c r="D1502" s="1" t="n">
        <v>45147</v>
      </c>
      <c r="E1502" s="1" t="n">
        <v>46312</v>
      </c>
      <c r="F1502" t="inlineStr">
        <is>
          <t>SKÅNE LÄN</t>
        </is>
      </c>
      <c r="G1502" t="inlineStr">
        <is>
          <t>HÄSSLEHOLM</t>
        </is>
      </c>
      <c r="I1502" t="n">
        <v>0.9</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32855-2023</t>
        </is>
      </c>
      <c r="B1503" t="inlineStr">
        <is>
          <t>avverkningsanmälan</t>
        </is>
      </c>
      <c r="C1503" t="inlineStr">
        <is>
          <t>Föryngringsavverkning</t>
        </is>
      </c>
      <c r="D1503" s="1" t="n">
        <v>45124</v>
      </c>
      <c r="E1503" s="1" t="n">
        <v>46312</v>
      </c>
      <c r="F1503" t="inlineStr">
        <is>
          <t>SKÅNE LÄN</t>
        </is>
      </c>
      <c r="G1503" t="inlineStr">
        <is>
          <t>ÖRKELLJUNGA</t>
        </is>
      </c>
      <c r="I1503" t="n">
        <v>2.4</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62293-2022</t>
        </is>
      </c>
      <c r="B1504" t="inlineStr">
        <is>
          <t>avverkningsanmälan</t>
        </is>
      </c>
      <c r="C1504" t="inlineStr">
        <is>
          <t>Föryngringsavverkning</t>
        </is>
      </c>
      <c r="D1504" s="1" t="n">
        <v>44923</v>
      </c>
      <c r="E1504" s="1" t="n">
        <v>46312</v>
      </c>
      <c r="F1504" t="inlineStr">
        <is>
          <t>SKÅNE LÄN</t>
        </is>
      </c>
      <c r="G1504" t="inlineStr">
        <is>
          <t>PERSTORP</t>
        </is>
      </c>
      <c r="I1504" t="n">
        <v>3.7</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32717-2023</t>
        </is>
      </c>
      <c r="B1505" t="inlineStr">
        <is>
          <t>avverkningsanmälan</t>
        </is>
      </c>
      <c r="C1505" t="inlineStr">
        <is>
          <t>Föryngringsavverkning</t>
        </is>
      </c>
      <c r="D1505" s="1" t="n">
        <v>45121</v>
      </c>
      <c r="E1505" s="1" t="n">
        <v>46312</v>
      </c>
      <c r="F1505" t="inlineStr">
        <is>
          <t>SKÅNE LÄN</t>
        </is>
      </c>
      <c r="G1505" t="inlineStr">
        <is>
          <t>KRISTIANSTAD</t>
        </is>
      </c>
      <c r="H1505" t="inlineStr">
        <is>
          <t>Sveaskog</t>
        </is>
      </c>
      <c r="I1505" t="n">
        <v>1.2</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32794-2023</t>
        </is>
      </c>
      <c r="B1506" t="inlineStr">
        <is>
          <t>avverkningsanmälan</t>
        </is>
      </c>
      <c r="C1506" t="inlineStr">
        <is>
          <t>Föryngringsavverkning</t>
        </is>
      </c>
      <c r="D1506" s="1" t="n">
        <v>45124</v>
      </c>
      <c r="E1506" s="1" t="n">
        <v>46312</v>
      </c>
      <c r="F1506" t="inlineStr">
        <is>
          <t>SKÅNE LÄN</t>
        </is>
      </c>
      <c r="G1506" t="inlineStr">
        <is>
          <t>HÄSSLEHOLM</t>
        </is>
      </c>
      <c r="I1506" t="n">
        <v>1.8</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55140-2022</t>
        </is>
      </c>
      <c r="B1507" t="inlineStr">
        <is>
          <t>avverkningsanmälan</t>
        </is>
      </c>
      <c r="C1507" t="inlineStr">
        <is>
          <t>Föryngringsavverkning</t>
        </is>
      </c>
      <c r="D1507" s="1" t="n">
        <v>44886</v>
      </c>
      <c r="E1507" s="1" t="n">
        <v>46312</v>
      </c>
      <c r="F1507" t="inlineStr">
        <is>
          <t>SKÅNE LÄN</t>
        </is>
      </c>
      <c r="G1507" t="inlineStr">
        <is>
          <t>ÖSTRA GÖINGE</t>
        </is>
      </c>
      <c r="I1507" t="n">
        <v>1.5</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3126-2023</t>
        </is>
      </c>
      <c r="B1508" t="inlineStr">
        <is>
          <t>avverkningsanmälan</t>
        </is>
      </c>
      <c r="C1508" t="inlineStr">
        <is>
          <t>Föryngringsavverkning</t>
        </is>
      </c>
      <c r="D1508" s="1" t="n">
        <v>44946</v>
      </c>
      <c r="E1508" s="1" t="n">
        <v>46312</v>
      </c>
      <c r="F1508" t="inlineStr">
        <is>
          <t>SKÅNE LÄN</t>
        </is>
      </c>
      <c r="G1508" t="inlineStr">
        <is>
          <t>HÄSSLEHOLM</t>
        </is>
      </c>
      <c r="I1508" t="n">
        <v>2.2</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61436-2024</t>
        </is>
      </c>
      <c r="B1509" t="inlineStr">
        <is>
          <t>avverkningsanmälan</t>
        </is>
      </c>
      <c r="C1509" t="inlineStr">
        <is>
          <t>Föryngringsavverkning</t>
        </is>
      </c>
      <c r="D1509" s="1" t="n">
        <v>45646</v>
      </c>
      <c r="E1509" s="1" t="n">
        <v>46312</v>
      </c>
      <c r="F1509" t="inlineStr">
        <is>
          <t>SKÅNE LÄN</t>
        </is>
      </c>
      <c r="G1509" t="inlineStr">
        <is>
          <t>HÄSSLEHOLM</t>
        </is>
      </c>
      <c r="I1509" t="n">
        <v>0.7</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23860-2024</t>
        </is>
      </c>
      <c r="B1510" t="inlineStr">
        <is>
          <t>avverkningsanmälan</t>
        </is>
      </c>
      <c r="C1510" t="inlineStr">
        <is>
          <t>Föryngringsavverkning</t>
        </is>
      </c>
      <c r="D1510" s="1" t="n">
        <v>45455</v>
      </c>
      <c r="E1510" s="1" t="n">
        <v>46312</v>
      </c>
      <c r="F1510" t="inlineStr">
        <is>
          <t>SKÅNE LÄN</t>
        </is>
      </c>
      <c r="G1510" t="inlineStr">
        <is>
          <t>HÄSSLEHOLM</t>
        </is>
      </c>
      <c r="I1510" t="n">
        <v>0.6</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23864-2024</t>
        </is>
      </c>
      <c r="B1511" t="inlineStr">
        <is>
          <t>avverkningsanmälan</t>
        </is>
      </c>
      <c r="C1511" t="inlineStr">
        <is>
          <t>Föryngringsavverkning</t>
        </is>
      </c>
      <c r="D1511" s="1" t="n">
        <v>45455</v>
      </c>
      <c r="E1511" s="1" t="n">
        <v>46312</v>
      </c>
      <c r="F1511" t="inlineStr">
        <is>
          <t>SKÅNE LÄN</t>
        </is>
      </c>
      <c r="G1511" t="inlineStr">
        <is>
          <t>HÄSSLEHOLM</t>
        </is>
      </c>
      <c r="I1511" t="n">
        <v>6.2</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3361-2022</t>
        </is>
      </c>
      <c r="B1512" t="inlineStr">
        <is>
          <t>avverkningsanmälan</t>
        </is>
      </c>
      <c r="C1512" t="inlineStr">
        <is>
          <t>Föryngringsavverkning</t>
        </is>
      </c>
      <c r="D1512" s="1" t="n">
        <v>44585</v>
      </c>
      <c r="E1512" s="1" t="n">
        <v>46312</v>
      </c>
      <c r="F1512" t="inlineStr">
        <is>
          <t>SKÅNE LÄN</t>
        </is>
      </c>
      <c r="G1512" t="inlineStr">
        <is>
          <t>OSBY</t>
        </is>
      </c>
      <c r="I1512" t="n">
        <v>1.3</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16733-2023</t>
        </is>
      </c>
      <c r="B1513" t="inlineStr">
        <is>
          <t>avverkningsanmälan</t>
        </is>
      </c>
      <c r="C1513" t="inlineStr">
        <is>
          <t>Föryngringsavverkning</t>
        </is>
      </c>
      <c r="D1513" s="1" t="n">
        <v>45030</v>
      </c>
      <c r="E1513" s="1" t="n">
        <v>46312</v>
      </c>
      <c r="F1513" t="inlineStr">
        <is>
          <t>SKÅNE LÄN</t>
        </is>
      </c>
      <c r="G1513" t="inlineStr">
        <is>
          <t>ESLÖV</t>
        </is>
      </c>
      <c r="I1513" t="n">
        <v>2.6</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64728-2023</t>
        </is>
      </c>
      <c r="B1514" t="inlineStr">
        <is>
          <t>avverkningsanmälan</t>
        </is>
      </c>
      <c r="C1514" t="inlineStr">
        <is>
          <t>Föryngringsavverkning</t>
        </is>
      </c>
      <c r="D1514" s="1" t="n">
        <v>45281</v>
      </c>
      <c r="E1514" s="1" t="n">
        <v>46312</v>
      </c>
      <c r="F1514" t="inlineStr">
        <is>
          <t>SKÅNE LÄN</t>
        </is>
      </c>
      <c r="G1514" t="inlineStr">
        <is>
          <t>ÄNGELHOLM</t>
        </is>
      </c>
      <c r="I1514" t="n">
        <v>1.8</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1492-2024</t>
        </is>
      </c>
      <c r="B1515" t="inlineStr">
        <is>
          <t>avverkningsanmälan</t>
        </is>
      </c>
      <c r="C1515" t="inlineStr">
        <is>
          <t>Föryngringsavverkning</t>
        </is>
      </c>
      <c r="D1515" s="1" t="n">
        <v>45305</v>
      </c>
      <c r="E1515" s="1" t="n">
        <v>46312</v>
      </c>
      <c r="F1515" t="inlineStr">
        <is>
          <t>SKÅNE LÄN</t>
        </is>
      </c>
      <c r="G1515" t="inlineStr">
        <is>
          <t>ÖRKELLJUNGA</t>
        </is>
      </c>
      <c r="I1515" t="n">
        <v>3.2</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1493-2024</t>
        </is>
      </c>
      <c r="B1516" t="inlineStr">
        <is>
          <t>avverkningsanmälan</t>
        </is>
      </c>
      <c r="C1516" t="inlineStr">
        <is>
          <t>Föryngringsavverkning</t>
        </is>
      </c>
      <c r="D1516" s="1" t="n">
        <v>45305</v>
      </c>
      <c r="E1516" s="1" t="n">
        <v>46312</v>
      </c>
      <c r="F1516" t="inlineStr">
        <is>
          <t>SKÅNE LÄN</t>
        </is>
      </c>
      <c r="G1516" t="inlineStr">
        <is>
          <t>ÖRKELLJUNGA</t>
        </is>
      </c>
      <c r="I1516" t="n">
        <v>1.1</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7192-2025</t>
        </is>
      </c>
      <c r="B1517" t="inlineStr">
        <is>
          <t>avverkningsanmälan</t>
        </is>
      </c>
      <c r="C1517" t="inlineStr">
        <is>
          <t>Föryngringsavverkning</t>
        </is>
      </c>
      <c r="D1517" s="1" t="n">
        <v>45702</v>
      </c>
      <c r="E1517" s="1" t="n">
        <v>46312</v>
      </c>
      <c r="F1517" t="inlineStr">
        <is>
          <t>SKÅNE LÄN</t>
        </is>
      </c>
      <c r="G1517" t="inlineStr">
        <is>
          <t>HÄSSLEHOLM</t>
        </is>
      </c>
      <c r="I1517" t="n">
        <v>1.2</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6335-2022</t>
        </is>
      </c>
      <c r="B1518" t="inlineStr">
        <is>
          <t>avverkningsanmälan</t>
        </is>
      </c>
      <c r="C1518" t="inlineStr">
        <is>
          <t>Föryngringsavverkning</t>
        </is>
      </c>
      <c r="D1518" s="1" t="n">
        <v>44600</v>
      </c>
      <c r="E1518" s="1" t="n">
        <v>46312</v>
      </c>
      <c r="F1518" t="inlineStr">
        <is>
          <t>SKÅNE LÄN</t>
        </is>
      </c>
      <c r="G1518" t="inlineStr">
        <is>
          <t>SVALÖV</t>
        </is>
      </c>
      <c r="I1518" t="n">
        <v>4</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43338-2024</t>
        </is>
      </c>
      <c r="B1519" t="inlineStr">
        <is>
          <t>avverkningsanmälan</t>
        </is>
      </c>
      <c r="C1519" t="inlineStr">
        <is>
          <t>Föryngringsavverkning</t>
        </is>
      </c>
      <c r="D1519" s="1" t="n">
        <v>45568</v>
      </c>
      <c r="E1519" s="1" t="n">
        <v>46312</v>
      </c>
      <c r="F1519" t="inlineStr">
        <is>
          <t>SKÅNE LÄN</t>
        </is>
      </c>
      <c r="G1519" t="inlineStr">
        <is>
          <t>OSBY</t>
        </is>
      </c>
      <c r="I1519" t="n">
        <v>1.2</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26058-2024</t>
        </is>
      </c>
      <c r="B1520" t="inlineStr">
        <is>
          <t>avverkningsanmälan</t>
        </is>
      </c>
      <c r="C1520" t="inlineStr">
        <is>
          <t>Föryngringsavverkning</t>
        </is>
      </c>
      <c r="D1520" s="1" t="n">
        <v>45468</v>
      </c>
      <c r="E1520" s="1" t="n">
        <v>46312</v>
      </c>
      <c r="F1520" t="inlineStr">
        <is>
          <t>SKÅNE LÄN</t>
        </is>
      </c>
      <c r="G1520" t="inlineStr">
        <is>
          <t>ÖRKELLJUNGA</t>
        </is>
      </c>
      <c r="I1520" t="n">
        <v>0.5</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9974-2024</t>
        </is>
      </c>
      <c r="B1521" t="inlineStr">
        <is>
          <t>avverkningsanmälan</t>
        </is>
      </c>
      <c r="C1521" t="inlineStr">
        <is>
          <t>Föryngringsavverkning</t>
        </is>
      </c>
      <c r="D1521" s="1" t="n">
        <v>45363</v>
      </c>
      <c r="E1521" s="1" t="n">
        <v>46312</v>
      </c>
      <c r="F1521" t="inlineStr">
        <is>
          <t>SKÅNE LÄN</t>
        </is>
      </c>
      <c r="G1521" t="inlineStr">
        <is>
          <t>HÖRBY</t>
        </is>
      </c>
      <c r="I1521" t="n">
        <v>0.6</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11943-2025</t>
        </is>
      </c>
      <c r="B1522" t="inlineStr">
        <is>
          <t>avverkningsanmälan</t>
        </is>
      </c>
      <c r="C1522" t="inlineStr">
        <is>
          <t>Föryngringsavverkning</t>
        </is>
      </c>
      <c r="D1522" s="1" t="n">
        <v>45728</v>
      </c>
      <c r="E1522" s="1" t="n">
        <v>46312</v>
      </c>
      <c r="F1522" t="inlineStr">
        <is>
          <t>SKÅNE LÄN</t>
        </is>
      </c>
      <c r="G1522" t="inlineStr">
        <is>
          <t>HÖRBY</t>
        </is>
      </c>
      <c r="I1522" t="n">
        <v>1.2</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14702-2024</t>
        </is>
      </c>
      <c r="B1523" t="inlineStr">
        <is>
          <t>avverkningsanmälan</t>
        </is>
      </c>
      <c r="C1523" t="inlineStr">
        <is>
          <t>Föryngringsavverkning</t>
        </is>
      </c>
      <c r="D1523" s="1" t="n">
        <v>45397</v>
      </c>
      <c r="E1523" s="1" t="n">
        <v>46312</v>
      </c>
      <c r="F1523" t="inlineStr">
        <is>
          <t>SKÅNE LÄN</t>
        </is>
      </c>
      <c r="G1523" t="inlineStr">
        <is>
          <t>SIMRISHAMN</t>
        </is>
      </c>
      <c r="I1523" t="n">
        <v>1.1</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21910-2024</t>
        </is>
      </c>
      <c r="B1524" t="inlineStr">
        <is>
          <t>avverkningsanmälan</t>
        </is>
      </c>
      <c r="C1524" t="inlineStr">
        <is>
          <t>Föryngringsavverkning</t>
        </is>
      </c>
      <c r="D1524" s="1" t="n">
        <v>45443</v>
      </c>
      <c r="E1524" s="1" t="n">
        <v>46312</v>
      </c>
      <c r="F1524" t="inlineStr">
        <is>
          <t>SKÅNE LÄN</t>
        </is>
      </c>
      <c r="G1524" t="inlineStr">
        <is>
          <t>ÖRKELLJUNGA</t>
        </is>
      </c>
      <c r="I1524" t="n">
        <v>1.4</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22262-2023</t>
        </is>
      </c>
      <c r="B1525" t="inlineStr">
        <is>
          <t>avverkningsanmälan</t>
        </is>
      </c>
      <c r="C1525" t="inlineStr">
        <is>
          <t>Föryngringsavverkning</t>
        </is>
      </c>
      <c r="D1525" s="1" t="n">
        <v>45070</v>
      </c>
      <c r="E1525" s="1" t="n">
        <v>46312</v>
      </c>
      <c r="F1525" t="inlineStr">
        <is>
          <t>SKÅNE LÄN</t>
        </is>
      </c>
      <c r="G1525" t="inlineStr">
        <is>
          <t>SVALÖV</t>
        </is>
      </c>
      <c r="I1525" t="n">
        <v>1.1</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35693-2024</t>
        </is>
      </c>
      <c r="B1526" t="inlineStr">
        <is>
          <t>avverkningsanmälan</t>
        </is>
      </c>
      <c r="C1526" t="inlineStr">
        <is>
          <t>Föryngringsavverkning</t>
        </is>
      </c>
      <c r="D1526" s="1" t="n">
        <v>45532</v>
      </c>
      <c r="E1526" s="1" t="n">
        <v>46312</v>
      </c>
      <c r="F1526" t="inlineStr">
        <is>
          <t>SKÅNE LÄN</t>
        </is>
      </c>
      <c r="G1526" t="inlineStr">
        <is>
          <t>KRISTIANSTAD</t>
        </is>
      </c>
      <c r="I1526" t="n">
        <v>4.3</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37318-2024</t>
        </is>
      </c>
      <c r="B1527" t="inlineStr">
        <is>
          <t>avverkningsanmälan</t>
        </is>
      </c>
      <c r="C1527" t="inlineStr">
        <is>
          <t>Föryngringsavverkning</t>
        </is>
      </c>
      <c r="D1527" s="1" t="n">
        <v>45540</v>
      </c>
      <c r="E1527" s="1" t="n">
        <v>46312</v>
      </c>
      <c r="F1527" t="inlineStr">
        <is>
          <t>SKÅNE LÄN</t>
        </is>
      </c>
      <c r="G1527" t="inlineStr">
        <is>
          <t>HÄSSLEHOLM</t>
        </is>
      </c>
      <c r="I1527" t="n">
        <v>3.9</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37324-2024</t>
        </is>
      </c>
      <c r="B1528" t="inlineStr">
        <is>
          <t>avverkningsanmälan</t>
        </is>
      </c>
      <c r="C1528" t="inlineStr">
        <is>
          <t>Föryngringsavverkning</t>
        </is>
      </c>
      <c r="D1528" s="1" t="n">
        <v>45540</v>
      </c>
      <c r="E1528" s="1" t="n">
        <v>46312</v>
      </c>
      <c r="F1528" t="inlineStr">
        <is>
          <t>SKÅNE LÄN</t>
        </is>
      </c>
      <c r="G1528" t="inlineStr">
        <is>
          <t>HÄSSLEHOLM</t>
        </is>
      </c>
      <c r="I1528" t="n">
        <v>1.5</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38998-2024</t>
        </is>
      </c>
      <c r="B1529" t="inlineStr">
        <is>
          <t>avverkningsanmälan</t>
        </is>
      </c>
      <c r="C1529" t="inlineStr">
        <is>
          <t>Föryngringsavverkning</t>
        </is>
      </c>
      <c r="D1529" s="1" t="n">
        <v>45548</v>
      </c>
      <c r="E1529" s="1" t="n">
        <v>46312</v>
      </c>
      <c r="F1529" t="inlineStr">
        <is>
          <t>SKÅNE LÄN</t>
        </is>
      </c>
      <c r="G1529" t="inlineStr">
        <is>
          <t>OSBY</t>
        </is>
      </c>
      <c r="I1529" t="n">
        <v>1.6</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57656-2022</t>
        </is>
      </c>
      <c r="B1530" t="inlineStr">
        <is>
          <t>avverkningsanmälan</t>
        </is>
      </c>
      <c r="C1530" t="inlineStr">
        <is>
          <t>Föryngringsavverkning</t>
        </is>
      </c>
      <c r="D1530" s="1" t="n">
        <v>44897</v>
      </c>
      <c r="E1530" s="1" t="n">
        <v>46312</v>
      </c>
      <c r="F1530" t="inlineStr">
        <is>
          <t>SKÅNE LÄN</t>
        </is>
      </c>
      <c r="G1530" t="inlineStr">
        <is>
          <t>HÄSSLEHOLM</t>
        </is>
      </c>
      <c r="I1530" t="n">
        <v>0.6</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57703-2022</t>
        </is>
      </c>
      <c r="B1531" t="inlineStr">
        <is>
          <t>avverkningsanmälan</t>
        </is>
      </c>
      <c r="C1531" t="inlineStr">
        <is>
          <t>Föryngringsavverkning</t>
        </is>
      </c>
      <c r="D1531" s="1" t="n">
        <v>44897</v>
      </c>
      <c r="E1531" s="1" t="n">
        <v>46312</v>
      </c>
      <c r="F1531" t="inlineStr">
        <is>
          <t>SKÅNE LÄN</t>
        </is>
      </c>
      <c r="G1531" t="inlineStr">
        <is>
          <t>ÖRKELLJUNGA</t>
        </is>
      </c>
      <c r="I1531" t="n">
        <v>0.8</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32881-2024</t>
        </is>
      </c>
      <c r="B1532" t="inlineStr">
        <is>
          <t>avverkningsanmälan</t>
        </is>
      </c>
      <c r="C1532" t="inlineStr">
        <is>
          <t>Föryngringsavverkning</t>
        </is>
      </c>
      <c r="D1532" s="1" t="n">
        <v>45516</v>
      </c>
      <c r="E1532" s="1" t="n">
        <v>46312</v>
      </c>
      <c r="F1532" t="inlineStr">
        <is>
          <t>SKÅNE LÄN</t>
        </is>
      </c>
      <c r="G1532" t="inlineStr">
        <is>
          <t>HÄSSLEHOLM</t>
        </is>
      </c>
      <c r="I1532" t="n">
        <v>6.3</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47231-2023</t>
        </is>
      </c>
      <c r="B1533" t="inlineStr">
        <is>
          <t>avverkningsanmälan</t>
        </is>
      </c>
      <c r="C1533" t="inlineStr">
        <is>
          <t>Föryngringsavverkning</t>
        </is>
      </c>
      <c r="D1533" s="1" t="n">
        <v>45202</v>
      </c>
      <c r="E1533" s="1" t="n">
        <v>46312</v>
      </c>
      <c r="F1533" t="inlineStr">
        <is>
          <t>SKÅNE LÄN</t>
        </is>
      </c>
      <c r="G1533" t="inlineStr">
        <is>
          <t>TOMELILLA</t>
        </is>
      </c>
      <c r="I1533" t="n">
        <v>1.3</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3846-2025</t>
        </is>
      </c>
      <c r="B1534" t="inlineStr">
        <is>
          <t>avverkningsanmälan</t>
        </is>
      </c>
      <c r="C1534" t="inlineStr">
        <is>
          <t>Föryngringsavverkning</t>
        </is>
      </c>
      <c r="D1534" s="1" t="n">
        <v>45683</v>
      </c>
      <c r="E1534" s="1" t="n">
        <v>46312</v>
      </c>
      <c r="F1534" t="inlineStr">
        <is>
          <t>SKÅNE LÄN</t>
        </is>
      </c>
      <c r="G1534" t="inlineStr">
        <is>
          <t>OSBY</t>
        </is>
      </c>
      <c r="I1534" t="n">
        <v>1.6</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38306-2022</t>
        </is>
      </c>
      <c r="B1535" t="inlineStr">
        <is>
          <t>avverkningsanmälan</t>
        </is>
      </c>
      <c r="C1535" t="inlineStr">
        <is>
          <t>Föryngringsavverkning</t>
        </is>
      </c>
      <c r="D1535" s="1" t="n">
        <v>44812</v>
      </c>
      <c r="E1535" s="1" t="n">
        <v>46312</v>
      </c>
      <c r="F1535" t="inlineStr">
        <is>
          <t>SKÅNE LÄN</t>
        </is>
      </c>
      <c r="G1535" t="inlineStr">
        <is>
          <t>HÄSSLEHOLM</t>
        </is>
      </c>
      <c r="I1535" t="n">
        <v>2.2</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58761-2022</t>
        </is>
      </c>
      <c r="B1536" t="inlineStr">
        <is>
          <t>avverkningsanmälan</t>
        </is>
      </c>
      <c r="C1536" t="inlineStr">
        <is>
          <t>Föryngringsavverkning</t>
        </is>
      </c>
      <c r="D1536" s="1" t="n">
        <v>44903</v>
      </c>
      <c r="E1536" s="1" t="n">
        <v>46312</v>
      </c>
      <c r="F1536" t="inlineStr">
        <is>
          <t>SKÅNE LÄN</t>
        </is>
      </c>
      <c r="G1536" t="inlineStr">
        <is>
          <t>OSBY</t>
        </is>
      </c>
      <c r="H1536" t="inlineStr">
        <is>
          <t>Kommuner</t>
        </is>
      </c>
      <c r="I1536" t="n">
        <v>0.7</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8244-2023</t>
        </is>
      </c>
      <c r="B1537" t="inlineStr">
        <is>
          <t>avverkningsanmälan</t>
        </is>
      </c>
      <c r="C1537" t="inlineStr">
        <is>
          <t>Föryngringsavverkning</t>
        </is>
      </c>
      <c r="D1537" s="1" t="n">
        <v>44974</v>
      </c>
      <c r="E1537" s="1" t="n">
        <v>46312</v>
      </c>
      <c r="F1537" t="inlineStr">
        <is>
          <t>SKÅNE LÄN</t>
        </is>
      </c>
      <c r="G1537" t="inlineStr">
        <is>
          <t>HÄSSLEHOLM</t>
        </is>
      </c>
      <c r="I1537" t="n">
        <v>1.2</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8246-2023</t>
        </is>
      </c>
      <c r="B1538" t="inlineStr">
        <is>
          <t>avverkningsanmälan</t>
        </is>
      </c>
      <c r="C1538" t="inlineStr">
        <is>
          <t>Föryngringsavverkning</t>
        </is>
      </c>
      <c r="D1538" s="1" t="n">
        <v>44974</v>
      </c>
      <c r="E1538" s="1" t="n">
        <v>46312</v>
      </c>
      <c r="F1538" t="inlineStr">
        <is>
          <t>SKÅNE LÄN</t>
        </is>
      </c>
      <c r="G1538" t="inlineStr">
        <is>
          <t>HÄSSLEHOLM</t>
        </is>
      </c>
      <c r="I1538" t="n">
        <v>1.6</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4209-2025</t>
        </is>
      </c>
      <c r="B1539" t="inlineStr">
        <is>
          <t>avverkningsanmälan</t>
        </is>
      </c>
      <c r="C1539" t="inlineStr">
        <is>
          <t>Föryngringsavverkning</t>
        </is>
      </c>
      <c r="D1539" s="1" t="n">
        <v>45685</v>
      </c>
      <c r="E1539" s="1" t="n">
        <v>46312</v>
      </c>
      <c r="F1539" t="inlineStr">
        <is>
          <t>SKÅNE LÄN</t>
        </is>
      </c>
      <c r="G1539" t="inlineStr">
        <is>
          <t>OSBY</t>
        </is>
      </c>
      <c r="I1539" t="n">
        <v>7.8</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38712-2024</t>
        </is>
      </c>
      <c r="B1540" t="inlineStr">
        <is>
          <t>avverkningsanmälan</t>
        </is>
      </c>
      <c r="C1540" t="inlineStr">
        <is>
          <t>Föryngringsavverkning</t>
        </is>
      </c>
      <c r="D1540" s="1" t="n">
        <v>45547</v>
      </c>
      <c r="E1540" s="1" t="n">
        <v>46312</v>
      </c>
      <c r="F1540" t="inlineStr">
        <is>
          <t>SKÅNE LÄN</t>
        </is>
      </c>
      <c r="G1540" t="inlineStr">
        <is>
          <t>HÄSSLEHOLM</t>
        </is>
      </c>
      <c r="I1540" t="n">
        <v>0.6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4370-2024</t>
        </is>
      </c>
      <c r="B1541" t="inlineStr">
        <is>
          <t>avverkningsanmälan</t>
        </is>
      </c>
      <c r="C1541" t="inlineStr">
        <is>
          <t>Föryngringsavverkning</t>
        </is>
      </c>
      <c r="D1541" s="1" t="n">
        <v>45326</v>
      </c>
      <c r="E1541" s="1" t="n">
        <v>46312</v>
      </c>
      <c r="F1541" t="inlineStr">
        <is>
          <t>SKÅNE LÄN</t>
        </is>
      </c>
      <c r="G1541" t="inlineStr">
        <is>
          <t>KRISTIANSTAD</t>
        </is>
      </c>
      <c r="I1541" t="n">
        <v>4.8</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28918-2023</t>
        </is>
      </c>
      <c r="B1542" t="inlineStr">
        <is>
          <t>avverkningsanmälan</t>
        </is>
      </c>
      <c r="C1542" t="inlineStr">
        <is>
          <t>Föryngringsavverkning</t>
        </is>
      </c>
      <c r="D1542" s="1" t="n">
        <v>45104</v>
      </c>
      <c r="E1542" s="1" t="n">
        <v>46312</v>
      </c>
      <c r="F1542" t="inlineStr">
        <is>
          <t>SKÅNE LÄN</t>
        </is>
      </c>
      <c r="G1542" t="inlineStr">
        <is>
          <t>HÖRBY</t>
        </is>
      </c>
      <c r="I1542" t="n">
        <v>2</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28919-2023</t>
        </is>
      </c>
      <c r="B1543" t="inlineStr">
        <is>
          <t>avverkningsanmälan</t>
        </is>
      </c>
      <c r="C1543" t="inlineStr">
        <is>
          <t>Föryngringsavverkning</t>
        </is>
      </c>
      <c r="D1543" s="1" t="n">
        <v>45104</v>
      </c>
      <c r="E1543" s="1" t="n">
        <v>46312</v>
      </c>
      <c r="F1543" t="inlineStr">
        <is>
          <t>SKÅNE LÄN</t>
        </is>
      </c>
      <c r="G1543" t="inlineStr">
        <is>
          <t>SJÖBO</t>
        </is>
      </c>
      <c r="I1543" t="n">
        <v>0.8</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23676-2024</t>
        </is>
      </c>
      <c r="B1544" t="inlineStr">
        <is>
          <t>avverkningsanmälan</t>
        </is>
      </c>
      <c r="C1544" t="inlineStr">
        <is>
          <t>Föryngringsavverkning</t>
        </is>
      </c>
      <c r="D1544" s="1" t="n">
        <v>45454</v>
      </c>
      <c r="E1544" s="1" t="n">
        <v>46312</v>
      </c>
      <c r="F1544" t="inlineStr">
        <is>
          <t>SKÅNE LÄN</t>
        </is>
      </c>
      <c r="G1544" t="inlineStr">
        <is>
          <t>ÄNGELHOLM</t>
        </is>
      </c>
      <c r="I1544" t="n">
        <v>0.9</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25606-2024</t>
        </is>
      </c>
      <c r="B1545" t="inlineStr">
        <is>
          <t>avverkningsanmälan</t>
        </is>
      </c>
      <c r="C1545" t="inlineStr">
        <is>
          <t>Föryngringsavverkning</t>
        </is>
      </c>
      <c r="D1545" s="1" t="n">
        <v>45463</v>
      </c>
      <c r="E1545" s="1" t="n">
        <v>46312</v>
      </c>
      <c r="F1545" t="inlineStr">
        <is>
          <t>SKÅNE LÄN</t>
        </is>
      </c>
      <c r="G1545" t="inlineStr">
        <is>
          <t>HÄSSLEHOLM</t>
        </is>
      </c>
      <c r="I1545" t="n">
        <v>1.5</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9794-2023</t>
        </is>
      </c>
      <c r="B1546" t="inlineStr">
        <is>
          <t>avverkningsanmälan</t>
        </is>
      </c>
      <c r="C1546" t="inlineStr">
        <is>
          <t>Avverkning för annat ändamål</t>
        </is>
      </c>
      <c r="D1546" s="1" t="n">
        <v>44984</v>
      </c>
      <c r="E1546" s="1" t="n">
        <v>46312</v>
      </c>
      <c r="F1546" t="inlineStr">
        <is>
          <t>SKÅNE LÄN</t>
        </is>
      </c>
      <c r="G1546" t="inlineStr">
        <is>
          <t>KRISTIANSTAD</t>
        </is>
      </c>
      <c r="I1546" t="n">
        <v>3.6</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18214-2023</t>
        </is>
      </c>
      <c r="B1547" t="inlineStr">
        <is>
          <t>avverkningsanmälan</t>
        </is>
      </c>
      <c r="C1547" t="inlineStr">
        <is>
          <t>Föryngringsavverkning</t>
        </is>
      </c>
      <c r="D1547" s="1" t="n">
        <v>45040</v>
      </c>
      <c r="E1547" s="1" t="n">
        <v>46312</v>
      </c>
      <c r="F1547" t="inlineStr">
        <is>
          <t>SKÅNE LÄN</t>
        </is>
      </c>
      <c r="G1547" t="inlineStr">
        <is>
          <t>KLIPPAN</t>
        </is>
      </c>
      <c r="I1547" t="n">
        <v>4.8</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578-2024</t>
        </is>
      </c>
      <c r="B1548" t="inlineStr">
        <is>
          <t>avverkningsanmälan</t>
        </is>
      </c>
      <c r="C1548" t="inlineStr">
        <is>
          <t>Föryngringsavverkning</t>
        </is>
      </c>
      <c r="D1548" s="1" t="n">
        <v>45299</v>
      </c>
      <c r="E1548" s="1" t="n">
        <v>46312</v>
      </c>
      <c r="F1548" t="inlineStr">
        <is>
          <t>SKÅNE LÄN</t>
        </is>
      </c>
      <c r="G1548" t="inlineStr">
        <is>
          <t>TOMELILLA</t>
        </is>
      </c>
      <c r="H1548" t="inlineStr">
        <is>
          <t>Övriga Aktiebolag</t>
        </is>
      </c>
      <c r="I1548" t="n">
        <v>67.40000000000001</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36543-2022</t>
        </is>
      </c>
      <c r="B1549" t="inlineStr">
        <is>
          <t>avverkningsanmälan</t>
        </is>
      </c>
      <c r="C1549" t="inlineStr">
        <is>
          <t>Föryngringsavverkning</t>
        </is>
      </c>
      <c r="D1549" s="1" t="n">
        <v>44804</v>
      </c>
      <c r="E1549" s="1" t="n">
        <v>46312</v>
      </c>
      <c r="F1549" t="inlineStr">
        <is>
          <t>SKÅNE LÄN</t>
        </is>
      </c>
      <c r="G1549" t="inlineStr">
        <is>
          <t>ÖRKELLJUNGA</t>
        </is>
      </c>
      <c r="I1549" t="n">
        <v>0.9</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22256-2022</t>
        </is>
      </c>
      <c r="B1550" t="inlineStr">
        <is>
          <t>avverkningsanmälan</t>
        </is>
      </c>
      <c r="C1550" t="inlineStr">
        <is>
          <t>Föryngringsavverkning</t>
        </is>
      </c>
      <c r="D1550" s="1" t="n">
        <v>44712</v>
      </c>
      <c r="E1550" s="1" t="n">
        <v>46312</v>
      </c>
      <c r="F1550" t="inlineStr">
        <is>
          <t>SKÅNE LÄN</t>
        </is>
      </c>
      <c r="G1550" t="inlineStr">
        <is>
          <t>BJUV</t>
        </is>
      </c>
      <c r="I1550" t="n">
        <v>11.2</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32015-2023</t>
        </is>
      </c>
      <c r="B1551" t="inlineStr">
        <is>
          <t>avverkningsanmälan</t>
        </is>
      </c>
      <c r="C1551" t="inlineStr">
        <is>
          <t>Föryngringsavverkning</t>
        </is>
      </c>
      <c r="D1551" s="1" t="n">
        <v>45119</v>
      </c>
      <c r="E1551" s="1" t="n">
        <v>46312</v>
      </c>
      <c r="F1551" t="inlineStr">
        <is>
          <t>SKÅNE LÄN</t>
        </is>
      </c>
      <c r="G1551" t="inlineStr">
        <is>
          <t>KRISTIANSTAD</t>
        </is>
      </c>
      <c r="I1551" t="n">
        <v>3.5</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17723-2023</t>
        </is>
      </c>
      <c r="B1552" t="inlineStr">
        <is>
          <t>avverkningsanmälan</t>
        </is>
      </c>
      <c r="C1552" t="inlineStr">
        <is>
          <t>Föryngringsavverkning</t>
        </is>
      </c>
      <c r="D1552" s="1" t="n">
        <v>45037</v>
      </c>
      <c r="E1552" s="1" t="n">
        <v>46312</v>
      </c>
      <c r="F1552" t="inlineStr">
        <is>
          <t>SKÅNE LÄN</t>
        </is>
      </c>
      <c r="G1552" t="inlineStr">
        <is>
          <t>HÖÖR</t>
        </is>
      </c>
      <c r="I1552" t="n">
        <v>2</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37890-2024</t>
        </is>
      </c>
      <c r="B1553" t="inlineStr">
        <is>
          <t>avverkningsanmälan</t>
        </is>
      </c>
      <c r="C1553" t="inlineStr">
        <is>
          <t>Föryngringsavverkning</t>
        </is>
      </c>
      <c r="D1553" s="1" t="n">
        <v>45544</v>
      </c>
      <c r="E1553" s="1" t="n">
        <v>46312</v>
      </c>
      <c r="F1553" t="inlineStr">
        <is>
          <t>SKÅNE LÄN</t>
        </is>
      </c>
      <c r="G1553" t="inlineStr">
        <is>
          <t>PERSTORP</t>
        </is>
      </c>
      <c r="I1553" t="n">
        <v>0.6</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531-2025</t>
        </is>
      </c>
      <c r="B1554" t="inlineStr">
        <is>
          <t>avverkningsanmälan</t>
        </is>
      </c>
      <c r="C1554" t="inlineStr">
        <is>
          <t>Föryngringsavverkning</t>
        </is>
      </c>
      <c r="D1554" s="1" t="n">
        <v>45664</v>
      </c>
      <c r="E1554" s="1" t="n">
        <v>46312</v>
      </c>
      <c r="F1554" t="inlineStr">
        <is>
          <t>SKÅNE LÄN</t>
        </is>
      </c>
      <c r="G1554" t="inlineStr">
        <is>
          <t>HÖÖR</t>
        </is>
      </c>
      <c r="I1554" t="n">
        <v>1.2</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42715-2023</t>
        </is>
      </c>
      <c r="B1555" t="inlineStr">
        <is>
          <t>avverkningsanmälan</t>
        </is>
      </c>
      <c r="C1555" t="inlineStr">
        <is>
          <t>Föryngringsavverkning</t>
        </is>
      </c>
      <c r="D1555" s="1" t="n">
        <v>45176</v>
      </c>
      <c r="E1555" s="1" t="n">
        <v>46312</v>
      </c>
      <c r="F1555" t="inlineStr">
        <is>
          <t>SKÅNE LÄN</t>
        </is>
      </c>
      <c r="G1555" t="inlineStr">
        <is>
          <t>HÖRBY</t>
        </is>
      </c>
      <c r="I1555" t="n">
        <v>0.5</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13068-2023</t>
        </is>
      </c>
      <c r="B1556" t="inlineStr">
        <is>
          <t>avverkningsanmälan</t>
        </is>
      </c>
      <c r="C1556" t="inlineStr">
        <is>
          <t>Föryngringsavverkning</t>
        </is>
      </c>
      <c r="D1556" s="1" t="n">
        <v>45002</v>
      </c>
      <c r="E1556" s="1" t="n">
        <v>46312</v>
      </c>
      <c r="F1556" t="inlineStr">
        <is>
          <t>SKÅNE LÄN</t>
        </is>
      </c>
      <c r="G1556" t="inlineStr">
        <is>
          <t>ÖRKELLJUNGA</t>
        </is>
      </c>
      <c r="I1556" t="n">
        <v>1.5</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36324-2022</t>
        </is>
      </c>
      <c r="B1557" t="inlineStr">
        <is>
          <t>avverkningsanmälan</t>
        </is>
      </c>
      <c r="C1557" t="inlineStr">
        <is>
          <t>Avverkning för annat ändamål</t>
        </is>
      </c>
      <c r="D1557" s="1" t="n">
        <v>44803</v>
      </c>
      <c r="E1557" s="1" t="n">
        <v>46312</v>
      </c>
      <c r="F1557" t="inlineStr">
        <is>
          <t>SKÅNE LÄN</t>
        </is>
      </c>
      <c r="G1557" t="inlineStr">
        <is>
          <t>ÖSTRA GÖINGE</t>
        </is>
      </c>
      <c r="I1557" t="n">
        <v>2.4</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61096-2022</t>
        </is>
      </c>
      <c r="B1558" t="inlineStr">
        <is>
          <t>avverkningsanmälan</t>
        </is>
      </c>
      <c r="C1558" t="inlineStr">
        <is>
          <t>Föryngringsavverkning</t>
        </is>
      </c>
      <c r="D1558" s="1" t="n">
        <v>44915</v>
      </c>
      <c r="E1558" s="1" t="n">
        <v>46312</v>
      </c>
      <c r="F1558" t="inlineStr">
        <is>
          <t>SKÅNE LÄN</t>
        </is>
      </c>
      <c r="G1558" t="inlineStr">
        <is>
          <t>ÖSTRA GÖINGE</t>
        </is>
      </c>
      <c r="I1558" t="n">
        <v>1.9</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16429-2023</t>
        </is>
      </c>
      <c r="B1559" t="inlineStr">
        <is>
          <t>avverkningsanmälan</t>
        </is>
      </c>
      <c r="C1559" t="inlineStr">
        <is>
          <t>Föryngringsavverkning</t>
        </is>
      </c>
      <c r="D1559" s="1" t="n">
        <v>45029</v>
      </c>
      <c r="E1559" s="1" t="n">
        <v>46312</v>
      </c>
      <c r="F1559" t="inlineStr">
        <is>
          <t>SKÅNE LÄN</t>
        </is>
      </c>
      <c r="G1559" t="inlineStr">
        <is>
          <t>SJÖBO</t>
        </is>
      </c>
      <c r="I1559" t="n">
        <v>2</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16667-2023</t>
        </is>
      </c>
      <c r="B1560" t="inlineStr">
        <is>
          <t>avverkningsanmälan</t>
        </is>
      </c>
      <c r="C1560" t="inlineStr">
        <is>
          <t>Föryngringsavverkning</t>
        </is>
      </c>
      <c r="D1560" s="1" t="n">
        <v>45030</v>
      </c>
      <c r="E1560" s="1" t="n">
        <v>46312</v>
      </c>
      <c r="F1560" t="inlineStr">
        <is>
          <t>SKÅNE LÄN</t>
        </is>
      </c>
      <c r="G1560" t="inlineStr">
        <is>
          <t>SVALÖV</t>
        </is>
      </c>
      <c r="I1560" t="n">
        <v>3.8</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3746-2024</t>
        </is>
      </c>
      <c r="B1561" t="inlineStr">
        <is>
          <t>avverkningsanmälan</t>
        </is>
      </c>
      <c r="C1561" t="inlineStr">
        <is>
          <t>Föryngringsavverkning</t>
        </is>
      </c>
      <c r="D1561" s="1" t="n">
        <v>45321</v>
      </c>
      <c r="E1561" s="1" t="n">
        <v>46312</v>
      </c>
      <c r="F1561" t="inlineStr">
        <is>
          <t>SKÅNE LÄN</t>
        </is>
      </c>
      <c r="G1561" t="inlineStr">
        <is>
          <t>HÄSSLEHOLM</t>
        </is>
      </c>
      <c r="I1561" t="n">
        <v>3.4</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1397-2023</t>
        </is>
      </c>
      <c r="B1562" t="inlineStr">
        <is>
          <t>avverkningsanmälan</t>
        </is>
      </c>
      <c r="C1562" t="inlineStr">
        <is>
          <t>Föryngringsavverkning</t>
        </is>
      </c>
      <c r="D1562" s="1" t="n">
        <v>44936</v>
      </c>
      <c r="E1562" s="1" t="n">
        <v>46312</v>
      </c>
      <c r="F1562" t="inlineStr">
        <is>
          <t>SKÅNE LÄN</t>
        </is>
      </c>
      <c r="G1562" t="inlineStr">
        <is>
          <t>ÖRKELLJUNGA</t>
        </is>
      </c>
      <c r="I1562" t="n">
        <v>0.5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11798-2022</t>
        </is>
      </c>
      <c r="B1563" t="inlineStr">
        <is>
          <t>avverkningsanmälan</t>
        </is>
      </c>
      <c r="C1563" t="inlineStr">
        <is>
          <t>Föryngringsavverkning</t>
        </is>
      </c>
      <c r="D1563" s="1" t="n">
        <v>44634</v>
      </c>
      <c r="E1563" s="1" t="n">
        <v>46312</v>
      </c>
      <c r="F1563" t="inlineStr">
        <is>
          <t>SKÅNE LÄN</t>
        </is>
      </c>
      <c r="G1563" t="inlineStr">
        <is>
          <t>HÄSSLEHOLM</t>
        </is>
      </c>
      <c r="I1563" t="n">
        <v>2.8</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57529-2022</t>
        </is>
      </c>
      <c r="B1564" t="inlineStr">
        <is>
          <t>avverkningsanmälan</t>
        </is>
      </c>
      <c r="C1564" t="inlineStr">
        <is>
          <t>Föryngringsavverkning</t>
        </is>
      </c>
      <c r="D1564" s="1" t="n">
        <v>44896</v>
      </c>
      <c r="E1564" s="1" t="n">
        <v>46312</v>
      </c>
      <c r="F1564" t="inlineStr">
        <is>
          <t>SKÅNE LÄN</t>
        </is>
      </c>
      <c r="G1564" t="inlineStr">
        <is>
          <t>ÖSTRA GÖINGE</t>
        </is>
      </c>
      <c r="I1564" t="n">
        <v>3.8</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45348-2024</t>
        </is>
      </c>
      <c r="B1565" t="inlineStr">
        <is>
          <t>avverkningsanmälan</t>
        </is>
      </c>
      <c r="C1565" t="inlineStr">
        <is>
          <t>Föryngringsavverkning</t>
        </is>
      </c>
      <c r="D1565" s="1" t="n">
        <v>45576</v>
      </c>
      <c r="E1565" s="1" t="n">
        <v>46312</v>
      </c>
      <c r="F1565" t="inlineStr">
        <is>
          <t>SKÅNE LÄN</t>
        </is>
      </c>
      <c r="G1565" t="inlineStr">
        <is>
          <t>SJÖBO</t>
        </is>
      </c>
      <c r="I1565" t="n">
        <v>0.4</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28966-2022</t>
        </is>
      </c>
      <c r="B1566" t="inlineStr">
        <is>
          <t>avverkningsanmälan</t>
        </is>
      </c>
      <c r="C1566" t="inlineStr">
        <is>
          <t>Avverkning för annat ändamål</t>
        </is>
      </c>
      <c r="D1566" s="1" t="n">
        <v>44749</v>
      </c>
      <c r="E1566" s="1" t="n">
        <v>46312</v>
      </c>
      <c r="F1566" t="inlineStr">
        <is>
          <t>SKÅNE LÄN</t>
        </is>
      </c>
      <c r="G1566" t="inlineStr">
        <is>
          <t>TOMELILLA</t>
        </is>
      </c>
      <c r="I1566" t="n">
        <v>3.2</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65097-2021</t>
        </is>
      </c>
      <c r="B1567" t="inlineStr">
        <is>
          <t>avverkningsanmälan</t>
        </is>
      </c>
      <c r="C1567" t="inlineStr">
        <is>
          <t>Föryngringsavverkning</t>
        </is>
      </c>
      <c r="D1567" s="1" t="n">
        <v>44513</v>
      </c>
      <c r="E1567" s="1" t="n">
        <v>46312</v>
      </c>
      <c r="F1567" t="inlineStr">
        <is>
          <t>SKÅNE LÄN</t>
        </is>
      </c>
      <c r="G1567" t="inlineStr">
        <is>
          <t>KRISTIANSTAD</t>
        </is>
      </c>
      <c r="I1567" t="n">
        <v>1.2</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4945-2022</t>
        </is>
      </c>
      <c r="B1568" t="inlineStr">
        <is>
          <t>avverkningsanmälan</t>
        </is>
      </c>
      <c r="C1568" t="inlineStr">
        <is>
          <t>Föryngringsavverkning</t>
        </is>
      </c>
      <c r="D1568" s="1" t="n">
        <v>44593</v>
      </c>
      <c r="E1568" s="1" t="n">
        <v>46312</v>
      </c>
      <c r="F1568" t="inlineStr">
        <is>
          <t>SKÅNE LÄN</t>
        </is>
      </c>
      <c r="G1568" t="inlineStr">
        <is>
          <t>HÄSSLEHOLM</t>
        </is>
      </c>
      <c r="I1568" t="n">
        <v>0.5</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30749-2024</t>
        </is>
      </c>
      <c r="B1569" t="inlineStr">
        <is>
          <t>avverkningsanmälan</t>
        </is>
      </c>
      <c r="C1569" t="inlineStr">
        <is>
          <t>Föryngringsavverkning</t>
        </is>
      </c>
      <c r="D1569" s="1" t="n">
        <v>45496</v>
      </c>
      <c r="E1569" s="1" t="n">
        <v>46312</v>
      </c>
      <c r="F1569" t="inlineStr">
        <is>
          <t>SKÅNE LÄN</t>
        </is>
      </c>
      <c r="G1569" t="inlineStr">
        <is>
          <t>KRISTIANSTAD</t>
        </is>
      </c>
      <c r="I1569" t="n">
        <v>0.5</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44043-2023</t>
        </is>
      </c>
      <c r="B1570" t="inlineStr">
        <is>
          <t>avverkningsanmälan</t>
        </is>
      </c>
      <c r="C1570" t="inlineStr">
        <is>
          <t>Föryngringsavverkning</t>
        </is>
      </c>
      <c r="D1570" s="1" t="n">
        <v>45188</v>
      </c>
      <c r="E1570" s="1" t="n">
        <v>46312</v>
      </c>
      <c r="F1570" t="inlineStr">
        <is>
          <t>SKÅNE LÄN</t>
        </is>
      </c>
      <c r="G1570" t="inlineStr">
        <is>
          <t>ÖSTRA GÖINGE</t>
        </is>
      </c>
      <c r="I1570" t="n">
        <v>1.5</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57649-2022</t>
        </is>
      </c>
      <c r="B1571" t="inlineStr">
        <is>
          <t>avverkningsanmälan</t>
        </is>
      </c>
      <c r="C1571" t="inlineStr">
        <is>
          <t>Föryngringsavverkning</t>
        </is>
      </c>
      <c r="D1571" s="1" t="n">
        <v>44897</v>
      </c>
      <c r="E1571" s="1" t="n">
        <v>46312</v>
      </c>
      <c r="F1571" t="inlineStr">
        <is>
          <t>SKÅNE LÄN</t>
        </is>
      </c>
      <c r="G1571" t="inlineStr">
        <is>
          <t>HÄSSLEHOLM</t>
        </is>
      </c>
      <c r="I1571" t="n">
        <v>0.5</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42751-2022</t>
        </is>
      </c>
      <c r="B1572" t="inlineStr">
        <is>
          <t>avverkningsanmälan</t>
        </is>
      </c>
      <c r="C1572" t="inlineStr">
        <is>
          <t>Föryngringsavverkning</t>
        </is>
      </c>
      <c r="D1572" s="1" t="n">
        <v>44832</v>
      </c>
      <c r="E1572" s="1" t="n">
        <v>46312</v>
      </c>
      <c r="F1572" t="inlineStr">
        <is>
          <t>SKÅNE LÄN</t>
        </is>
      </c>
      <c r="G1572" t="inlineStr">
        <is>
          <t>OSBY</t>
        </is>
      </c>
      <c r="I1572" t="n">
        <v>1</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57665-2022</t>
        </is>
      </c>
      <c r="B1573" t="inlineStr">
        <is>
          <t>avverkningsanmälan</t>
        </is>
      </c>
      <c r="C1573" t="inlineStr">
        <is>
          <t>Föryngringsavverkning</t>
        </is>
      </c>
      <c r="D1573" s="1" t="n">
        <v>44897</v>
      </c>
      <c r="E1573" s="1" t="n">
        <v>46312</v>
      </c>
      <c r="F1573" t="inlineStr">
        <is>
          <t>SKÅNE LÄN</t>
        </is>
      </c>
      <c r="G1573" t="inlineStr">
        <is>
          <t>HÄSSLEHOLM</t>
        </is>
      </c>
      <c r="I1573" t="n">
        <v>0.6</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14145-2023</t>
        </is>
      </c>
      <c r="B1574" t="inlineStr">
        <is>
          <t>avverkningsanmälan</t>
        </is>
      </c>
      <c r="C1574" t="inlineStr">
        <is>
          <t>Föryngringsavverkning</t>
        </is>
      </c>
      <c r="D1574" s="1" t="n">
        <v>45009</v>
      </c>
      <c r="E1574" s="1" t="n">
        <v>46312</v>
      </c>
      <c r="F1574" t="inlineStr">
        <is>
          <t>SKÅNE LÄN</t>
        </is>
      </c>
      <c r="G1574" t="inlineStr">
        <is>
          <t>HÄSSLEHOLM</t>
        </is>
      </c>
      <c r="I1574" t="n">
        <v>0.5</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19643-2024</t>
        </is>
      </c>
      <c r="B1575" t="inlineStr">
        <is>
          <t>avverkningsanmälan</t>
        </is>
      </c>
      <c r="C1575" t="inlineStr">
        <is>
          <t>Föryngringsavverkning</t>
        </is>
      </c>
      <c r="D1575" s="1" t="n">
        <v>45432</v>
      </c>
      <c r="E1575" s="1" t="n">
        <v>46312</v>
      </c>
      <c r="F1575" t="inlineStr">
        <is>
          <t>SKÅNE LÄN</t>
        </is>
      </c>
      <c r="G1575" t="inlineStr">
        <is>
          <t>ÖRKELLJUNGA</t>
        </is>
      </c>
      <c r="H1575" t="inlineStr">
        <is>
          <t>Kommuner</t>
        </is>
      </c>
      <c r="I1575" t="n">
        <v>2.9</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12558-2023</t>
        </is>
      </c>
      <c r="B1576" t="inlineStr">
        <is>
          <t>avverkningsanmälan</t>
        </is>
      </c>
      <c r="C1576" t="inlineStr">
        <is>
          <t>Föryngringsavverkning</t>
        </is>
      </c>
      <c r="D1576" s="1" t="n">
        <v>45000</v>
      </c>
      <c r="E1576" s="1" t="n">
        <v>46312</v>
      </c>
      <c r="F1576" t="inlineStr">
        <is>
          <t>SKÅNE LÄN</t>
        </is>
      </c>
      <c r="G1576" t="inlineStr">
        <is>
          <t>HÄSSLEHOLM</t>
        </is>
      </c>
      <c r="I1576" t="n">
        <v>0.8</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12615-2023</t>
        </is>
      </c>
      <c r="B1577" t="inlineStr">
        <is>
          <t>avverkningsanmälan</t>
        </is>
      </c>
      <c r="C1577" t="inlineStr">
        <is>
          <t>Föryngringsavverkning</t>
        </is>
      </c>
      <c r="D1577" s="1" t="n">
        <v>45000</v>
      </c>
      <c r="E1577" s="1" t="n">
        <v>46312</v>
      </c>
      <c r="F1577" t="inlineStr">
        <is>
          <t>SKÅNE LÄN</t>
        </is>
      </c>
      <c r="G1577" t="inlineStr">
        <is>
          <t>KRISTIANSTAD</t>
        </is>
      </c>
      <c r="I1577" t="n">
        <v>0.4</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27529-2022</t>
        </is>
      </c>
      <c r="B1578" t="inlineStr">
        <is>
          <t>avverkningsanmälan</t>
        </is>
      </c>
      <c r="C1578" t="inlineStr">
        <is>
          <t>Föryngringsavverkning</t>
        </is>
      </c>
      <c r="D1578" s="1" t="n">
        <v>44742</v>
      </c>
      <c r="E1578" s="1" t="n">
        <v>46312</v>
      </c>
      <c r="F1578" t="inlineStr">
        <is>
          <t>SKÅNE LÄN</t>
        </is>
      </c>
      <c r="G1578" t="inlineStr">
        <is>
          <t>KRISTIANSTAD</t>
        </is>
      </c>
      <c r="I1578" t="n">
        <v>3.3</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5954-2025</t>
        </is>
      </c>
      <c r="B1579" t="inlineStr">
        <is>
          <t>avverkningsanmälan</t>
        </is>
      </c>
      <c r="C1579" t="inlineStr">
        <is>
          <t>Föryngringsavverkning</t>
        </is>
      </c>
      <c r="D1579" s="1" t="n">
        <v>45695</v>
      </c>
      <c r="E1579" s="1" t="n">
        <v>46312</v>
      </c>
      <c r="F1579" t="inlineStr">
        <is>
          <t>SKÅNE LÄN</t>
        </is>
      </c>
      <c r="G1579" t="inlineStr">
        <is>
          <t>ÖRKELLJUNGA</t>
        </is>
      </c>
      <c r="I1579" t="n">
        <v>0</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45981-2023</t>
        </is>
      </c>
      <c r="B1580" t="inlineStr">
        <is>
          <t>avverkningsanmälan</t>
        </is>
      </c>
      <c r="C1580" t="inlineStr">
        <is>
          <t>Föryngringsavverkning</t>
        </is>
      </c>
      <c r="D1580" s="1" t="n">
        <v>45189</v>
      </c>
      <c r="E1580" s="1" t="n">
        <v>46312</v>
      </c>
      <c r="F1580" t="inlineStr">
        <is>
          <t>SKÅNE LÄN</t>
        </is>
      </c>
      <c r="G1580" t="inlineStr">
        <is>
          <t>SJÖBO</t>
        </is>
      </c>
      <c r="H1580" t="inlineStr">
        <is>
          <t>Sveaskog</t>
        </is>
      </c>
      <c r="I1580" t="n">
        <v>1.4</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26536-2022</t>
        </is>
      </c>
      <c r="B1581" t="inlineStr">
        <is>
          <t>avverkningsanmälan</t>
        </is>
      </c>
      <c r="C1581" t="inlineStr">
        <is>
          <t>Föryngringsavverkning</t>
        </is>
      </c>
      <c r="D1581" s="1" t="n">
        <v>44739</v>
      </c>
      <c r="E1581" s="1" t="n">
        <v>46312</v>
      </c>
      <c r="F1581" t="inlineStr">
        <is>
          <t>SKÅNE LÄN</t>
        </is>
      </c>
      <c r="G1581" t="inlineStr">
        <is>
          <t>HÄSSLEHOLM</t>
        </is>
      </c>
      <c r="I1581" t="n">
        <v>3.1</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27724-2024</t>
        </is>
      </c>
      <c r="B1582" t="inlineStr">
        <is>
          <t>avverkningsanmälan</t>
        </is>
      </c>
      <c r="C1582" t="inlineStr">
        <is>
          <t>Föryngringsavverkning</t>
        </is>
      </c>
      <c r="D1582" s="1" t="n">
        <v>45475</v>
      </c>
      <c r="E1582" s="1" t="n">
        <v>46312</v>
      </c>
      <c r="F1582" t="inlineStr">
        <is>
          <t>SKÅNE LÄN</t>
        </is>
      </c>
      <c r="G1582" t="inlineStr">
        <is>
          <t>ÖSTRA GÖINGE</t>
        </is>
      </c>
      <c r="I1582" t="n">
        <v>0.5</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28260-2023</t>
        </is>
      </c>
      <c r="B1583" t="inlineStr">
        <is>
          <t>avverkningsanmälan</t>
        </is>
      </c>
      <c r="C1583" t="inlineStr">
        <is>
          <t>Föryngringsavverkning</t>
        </is>
      </c>
      <c r="D1583" s="1" t="n">
        <v>45099</v>
      </c>
      <c r="E1583" s="1" t="n">
        <v>46312</v>
      </c>
      <c r="F1583" t="inlineStr">
        <is>
          <t>SKÅNE LÄN</t>
        </is>
      </c>
      <c r="G1583" t="inlineStr">
        <is>
          <t>BÅSTAD</t>
        </is>
      </c>
      <c r="I1583" t="n">
        <v>5</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44960-2023</t>
        </is>
      </c>
      <c r="B1584" t="inlineStr">
        <is>
          <t>avverkningsanmälan</t>
        </is>
      </c>
      <c r="C1584" t="inlineStr">
        <is>
          <t>Föryngringsavverkning</t>
        </is>
      </c>
      <c r="D1584" s="1" t="n">
        <v>45190</v>
      </c>
      <c r="E1584" s="1" t="n">
        <v>46312</v>
      </c>
      <c r="F1584" t="inlineStr">
        <is>
          <t>SKÅNE LÄN</t>
        </is>
      </c>
      <c r="G1584" t="inlineStr">
        <is>
          <t>HÖÖR</t>
        </is>
      </c>
      <c r="I1584" t="n">
        <v>1.4</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42061-2024</t>
        </is>
      </c>
      <c r="B1585" t="inlineStr">
        <is>
          <t>avverkningsanmälan</t>
        </is>
      </c>
      <c r="C1585" t="inlineStr">
        <is>
          <t>Föryngringsavverkning</t>
        </is>
      </c>
      <c r="D1585" s="1" t="n">
        <v>45561</v>
      </c>
      <c r="E1585" s="1" t="n">
        <v>46312</v>
      </c>
      <c r="F1585" t="inlineStr">
        <is>
          <t>SKÅNE LÄN</t>
        </is>
      </c>
      <c r="G1585" t="inlineStr">
        <is>
          <t>KRISTIANSTAD</t>
        </is>
      </c>
      <c r="I1585" t="n">
        <v>1.3</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4080-2024</t>
        </is>
      </c>
      <c r="B1586" t="inlineStr">
        <is>
          <t>avverkningsanmälan</t>
        </is>
      </c>
      <c r="C1586" t="inlineStr">
        <is>
          <t>Föryngringsavverkning</t>
        </is>
      </c>
      <c r="D1586" s="1" t="n">
        <v>45323</v>
      </c>
      <c r="E1586" s="1" t="n">
        <v>46312</v>
      </c>
      <c r="F1586" t="inlineStr">
        <is>
          <t>SKÅNE LÄN</t>
        </is>
      </c>
      <c r="G1586" t="inlineStr">
        <is>
          <t>KRISTIANSTAD</t>
        </is>
      </c>
      <c r="I1586" t="n">
        <v>1.6</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4119-2024</t>
        </is>
      </c>
      <c r="B1587" t="inlineStr">
        <is>
          <t>avverkningsanmälan</t>
        </is>
      </c>
      <c r="C1587" t="inlineStr">
        <is>
          <t>Föryngringsavverkning</t>
        </is>
      </c>
      <c r="D1587" s="1" t="n">
        <v>45323</v>
      </c>
      <c r="E1587" s="1" t="n">
        <v>46312</v>
      </c>
      <c r="F1587" t="inlineStr">
        <is>
          <t>SKÅNE LÄN</t>
        </is>
      </c>
      <c r="G1587" t="inlineStr">
        <is>
          <t>HÄSSLEHOLM</t>
        </is>
      </c>
      <c r="I1587" t="n">
        <v>0.8</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4120-2024</t>
        </is>
      </c>
      <c r="B1588" t="inlineStr">
        <is>
          <t>avverkningsanmälan</t>
        </is>
      </c>
      <c r="C1588" t="inlineStr">
        <is>
          <t>Föryngringsavverkning</t>
        </is>
      </c>
      <c r="D1588" s="1" t="n">
        <v>45323</v>
      </c>
      <c r="E1588" s="1" t="n">
        <v>46312</v>
      </c>
      <c r="F1588" t="inlineStr">
        <is>
          <t>SKÅNE LÄN</t>
        </is>
      </c>
      <c r="G1588" t="inlineStr">
        <is>
          <t>HÖÖR</t>
        </is>
      </c>
      <c r="I1588" t="n">
        <v>5.1</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35677-2024</t>
        </is>
      </c>
      <c r="B1589" t="inlineStr">
        <is>
          <t>avverkningsanmälan</t>
        </is>
      </c>
      <c r="C1589" t="inlineStr">
        <is>
          <t>Föryngringsavverkning</t>
        </is>
      </c>
      <c r="D1589" s="1" t="n">
        <v>45532</v>
      </c>
      <c r="E1589" s="1" t="n">
        <v>46312</v>
      </c>
      <c r="F1589" t="inlineStr">
        <is>
          <t>SKÅNE LÄN</t>
        </is>
      </c>
      <c r="G1589" t="inlineStr">
        <is>
          <t>KRISTIANSTAD</t>
        </is>
      </c>
      <c r="I1589" t="n">
        <v>1.7</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35688-2024</t>
        </is>
      </c>
      <c r="B1590" t="inlineStr">
        <is>
          <t>avverkningsanmälan</t>
        </is>
      </c>
      <c r="C1590" t="inlineStr">
        <is>
          <t>Föryngringsavverkning</t>
        </is>
      </c>
      <c r="D1590" s="1" t="n">
        <v>45532</v>
      </c>
      <c r="E1590" s="1" t="n">
        <v>46312</v>
      </c>
      <c r="F1590" t="inlineStr">
        <is>
          <t>SKÅNE LÄN</t>
        </is>
      </c>
      <c r="G1590" t="inlineStr">
        <is>
          <t>KRISTIANSTAD</t>
        </is>
      </c>
      <c r="I1590" t="n">
        <v>0.5</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22277-2024</t>
        </is>
      </c>
      <c r="B1591" t="inlineStr">
        <is>
          <t>avverkningsanmälan</t>
        </is>
      </c>
      <c r="C1591" t="inlineStr">
        <is>
          <t>Föryngringsavverkning</t>
        </is>
      </c>
      <c r="D1591" s="1" t="n">
        <v>45446</v>
      </c>
      <c r="E1591" s="1" t="n">
        <v>46312</v>
      </c>
      <c r="F1591" t="inlineStr">
        <is>
          <t>SKÅNE LÄN</t>
        </is>
      </c>
      <c r="G1591" t="inlineStr">
        <is>
          <t>KRISTIANSTAD</t>
        </is>
      </c>
      <c r="I1591" t="n">
        <v>0.7</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6347-2024</t>
        </is>
      </c>
      <c r="B1592" t="inlineStr">
        <is>
          <t>avverkningsanmälan</t>
        </is>
      </c>
      <c r="C1592" t="inlineStr">
        <is>
          <t>Föryngringsavverkning</t>
        </is>
      </c>
      <c r="D1592" s="1" t="n">
        <v>45338</v>
      </c>
      <c r="E1592" s="1" t="n">
        <v>46312</v>
      </c>
      <c r="F1592" t="inlineStr">
        <is>
          <t>SKÅNE LÄN</t>
        </is>
      </c>
      <c r="G1592" t="inlineStr">
        <is>
          <t>KRISTIANSTAD</t>
        </is>
      </c>
      <c r="I1592" t="n">
        <v>0.9</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6357-2024</t>
        </is>
      </c>
      <c r="B1593" t="inlineStr">
        <is>
          <t>avverkningsanmälan</t>
        </is>
      </c>
      <c r="C1593" t="inlineStr">
        <is>
          <t>Föryngringsavverkning</t>
        </is>
      </c>
      <c r="D1593" s="1" t="n">
        <v>45338</v>
      </c>
      <c r="E1593" s="1" t="n">
        <v>46312</v>
      </c>
      <c r="F1593" t="inlineStr">
        <is>
          <t>SKÅNE LÄN</t>
        </is>
      </c>
      <c r="G1593" t="inlineStr">
        <is>
          <t>TOMELILLA</t>
        </is>
      </c>
      <c r="H1593" t="inlineStr">
        <is>
          <t>Kyrkan</t>
        </is>
      </c>
      <c r="I1593" t="n">
        <v>0.6</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25057-2024</t>
        </is>
      </c>
      <c r="B1594" t="inlineStr">
        <is>
          <t>avverkningsanmälan</t>
        </is>
      </c>
      <c r="C1594" t="inlineStr">
        <is>
          <t>Föryngringsavverkning</t>
        </is>
      </c>
      <c r="D1594" s="1" t="n">
        <v>45462</v>
      </c>
      <c r="E1594" s="1" t="n">
        <v>46312</v>
      </c>
      <c r="F1594" t="inlineStr">
        <is>
          <t>SKÅNE LÄN</t>
        </is>
      </c>
      <c r="G1594" t="inlineStr">
        <is>
          <t>HÄSSLEHOLM</t>
        </is>
      </c>
      <c r="I1594" t="n">
        <v>4.3</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45496-2024</t>
        </is>
      </c>
      <c r="B1595" t="inlineStr">
        <is>
          <t>avverkningsanmälan</t>
        </is>
      </c>
      <c r="C1595" t="inlineStr">
        <is>
          <t>Föryngringsavverkning</t>
        </is>
      </c>
      <c r="D1595" s="1" t="n">
        <v>45577</v>
      </c>
      <c r="E1595" s="1" t="n">
        <v>46312</v>
      </c>
      <c r="F1595" t="inlineStr">
        <is>
          <t>SKÅNE LÄN</t>
        </is>
      </c>
      <c r="G1595" t="inlineStr">
        <is>
          <t>KRISTIANSTAD</t>
        </is>
      </c>
      <c r="I1595" t="n">
        <v>3.2</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6835-2023</t>
        </is>
      </c>
      <c r="B1596" t="inlineStr">
        <is>
          <t>avverkningsanmälan</t>
        </is>
      </c>
      <c r="C1596" t="inlineStr">
        <is>
          <t>Föryngringsavverkning</t>
        </is>
      </c>
      <c r="D1596" s="1" t="n">
        <v>44967</v>
      </c>
      <c r="E1596" s="1" t="n">
        <v>46312</v>
      </c>
      <c r="F1596" t="inlineStr">
        <is>
          <t>SKÅNE LÄN</t>
        </is>
      </c>
      <c r="G1596" t="inlineStr">
        <is>
          <t>HÄSSLEHOLM</t>
        </is>
      </c>
      <c r="I1596" t="n">
        <v>4.8</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37056-2024</t>
        </is>
      </c>
      <c r="B1597" t="inlineStr">
        <is>
          <t>avverkningsanmälan</t>
        </is>
      </c>
      <c r="C1597" t="inlineStr">
        <is>
          <t>Föryngringsavverkning</t>
        </is>
      </c>
      <c r="D1597" s="1" t="n">
        <v>45539</v>
      </c>
      <c r="E1597" s="1" t="n">
        <v>46312</v>
      </c>
      <c r="F1597" t="inlineStr">
        <is>
          <t>SKÅNE LÄN</t>
        </is>
      </c>
      <c r="G1597" t="inlineStr">
        <is>
          <t>ÖSTRA GÖINGE</t>
        </is>
      </c>
      <c r="I1597" t="n">
        <v>2.3</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60791-2023</t>
        </is>
      </c>
      <c r="B1598" t="inlineStr">
        <is>
          <t>avverkningsanmälan</t>
        </is>
      </c>
      <c r="C1598" t="inlineStr">
        <is>
          <t>Föryngringsavverkning</t>
        </is>
      </c>
      <c r="D1598" s="1" t="n">
        <v>45260</v>
      </c>
      <c r="E1598" s="1" t="n">
        <v>46312</v>
      </c>
      <c r="F1598" t="inlineStr">
        <is>
          <t>SKÅNE LÄN</t>
        </is>
      </c>
      <c r="G1598" t="inlineStr">
        <is>
          <t>KLIPPAN</t>
        </is>
      </c>
      <c r="I1598" t="n">
        <v>0.7</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39603-2023</t>
        </is>
      </c>
      <c r="B1599" t="inlineStr">
        <is>
          <t>avverkningsanmälan</t>
        </is>
      </c>
      <c r="C1599" t="inlineStr">
        <is>
          <t>Föryngringsavverkning</t>
        </is>
      </c>
      <c r="D1599" s="1" t="n">
        <v>45167</v>
      </c>
      <c r="E1599" s="1" t="n">
        <v>46312</v>
      </c>
      <c r="F1599" t="inlineStr">
        <is>
          <t>SKÅNE LÄN</t>
        </is>
      </c>
      <c r="G1599" t="inlineStr">
        <is>
          <t>HÖÖR</t>
        </is>
      </c>
      <c r="I1599" t="n">
        <v>2.6</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47757-2024</t>
        </is>
      </c>
      <c r="B1600" t="inlineStr">
        <is>
          <t>avverkningsanmälan</t>
        </is>
      </c>
      <c r="C1600" t="inlineStr">
        <is>
          <t>Föryngringsavverkning</t>
        </is>
      </c>
      <c r="D1600" s="1" t="n">
        <v>45588</v>
      </c>
      <c r="E1600" s="1" t="n">
        <v>46312</v>
      </c>
      <c r="F1600" t="inlineStr">
        <is>
          <t>SKÅNE LÄN</t>
        </is>
      </c>
      <c r="G1600" t="inlineStr">
        <is>
          <t>HÄSSLEHOLM</t>
        </is>
      </c>
      <c r="I1600" t="n">
        <v>5.5</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43932-2023</t>
        </is>
      </c>
      <c r="B1601" t="inlineStr">
        <is>
          <t>avverkningsanmälan</t>
        </is>
      </c>
      <c r="C1601" t="inlineStr">
        <is>
          <t>Föryngringsavverkning</t>
        </is>
      </c>
      <c r="D1601" s="1" t="n">
        <v>45187</v>
      </c>
      <c r="E1601" s="1" t="n">
        <v>46312</v>
      </c>
      <c r="F1601" t="inlineStr">
        <is>
          <t>SKÅNE LÄN</t>
        </is>
      </c>
      <c r="G1601" t="inlineStr">
        <is>
          <t>HÖRBY</t>
        </is>
      </c>
      <c r="I1601" t="n">
        <v>3</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43935-2023</t>
        </is>
      </c>
      <c r="B1602" t="inlineStr">
        <is>
          <t>avverkningsanmälan</t>
        </is>
      </c>
      <c r="C1602" t="inlineStr">
        <is>
          <t>Föryngringsavverkning</t>
        </is>
      </c>
      <c r="D1602" s="1" t="n">
        <v>45187</v>
      </c>
      <c r="E1602" s="1" t="n">
        <v>46312</v>
      </c>
      <c r="F1602" t="inlineStr">
        <is>
          <t>SKÅNE LÄN</t>
        </is>
      </c>
      <c r="G1602" t="inlineStr">
        <is>
          <t>HÖRBY</t>
        </is>
      </c>
      <c r="I1602" t="n">
        <v>2.9</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16665-2022</t>
        </is>
      </c>
      <c r="B1603" t="inlineStr">
        <is>
          <t>avverkningsanmälan</t>
        </is>
      </c>
      <c r="C1603" t="inlineStr">
        <is>
          <t>Föryngringsavverkning</t>
        </is>
      </c>
      <c r="D1603" s="1" t="n">
        <v>44672</v>
      </c>
      <c r="E1603" s="1" t="n">
        <v>46312</v>
      </c>
      <c r="F1603" t="inlineStr">
        <is>
          <t>SKÅNE LÄN</t>
        </is>
      </c>
      <c r="G1603" t="inlineStr">
        <is>
          <t>HÖÖR</t>
        </is>
      </c>
      <c r="I1603" t="n">
        <v>3.6</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54711-2023</t>
        </is>
      </c>
      <c r="B1604" t="inlineStr">
        <is>
          <t>avverkningsanmälan</t>
        </is>
      </c>
      <c r="C1604" t="inlineStr">
        <is>
          <t>Föryngringsavverkning</t>
        </is>
      </c>
      <c r="D1604" s="1" t="n">
        <v>45236</v>
      </c>
      <c r="E1604" s="1" t="n">
        <v>46312</v>
      </c>
      <c r="F1604" t="inlineStr">
        <is>
          <t>SKÅNE LÄN</t>
        </is>
      </c>
      <c r="G1604" t="inlineStr">
        <is>
          <t>SJÖBO</t>
        </is>
      </c>
      <c r="H1604" t="inlineStr">
        <is>
          <t>Kommuner</t>
        </is>
      </c>
      <c r="I1604" t="n">
        <v>5.8</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1228-2022</t>
        </is>
      </c>
      <c r="B1605" t="inlineStr">
        <is>
          <t>avverkningsanmälan</t>
        </is>
      </c>
      <c r="C1605" t="inlineStr">
        <is>
          <t>Föryngringsavverkning</t>
        </is>
      </c>
      <c r="D1605" s="1" t="n">
        <v>44572</v>
      </c>
      <c r="E1605" s="1" t="n">
        <v>46312</v>
      </c>
      <c r="F1605" t="inlineStr">
        <is>
          <t>SKÅNE LÄN</t>
        </is>
      </c>
      <c r="G1605" t="inlineStr">
        <is>
          <t>KRISTIANSTAD</t>
        </is>
      </c>
      <c r="I1605" t="n">
        <v>1.7</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2747-2023</t>
        </is>
      </c>
      <c r="B1606" t="inlineStr">
        <is>
          <t>avverkningsanmälan</t>
        </is>
      </c>
      <c r="C1606" t="inlineStr">
        <is>
          <t>Föryngringsavverkning</t>
        </is>
      </c>
      <c r="D1606" s="1" t="n">
        <v>44944</v>
      </c>
      <c r="E1606" s="1" t="n">
        <v>46312</v>
      </c>
      <c r="F1606" t="inlineStr">
        <is>
          <t>SKÅNE LÄN</t>
        </is>
      </c>
      <c r="G1606" t="inlineStr">
        <is>
          <t>HÖRBY</t>
        </is>
      </c>
      <c r="H1606" t="inlineStr">
        <is>
          <t>Sveaskog</t>
        </is>
      </c>
      <c r="I1606" t="n">
        <v>4.6</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2834-2023</t>
        </is>
      </c>
      <c r="B1607" t="inlineStr">
        <is>
          <t>avverkningsanmälan</t>
        </is>
      </c>
      <c r="C1607" t="inlineStr">
        <is>
          <t>Föryngringsavverkning</t>
        </is>
      </c>
      <c r="D1607" s="1" t="n">
        <v>44945</v>
      </c>
      <c r="E1607" s="1" t="n">
        <v>46312</v>
      </c>
      <c r="F1607" t="inlineStr">
        <is>
          <t>SKÅNE LÄN</t>
        </is>
      </c>
      <c r="G1607" t="inlineStr">
        <is>
          <t>KRISTIANSTAD</t>
        </is>
      </c>
      <c r="I1607" t="n">
        <v>2.9</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65640-2021</t>
        </is>
      </c>
      <c r="B1608" t="inlineStr">
        <is>
          <t>avverkningsanmälan</t>
        </is>
      </c>
      <c r="C1608" t="inlineStr">
        <is>
          <t>Avverkning för annat ändamål</t>
        </is>
      </c>
      <c r="D1608" s="1" t="n">
        <v>44516</v>
      </c>
      <c r="E1608" s="1" t="n">
        <v>46312</v>
      </c>
      <c r="F1608" t="inlineStr">
        <is>
          <t>SKÅNE LÄN</t>
        </is>
      </c>
      <c r="G1608" t="inlineStr">
        <is>
          <t>TRELLEBORG</t>
        </is>
      </c>
      <c r="I1608" t="n">
        <v>1</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23681-2023</t>
        </is>
      </c>
      <c r="B1609" t="inlineStr">
        <is>
          <t>avverkningsanmälan</t>
        </is>
      </c>
      <c r="C1609" t="inlineStr">
        <is>
          <t>Föryngringsavverkning</t>
        </is>
      </c>
      <c r="D1609" s="1" t="n">
        <v>45077</v>
      </c>
      <c r="E1609" s="1" t="n">
        <v>46312</v>
      </c>
      <c r="F1609" t="inlineStr">
        <is>
          <t>SKÅNE LÄN</t>
        </is>
      </c>
      <c r="G1609" t="inlineStr">
        <is>
          <t>KLIPPAN</t>
        </is>
      </c>
      <c r="I1609" t="n">
        <v>0.9</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23692-2023</t>
        </is>
      </c>
      <c r="B1610" t="inlineStr">
        <is>
          <t>avverkningsanmälan</t>
        </is>
      </c>
      <c r="C1610" t="inlineStr">
        <is>
          <t>Föryngringsavverkning</t>
        </is>
      </c>
      <c r="D1610" s="1" t="n">
        <v>45077</v>
      </c>
      <c r="E1610" s="1" t="n">
        <v>46312</v>
      </c>
      <c r="F1610" t="inlineStr">
        <is>
          <t>SKÅNE LÄN</t>
        </is>
      </c>
      <c r="G1610" t="inlineStr">
        <is>
          <t>ÖRKELLJUNGA</t>
        </is>
      </c>
      <c r="I1610" t="n">
        <v>1</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12570-2023</t>
        </is>
      </c>
      <c r="B1611" t="inlineStr">
        <is>
          <t>avverkningsanmälan</t>
        </is>
      </c>
      <c r="C1611" t="inlineStr">
        <is>
          <t>Föryngringsavverkning</t>
        </is>
      </c>
      <c r="D1611" s="1" t="n">
        <v>44999</v>
      </c>
      <c r="E1611" s="1" t="n">
        <v>46312</v>
      </c>
      <c r="F1611" t="inlineStr">
        <is>
          <t>SKÅNE LÄN</t>
        </is>
      </c>
      <c r="G1611" t="inlineStr">
        <is>
          <t>HÄSSLEHOLM</t>
        </is>
      </c>
      <c r="I1611" t="n">
        <v>3.4</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63783-2023</t>
        </is>
      </c>
      <c r="B1612" t="inlineStr">
        <is>
          <t>avverkningsanmälan</t>
        </is>
      </c>
      <c r="C1612" t="inlineStr">
        <is>
          <t>Föryngringsavverkning</t>
        </is>
      </c>
      <c r="D1612" s="1" t="n">
        <v>45278</v>
      </c>
      <c r="E1612" s="1" t="n">
        <v>46312</v>
      </c>
      <c r="F1612" t="inlineStr">
        <is>
          <t>SKÅNE LÄN</t>
        </is>
      </c>
      <c r="G1612" t="inlineStr">
        <is>
          <t>ÖRKELLJUNGA</t>
        </is>
      </c>
      <c r="I1612" t="n">
        <v>0.8</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2026-2022</t>
        </is>
      </c>
      <c r="B1613" t="inlineStr">
        <is>
          <t>avverkningsanmälan</t>
        </is>
      </c>
      <c r="C1613" t="inlineStr">
        <is>
          <t>Föryngringsavverkning</t>
        </is>
      </c>
      <c r="D1613" s="1" t="n">
        <v>44575</v>
      </c>
      <c r="E1613" s="1" t="n">
        <v>46312</v>
      </c>
      <c r="F1613" t="inlineStr">
        <is>
          <t>SKÅNE LÄN</t>
        </is>
      </c>
      <c r="G1613" t="inlineStr">
        <is>
          <t>SJÖBO</t>
        </is>
      </c>
      <c r="I1613" t="n">
        <v>1.7</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4324-2024</t>
        </is>
      </c>
      <c r="B1614" t="inlineStr">
        <is>
          <t>avverkningsanmälan</t>
        </is>
      </c>
      <c r="C1614" t="inlineStr">
        <is>
          <t>Föryngringsavverkning</t>
        </is>
      </c>
      <c r="D1614" s="1" t="n">
        <v>45324</v>
      </c>
      <c r="E1614" s="1" t="n">
        <v>46312</v>
      </c>
      <c r="F1614" t="inlineStr">
        <is>
          <t>SKÅNE LÄN</t>
        </is>
      </c>
      <c r="G1614" t="inlineStr">
        <is>
          <t>KLIPPAN</t>
        </is>
      </c>
      <c r="I1614" t="n">
        <v>0.6</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25219-2023</t>
        </is>
      </c>
      <c r="B1615" t="inlineStr">
        <is>
          <t>avverkningsanmälan</t>
        </is>
      </c>
      <c r="C1615" t="inlineStr">
        <is>
          <t>Föryngringsavverkning</t>
        </is>
      </c>
      <c r="D1615" s="1" t="n">
        <v>45086</v>
      </c>
      <c r="E1615" s="1" t="n">
        <v>46312</v>
      </c>
      <c r="F1615" t="inlineStr">
        <is>
          <t>SKÅNE LÄN</t>
        </is>
      </c>
      <c r="G1615" t="inlineStr">
        <is>
          <t>HÄSSLEHOLM</t>
        </is>
      </c>
      <c r="I1615" t="n">
        <v>6.9</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24986-2023</t>
        </is>
      </c>
      <c r="B1616" t="inlineStr">
        <is>
          <t>avverkningsanmälan</t>
        </is>
      </c>
      <c r="C1616" t="inlineStr">
        <is>
          <t>Föryngringsavverkning</t>
        </is>
      </c>
      <c r="D1616" s="1" t="n">
        <v>45085</v>
      </c>
      <c r="E1616" s="1" t="n">
        <v>46312</v>
      </c>
      <c r="F1616" t="inlineStr">
        <is>
          <t>SKÅNE LÄN</t>
        </is>
      </c>
      <c r="G1616" t="inlineStr">
        <is>
          <t>ÖSTRA GÖINGE</t>
        </is>
      </c>
      <c r="I1616" t="n">
        <v>4.7</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53070-2023</t>
        </is>
      </c>
      <c r="B1617" t="inlineStr">
        <is>
          <t>avverkningsanmälan</t>
        </is>
      </c>
      <c r="C1617" t="inlineStr">
        <is>
          <t>Föryngringsavverkning</t>
        </is>
      </c>
      <c r="D1617" s="1" t="n">
        <v>45227</v>
      </c>
      <c r="E1617" s="1" t="n">
        <v>46312</v>
      </c>
      <c r="F1617" t="inlineStr">
        <is>
          <t>SKÅNE LÄN</t>
        </is>
      </c>
      <c r="G1617" t="inlineStr">
        <is>
          <t>ÖSTRA GÖINGE</t>
        </is>
      </c>
      <c r="I1617" t="n">
        <v>1</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28442-2024</t>
        </is>
      </c>
      <c r="B1618" t="inlineStr">
        <is>
          <t>avverkningsanmälan</t>
        </is>
      </c>
      <c r="C1618" t="inlineStr">
        <is>
          <t>Föryngringsavverkning</t>
        </is>
      </c>
      <c r="D1618" s="1" t="n">
        <v>45477</v>
      </c>
      <c r="E1618" s="1" t="n">
        <v>46312</v>
      </c>
      <c r="F1618" t="inlineStr">
        <is>
          <t>SKÅNE LÄN</t>
        </is>
      </c>
      <c r="G1618" t="inlineStr">
        <is>
          <t>KRISTIANSTAD</t>
        </is>
      </c>
      <c r="I1618" t="n">
        <v>1.5</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59355-2024</t>
        </is>
      </c>
      <c r="B1619" t="inlineStr">
        <is>
          <t>avverkningsanmälan</t>
        </is>
      </c>
      <c r="C1619" t="inlineStr">
        <is>
          <t>Föryngringsavverkning</t>
        </is>
      </c>
      <c r="D1619" s="1" t="n">
        <v>45638</v>
      </c>
      <c r="E1619" s="1" t="n">
        <v>46312</v>
      </c>
      <c r="F1619" t="inlineStr">
        <is>
          <t>SKÅNE LÄN</t>
        </is>
      </c>
      <c r="G1619" t="inlineStr">
        <is>
          <t>ÖSTRA GÖINGE</t>
        </is>
      </c>
      <c r="I1619" t="n">
        <v>1.5</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39935-2023</t>
        </is>
      </c>
      <c r="B1620" t="inlineStr">
        <is>
          <t>avverkningsanmälan</t>
        </is>
      </c>
      <c r="C1620" t="inlineStr">
        <is>
          <t>Föryngringsavverkning</t>
        </is>
      </c>
      <c r="D1620" s="1" t="n">
        <v>45168</v>
      </c>
      <c r="E1620" s="1" t="n">
        <v>46312</v>
      </c>
      <c r="F1620" t="inlineStr">
        <is>
          <t>SKÅNE LÄN</t>
        </is>
      </c>
      <c r="G1620" t="inlineStr">
        <is>
          <t>KRISTIANSTAD</t>
        </is>
      </c>
      <c r="H1620" t="inlineStr">
        <is>
          <t>Sveaskog</t>
        </is>
      </c>
      <c r="I1620" t="n">
        <v>1.8</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37501-2024</t>
        </is>
      </c>
      <c r="B1621" t="inlineStr">
        <is>
          <t>avverkningsanmälan</t>
        </is>
      </c>
      <c r="C1621" t="inlineStr">
        <is>
          <t>Föryngringsavverkning</t>
        </is>
      </c>
      <c r="D1621" s="1" t="n">
        <v>45541</v>
      </c>
      <c r="E1621" s="1" t="n">
        <v>46312</v>
      </c>
      <c r="F1621" t="inlineStr">
        <is>
          <t>SKÅNE LÄN</t>
        </is>
      </c>
      <c r="G1621" t="inlineStr">
        <is>
          <t>ÖRKELLJUNGA</t>
        </is>
      </c>
      <c r="I1621" t="n">
        <v>0.5</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17856-2024</t>
        </is>
      </c>
      <c r="B1622" t="inlineStr">
        <is>
          <t>avverkningsanmälan</t>
        </is>
      </c>
      <c r="C1622" t="inlineStr">
        <is>
          <t>Föryngringsavverkning</t>
        </is>
      </c>
      <c r="D1622" s="1" t="n">
        <v>45419</v>
      </c>
      <c r="E1622" s="1" t="n">
        <v>46312</v>
      </c>
      <c r="F1622" t="inlineStr">
        <is>
          <t>SKÅNE LÄN</t>
        </is>
      </c>
      <c r="G1622" t="inlineStr">
        <is>
          <t>KLIPPAN</t>
        </is>
      </c>
      <c r="H1622" t="inlineStr">
        <is>
          <t>Övriga Aktiebolag</t>
        </is>
      </c>
      <c r="I1622" t="n">
        <v>3.5</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52409-2024</t>
        </is>
      </c>
      <c r="B1623" t="inlineStr">
        <is>
          <t>avverkningsanmälan</t>
        </is>
      </c>
      <c r="C1623" t="inlineStr">
        <is>
          <t>Föryngringsavverkning</t>
        </is>
      </c>
      <c r="D1623" s="1" t="n">
        <v>45609</v>
      </c>
      <c r="E1623" s="1" t="n">
        <v>46312</v>
      </c>
      <c r="F1623" t="inlineStr">
        <is>
          <t>SKÅNE LÄN</t>
        </is>
      </c>
      <c r="G1623" t="inlineStr">
        <is>
          <t>OSBY</t>
        </is>
      </c>
      <c r="I1623" t="n">
        <v>2.2</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44880-2022</t>
        </is>
      </c>
      <c r="B1624" t="inlineStr">
        <is>
          <t>avverkningsanmälan</t>
        </is>
      </c>
      <c r="C1624" t="inlineStr">
        <is>
          <t>Föryngringsavverkning</t>
        </is>
      </c>
      <c r="D1624" s="1" t="n">
        <v>44841</v>
      </c>
      <c r="E1624" s="1" t="n">
        <v>46312</v>
      </c>
      <c r="F1624" t="inlineStr">
        <is>
          <t>SKÅNE LÄN</t>
        </is>
      </c>
      <c r="G1624" t="inlineStr">
        <is>
          <t>ÖRKELLJUNGA</t>
        </is>
      </c>
      <c r="I1624" t="n">
        <v>0.3</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44891-2022</t>
        </is>
      </c>
      <c r="B1625" t="inlineStr">
        <is>
          <t>avverkningsanmälan</t>
        </is>
      </c>
      <c r="C1625" t="inlineStr">
        <is>
          <t>Föryngringsavverkning</t>
        </is>
      </c>
      <c r="D1625" s="1" t="n">
        <v>44841</v>
      </c>
      <c r="E1625" s="1" t="n">
        <v>46312</v>
      </c>
      <c r="F1625" t="inlineStr">
        <is>
          <t>SKÅNE LÄN</t>
        </is>
      </c>
      <c r="G1625" t="inlineStr">
        <is>
          <t>KLIPPAN</t>
        </is>
      </c>
      <c r="I1625" t="n">
        <v>1.1</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171-2025</t>
        </is>
      </c>
      <c r="B1626" t="inlineStr">
        <is>
          <t>avverkningsanmälan</t>
        </is>
      </c>
      <c r="C1626" t="inlineStr">
        <is>
          <t>Föryngringsavverkning</t>
        </is>
      </c>
      <c r="D1626" s="1" t="n">
        <v>45659</v>
      </c>
      <c r="E1626" s="1" t="n">
        <v>46312</v>
      </c>
      <c r="F1626" t="inlineStr">
        <is>
          <t>SKÅNE LÄN</t>
        </is>
      </c>
      <c r="G1626" t="inlineStr">
        <is>
          <t>ÖRKELLJUNGA</t>
        </is>
      </c>
      <c r="I1626" t="n">
        <v>2.1</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28490-2023</t>
        </is>
      </c>
      <c r="B1627" t="inlineStr">
        <is>
          <t>avverkningsanmälan</t>
        </is>
      </c>
      <c r="C1627" t="inlineStr">
        <is>
          <t>Föryngringsavverkning</t>
        </is>
      </c>
      <c r="D1627" s="1" t="n">
        <v>45103</v>
      </c>
      <c r="E1627" s="1" t="n">
        <v>46312</v>
      </c>
      <c r="F1627" t="inlineStr">
        <is>
          <t>SKÅNE LÄN</t>
        </is>
      </c>
      <c r="G1627" t="inlineStr">
        <is>
          <t>KLIPPAN</t>
        </is>
      </c>
      <c r="I1627" t="n">
        <v>0.5</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21222-2023</t>
        </is>
      </c>
      <c r="B1628" t="inlineStr">
        <is>
          <t>avverkningsanmälan</t>
        </is>
      </c>
      <c r="C1628" t="inlineStr">
        <is>
          <t>Föryngringsavverkning</t>
        </is>
      </c>
      <c r="D1628" s="1" t="n">
        <v>45062</v>
      </c>
      <c r="E1628" s="1" t="n">
        <v>46312</v>
      </c>
      <c r="F1628" t="inlineStr">
        <is>
          <t>SKÅNE LÄN</t>
        </is>
      </c>
      <c r="G1628" t="inlineStr">
        <is>
          <t>OSBY</t>
        </is>
      </c>
      <c r="I1628" t="n">
        <v>6</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1920-2025</t>
        </is>
      </c>
      <c r="B1629" t="inlineStr">
        <is>
          <t>avverkningsanmälan</t>
        </is>
      </c>
      <c r="C1629" t="inlineStr">
        <is>
          <t>Föryngringsavverkning</t>
        </is>
      </c>
      <c r="D1629" s="1" t="n">
        <v>45671</v>
      </c>
      <c r="E1629" s="1" t="n">
        <v>46312</v>
      </c>
      <c r="F1629" t="inlineStr">
        <is>
          <t>SKÅNE LÄN</t>
        </is>
      </c>
      <c r="G1629" t="inlineStr">
        <is>
          <t>SVALÖV</t>
        </is>
      </c>
      <c r="I1629" t="n">
        <v>2.3</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3454-2022</t>
        </is>
      </c>
      <c r="B1630" t="inlineStr">
        <is>
          <t>avverkningsanmälan</t>
        </is>
      </c>
      <c r="C1630" t="inlineStr">
        <is>
          <t>Föryngringsavverkning</t>
        </is>
      </c>
      <c r="D1630" s="1" t="n">
        <v>44585</v>
      </c>
      <c r="E1630" s="1" t="n">
        <v>46312</v>
      </c>
      <c r="F1630" t="inlineStr">
        <is>
          <t>SKÅNE LÄN</t>
        </is>
      </c>
      <c r="G1630" t="inlineStr">
        <is>
          <t>OSBY</t>
        </is>
      </c>
      <c r="H1630" t="inlineStr">
        <is>
          <t>Sveaskog</t>
        </is>
      </c>
      <c r="I1630" t="n">
        <v>2.1</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30275-2023</t>
        </is>
      </c>
      <c r="B1631" t="inlineStr">
        <is>
          <t>avverkningsanmälan</t>
        </is>
      </c>
      <c r="C1631" t="inlineStr">
        <is>
          <t>Föryngringsavverkning</t>
        </is>
      </c>
      <c r="D1631" s="1" t="n">
        <v>45110</v>
      </c>
      <c r="E1631" s="1" t="n">
        <v>46312</v>
      </c>
      <c r="F1631" t="inlineStr">
        <is>
          <t>SKÅNE LÄN</t>
        </is>
      </c>
      <c r="G1631" t="inlineStr">
        <is>
          <t>OSBY</t>
        </is>
      </c>
      <c r="I1631" t="n">
        <v>0.6</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7306-2025</t>
        </is>
      </c>
      <c r="B1632" t="inlineStr">
        <is>
          <t>avverkningsanmälan</t>
        </is>
      </c>
      <c r="C1632" t="inlineStr">
        <is>
          <t>Föryngringsavverkning</t>
        </is>
      </c>
      <c r="D1632" s="1" t="n">
        <v>45702</v>
      </c>
      <c r="E1632" s="1" t="n">
        <v>46312</v>
      </c>
      <c r="F1632" t="inlineStr">
        <is>
          <t>SKÅNE LÄN</t>
        </is>
      </c>
      <c r="G1632" t="inlineStr">
        <is>
          <t>HÄSSLEHOLM</t>
        </is>
      </c>
      <c r="H1632" t="inlineStr">
        <is>
          <t>Övriga Aktiebolag</t>
        </is>
      </c>
      <c r="I1632" t="n">
        <v>3.3</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7308-2025</t>
        </is>
      </c>
      <c r="B1633" t="inlineStr">
        <is>
          <t>avverkningsanmälan</t>
        </is>
      </c>
      <c r="C1633" t="inlineStr">
        <is>
          <t>Föryngringsavverkning</t>
        </is>
      </c>
      <c r="D1633" s="1" t="n">
        <v>45702</v>
      </c>
      <c r="E1633" s="1" t="n">
        <v>46312</v>
      </c>
      <c r="F1633" t="inlineStr">
        <is>
          <t>SKÅNE LÄN</t>
        </is>
      </c>
      <c r="G1633" t="inlineStr">
        <is>
          <t>HÄSSLEHOLM</t>
        </is>
      </c>
      <c r="H1633" t="inlineStr">
        <is>
          <t>Övriga Aktiebolag</t>
        </is>
      </c>
      <c r="I1633" t="n">
        <v>4.8</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23813-2024</t>
        </is>
      </c>
      <c r="B1634" t="inlineStr">
        <is>
          <t>avverkningsanmälan</t>
        </is>
      </c>
      <c r="C1634" t="inlineStr">
        <is>
          <t>Föryngringsavverkning</t>
        </is>
      </c>
      <c r="D1634" s="1" t="n">
        <v>45455</v>
      </c>
      <c r="E1634" s="1" t="n">
        <v>46312</v>
      </c>
      <c r="F1634" t="inlineStr">
        <is>
          <t>SKÅNE LÄN</t>
        </is>
      </c>
      <c r="G1634" t="inlineStr">
        <is>
          <t>TOMELILLA</t>
        </is>
      </c>
      <c r="I1634" t="n">
        <v>2</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8139-2025</t>
        </is>
      </c>
      <c r="B1635" t="inlineStr">
        <is>
          <t>avverkningsanmälan</t>
        </is>
      </c>
      <c r="C1635" t="inlineStr">
        <is>
          <t>Föryngringsavverkning</t>
        </is>
      </c>
      <c r="D1635" s="1" t="n">
        <v>45708</v>
      </c>
      <c r="E1635" s="1" t="n">
        <v>46312</v>
      </c>
      <c r="F1635" t="inlineStr">
        <is>
          <t>SKÅNE LÄN</t>
        </is>
      </c>
      <c r="G1635" t="inlineStr">
        <is>
          <t>ÄNGELHOLM</t>
        </is>
      </c>
      <c r="I1635" t="n">
        <v>3.5</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58250-2024</t>
        </is>
      </c>
      <c r="B1636" t="inlineStr">
        <is>
          <t>avverkningsanmälan</t>
        </is>
      </c>
      <c r="C1636" t="inlineStr">
        <is>
          <t>Föryngringsavverkning</t>
        </is>
      </c>
      <c r="D1636" s="1" t="n">
        <v>45632</v>
      </c>
      <c r="E1636" s="1" t="n">
        <v>46312</v>
      </c>
      <c r="F1636" t="inlineStr">
        <is>
          <t>SKÅNE LÄN</t>
        </is>
      </c>
      <c r="G1636" t="inlineStr">
        <is>
          <t>HÄSSLEHOLM</t>
        </is>
      </c>
      <c r="I1636" t="n">
        <v>0.5</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27005-2024</t>
        </is>
      </c>
      <c r="B1637" t="inlineStr">
        <is>
          <t>avverkningsanmälan</t>
        </is>
      </c>
      <c r="C1637" t="inlineStr">
        <is>
          <t>Föryngringsavverkning</t>
        </is>
      </c>
      <c r="D1637" s="1" t="n">
        <v>45471</v>
      </c>
      <c r="E1637" s="1" t="n">
        <v>46312</v>
      </c>
      <c r="F1637" t="inlineStr">
        <is>
          <t>SKÅNE LÄN</t>
        </is>
      </c>
      <c r="G1637" t="inlineStr">
        <is>
          <t>OSBY</t>
        </is>
      </c>
      <c r="I1637" t="n">
        <v>0.5</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13437-2023</t>
        </is>
      </c>
      <c r="B1638" t="inlineStr">
        <is>
          <t>avverkningsanmälan</t>
        </is>
      </c>
      <c r="C1638" t="inlineStr">
        <is>
          <t>Föryngringsavverkning</t>
        </is>
      </c>
      <c r="D1638" s="1" t="n">
        <v>45005</v>
      </c>
      <c r="E1638" s="1" t="n">
        <v>46312</v>
      </c>
      <c r="F1638" t="inlineStr">
        <is>
          <t>SKÅNE LÄN</t>
        </is>
      </c>
      <c r="G1638" t="inlineStr">
        <is>
          <t>HÖÖR</t>
        </is>
      </c>
      <c r="I1638" t="n">
        <v>1</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41547-2022</t>
        </is>
      </c>
      <c r="B1639" t="inlineStr">
        <is>
          <t>avverkningsanmälan</t>
        </is>
      </c>
      <c r="C1639" t="inlineStr">
        <is>
          <t>Föryngringsavverkning</t>
        </is>
      </c>
      <c r="D1639" s="1" t="n">
        <v>44826</v>
      </c>
      <c r="E1639" s="1" t="n">
        <v>46312</v>
      </c>
      <c r="F1639" t="inlineStr">
        <is>
          <t>SKÅNE LÄN</t>
        </is>
      </c>
      <c r="G1639" t="inlineStr">
        <is>
          <t>OSBY</t>
        </is>
      </c>
      <c r="I1639" t="n">
        <v>0.6</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11642-2025</t>
        </is>
      </c>
      <c r="B1640" t="inlineStr">
        <is>
          <t>avverkningsanmälan</t>
        </is>
      </c>
      <c r="C1640" t="inlineStr">
        <is>
          <t>Föryngringsavverkning</t>
        </is>
      </c>
      <c r="D1640" s="1" t="n">
        <v>45727</v>
      </c>
      <c r="E1640" s="1" t="n">
        <v>46312</v>
      </c>
      <c r="F1640" t="inlineStr">
        <is>
          <t>SKÅNE LÄN</t>
        </is>
      </c>
      <c r="G1640" t="inlineStr">
        <is>
          <t>KRISTIANSTAD</t>
        </is>
      </c>
      <c r="I1640" t="n">
        <v>2.2</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54671-2022</t>
        </is>
      </c>
      <c r="B1641" t="inlineStr">
        <is>
          <t>avverkningsanmälan</t>
        </is>
      </c>
      <c r="C1641" t="inlineStr">
        <is>
          <t>Föryngringsavverkning</t>
        </is>
      </c>
      <c r="D1641" s="1" t="n">
        <v>44883</v>
      </c>
      <c r="E1641" s="1" t="n">
        <v>46312</v>
      </c>
      <c r="F1641" t="inlineStr">
        <is>
          <t>SKÅNE LÄN</t>
        </is>
      </c>
      <c r="G1641" t="inlineStr">
        <is>
          <t>HÄSSLEHOLM</t>
        </is>
      </c>
      <c r="I1641" t="n">
        <v>1.4</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6755-2022</t>
        </is>
      </c>
      <c r="B1642" t="inlineStr">
        <is>
          <t>avverkningsanmälan</t>
        </is>
      </c>
      <c r="C1642" t="inlineStr">
        <is>
          <t>Föryngringsavverkning</t>
        </is>
      </c>
      <c r="D1642" s="1" t="n">
        <v>44602</v>
      </c>
      <c r="E1642" s="1" t="n">
        <v>46312</v>
      </c>
      <c r="F1642" t="inlineStr">
        <is>
          <t>SKÅNE LÄN</t>
        </is>
      </c>
      <c r="G1642" t="inlineStr">
        <is>
          <t>OSBY</t>
        </is>
      </c>
      <c r="I1642" t="n">
        <v>0.5</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24446-2023</t>
        </is>
      </c>
      <c r="B1643" t="inlineStr">
        <is>
          <t>avverkningsanmälan</t>
        </is>
      </c>
      <c r="C1643" t="inlineStr">
        <is>
          <t>Föryngringsavverkning</t>
        </is>
      </c>
      <c r="D1643" s="1" t="n">
        <v>45082</v>
      </c>
      <c r="E1643" s="1" t="n">
        <v>46312</v>
      </c>
      <c r="F1643" t="inlineStr">
        <is>
          <t>SKÅNE LÄN</t>
        </is>
      </c>
      <c r="G1643" t="inlineStr">
        <is>
          <t>OSBY</t>
        </is>
      </c>
      <c r="I1643" t="n">
        <v>1.4</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13994-2025</t>
        </is>
      </c>
      <c r="B1644" t="inlineStr">
        <is>
          <t>avverkningsanmälan</t>
        </is>
      </c>
      <c r="C1644" t="inlineStr">
        <is>
          <t>Föryngringsavverkning</t>
        </is>
      </c>
      <c r="D1644" s="1" t="n">
        <v>45739</v>
      </c>
      <c r="E1644" s="1" t="n">
        <v>46312</v>
      </c>
      <c r="F1644" t="inlineStr">
        <is>
          <t>SKÅNE LÄN</t>
        </is>
      </c>
      <c r="G1644" t="inlineStr">
        <is>
          <t>KLIPPAN</t>
        </is>
      </c>
      <c r="I1644" t="n">
        <v>1.2</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5730-2022</t>
        </is>
      </c>
      <c r="B1645" t="inlineStr">
        <is>
          <t>avverkningsanmälan</t>
        </is>
      </c>
      <c r="C1645" t="inlineStr">
        <is>
          <t>Föryngringsavverkning</t>
        </is>
      </c>
      <c r="D1645" s="1" t="n">
        <v>44596</v>
      </c>
      <c r="E1645" s="1" t="n">
        <v>46312</v>
      </c>
      <c r="F1645" t="inlineStr">
        <is>
          <t>SKÅNE LÄN</t>
        </is>
      </c>
      <c r="G1645" t="inlineStr">
        <is>
          <t>HÖÖR</t>
        </is>
      </c>
      <c r="I1645" t="n">
        <v>2.6</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5812-2022</t>
        </is>
      </c>
      <c r="B1646" t="inlineStr">
        <is>
          <t>avverkningsanmälan</t>
        </is>
      </c>
      <c r="C1646" t="inlineStr">
        <is>
          <t>Föryngringsavverkning</t>
        </is>
      </c>
      <c r="D1646" s="1" t="n">
        <v>44596</v>
      </c>
      <c r="E1646" s="1" t="n">
        <v>46312</v>
      </c>
      <c r="F1646" t="inlineStr">
        <is>
          <t>SKÅNE LÄN</t>
        </is>
      </c>
      <c r="G1646" t="inlineStr">
        <is>
          <t>ESLÖV</t>
        </is>
      </c>
      <c r="I1646" t="n">
        <v>0.5</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48427-2022</t>
        </is>
      </c>
      <c r="B1647" t="inlineStr">
        <is>
          <t>avverkningsanmälan</t>
        </is>
      </c>
      <c r="C1647" t="inlineStr">
        <is>
          <t>Föryngringsavverkning</t>
        </is>
      </c>
      <c r="D1647" s="1" t="n">
        <v>44858</v>
      </c>
      <c r="E1647" s="1" t="n">
        <v>46312</v>
      </c>
      <c r="F1647" t="inlineStr">
        <is>
          <t>SKÅNE LÄN</t>
        </is>
      </c>
      <c r="G1647" t="inlineStr">
        <is>
          <t>HÖRBY</t>
        </is>
      </c>
      <c r="H1647" t="inlineStr">
        <is>
          <t>Sveaskog</t>
        </is>
      </c>
      <c r="I1647" t="n">
        <v>0.5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36571-2024</t>
        </is>
      </c>
      <c r="B1648" t="inlineStr">
        <is>
          <t>avverkningsanmälan</t>
        </is>
      </c>
      <c r="C1648" t="inlineStr">
        <is>
          <t>Föryngringsavverkning</t>
        </is>
      </c>
      <c r="D1648" s="1" t="n">
        <v>45537</v>
      </c>
      <c r="E1648" s="1" t="n">
        <v>46312</v>
      </c>
      <c r="F1648" t="inlineStr">
        <is>
          <t>SKÅNE LÄN</t>
        </is>
      </c>
      <c r="G1648" t="inlineStr">
        <is>
          <t>OSBY</t>
        </is>
      </c>
      <c r="I1648" t="n">
        <v>1</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63456-2023</t>
        </is>
      </c>
      <c r="B1649" t="inlineStr">
        <is>
          <t>avverkningsanmälan</t>
        </is>
      </c>
      <c r="C1649" t="inlineStr">
        <is>
          <t>Föryngringsavverkning</t>
        </is>
      </c>
      <c r="D1649" s="1" t="n">
        <v>45273</v>
      </c>
      <c r="E1649" s="1" t="n">
        <v>46312</v>
      </c>
      <c r="F1649" t="inlineStr">
        <is>
          <t>SKÅNE LÄN</t>
        </is>
      </c>
      <c r="G1649" t="inlineStr">
        <is>
          <t>SIMRISHAMN</t>
        </is>
      </c>
      <c r="I1649" t="n">
        <v>0.5</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35889-2023</t>
        </is>
      </c>
      <c r="B1650" t="inlineStr">
        <is>
          <t>avverkningsanmälan</t>
        </is>
      </c>
      <c r="C1650" t="inlineStr">
        <is>
          <t>Föryngringsavverkning</t>
        </is>
      </c>
      <c r="D1650" s="1" t="n">
        <v>45148</v>
      </c>
      <c r="E1650" s="1" t="n">
        <v>46312</v>
      </c>
      <c r="F1650" t="inlineStr">
        <is>
          <t>SKÅNE LÄN</t>
        </is>
      </c>
      <c r="G1650" t="inlineStr">
        <is>
          <t>HÄSSLEHOLM</t>
        </is>
      </c>
      <c r="I1650" t="n">
        <v>0.6</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35894-2023</t>
        </is>
      </c>
      <c r="B1651" t="inlineStr">
        <is>
          <t>avverkningsanmälan</t>
        </is>
      </c>
      <c r="C1651" t="inlineStr">
        <is>
          <t>Föryngringsavverkning</t>
        </is>
      </c>
      <c r="D1651" s="1" t="n">
        <v>45148</v>
      </c>
      <c r="E1651" s="1" t="n">
        <v>46312</v>
      </c>
      <c r="F1651" t="inlineStr">
        <is>
          <t>SKÅNE LÄN</t>
        </is>
      </c>
      <c r="G1651" t="inlineStr">
        <is>
          <t>HÄSSLEHOLM</t>
        </is>
      </c>
      <c r="I1651" t="n">
        <v>1.5</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2621-2022</t>
        </is>
      </c>
      <c r="B1652" t="inlineStr">
        <is>
          <t>avverkningsanmälan</t>
        </is>
      </c>
      <c r="C1652" t="inlineStr">
        <is>
          <t>Föryngringsavverkning</t>
        </is>
      </c>
      <c r="D1652" s="1" t="n">
        <v>44580</v>
      </c>
      <c r="E1652" s="1" t="n">
        <v>46312</v>
      </c>
      <c r="F1652" t="inlineStr">
        <is>
          <t>SKÅNE LÄN</t>
        </is>
      </c>
      <c r="G1652" t="inlineStr">
        <is>
          <t>OSBY</t>
        </is>
      </c>
      <c r="I1652" t="n">
        <v>1.8</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8332-2025</t>
        </is>
      </c>
      <c r="B1653" t="inlineStr">
        <is>
          <t>avverkningsanmälan</t>
        </is>
      </c>
      <c r="C1653" t="inlineStr">
        <is>
          <t>Föryngringsavverkning</t>
        </is>
      </c>
      <c r="D1653" s="1" t="n">
        <v>45708</v>
      </c>
      <c r="E1653" s="1" t="n">
        <v>46312</v>
      </c>
      <c r="F1653" t="inlineStr">
        <is>
          <t>SKÅNE LÄN</t>
        </is>
      </c>
      <c r="G1653" t="inlineStr">
        <is>
          <t>SVALÖV</t>
        </is>
      </c>
      <c r="I1653" t="n">
        <v>0.5</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56443-2023</t>
        </is>
      </c>
      <c r="B1654" t="inlineStr">
        <is>
          <t>avverkningsanmälan</t>
        </is>
      </c>
      <c r="C1654" t="inlineStr">
        <is>
          <t>Föryngringsavverkning</t>
        </is>
      </c>
      <c r="D1654" s="1" t="n">
        <v>45243</v>
      </c>
      <c r="E1654" s="1" t="n">
        <v>46312</v>
      </c>
      <c r="F1654" t="inlineStr">
        <is>
          <t>SKÅNE LÄN</t>
        </is>
      </c>
      <c r="G1654" t="inlineStr">
        <is>
          <t>OSBY</t>
        </is>
      </c>
      <c r="I1654" t="n">
        <v>2.2</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14515-2023</t>
        </is>
      </c>
      <c r="B1655" t="inlineStr">
        <is>
          <t>avverkningsanmälan</t>
        </is>
      </c>
      <c r="C1655" t="inlineStr">
        <is>
          <t>Föryngringsavverkning</t>
        </is>
      </c>
      <c r="D1655" s="1" t="n">
        <v>45012</v>
      </c>
      <c r="E1655" s="1" t="n">
        <v>46312</v>
      </c>
      <c r="F1655" t="inlineStr">
        <is>
          <t>SKÅNE LÄN</t>
        </is>
      </c>
      <c r="G1655" t="inlineStr">
        <is>
          <t>HÖÖR</t>
        </is>
      </c>
      <c r="I1655" t="n">
        <v>0.5</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8084-2022</t>
        </is>
      </c>
      <c r="B1656" t="inlineStr">
        <is>
          <t>avverkningsanmälan</t>
        </is>
      </c>
      <c r="C1656" t="inlineStr">
        <is>
          <t>Föryngringsavverkning</t>
        </is>
      </c>
      <c r="D1656" s="1" t="n">
        <v>44608</v>
      </c>
      <c r="E1656" s="1" t="n">
        <v>46312</v>
      </c>
      <c r="F1656" t="inlineStr">
        <is>
          <t>SKÅNE LÄN</t>
        </is>
      </c>
      <c r="G1656" t="inlineStr">
        <is>
          <t>HÖRBY</t>
        </is>
      </c>
      <c r="I1656" t="n">
        <v>1.5</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44448-2023</t>
        </is>
      </c>
      <c r="B1657" t="inlineStr">
        <is>
          <t>avverkningsanmälan</t>
        </is>
      </c>
      <c r="C1657" t="inlineStr">
        <is>
          <t>Föryngringsavverkning</t>
        </is>
      </c>
      <c r="D1657" s="1" t="n">
        <v>45189</v>
      </c>
      <c r="E1657" s="1" t="n">
        <v>46312</v>
      </c>
      <c r="F1657" t="inlineStr">
        <is>
          <t>SKÅNE LÄN</t>
        </is>
      </c>
      <c r="G1657" t="inlineStr">
        <is>
          <t>ÄNGELHOLM</t>
        </is>
      </c>
      <c r="I1657" t="n">
        <v>0.6</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45946-2022</t>
        </is>
      </c>
      <c r="B1658" t="inlineStr">
        <is>
          <t>avverkningsanmälan</t>
        </is>
      </c>
      <c r="C1658" t="inlineStr">
        <is>
          <t>Föryngringsavverkning</t>
        </is>
      </c>
      <c r="D1658" s="1" t="n">
        <v>44845</v>
      </c>
      <c r="E1658" s="1" t="n">
        <v>46312</v>
      </c>
      <c r="F1658" t="inlineStr">
        <is>
          <t>SKÅNE LÄN</t>
        </is>
      </c>
      <c r="G1658" t="inlineStr">
        <is>
          <t>SIMRISHAMN</t>
        </is>
      </c>
      <c r="I1658" t="n">
        <v>14</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40719-2022</t>
        </is>
      </c>
      <c r="B1659" t="inlineStr">
        <is>
          <t>avverkningsanmälan</t>
        </is>
      </c>
      <c r="C1659" t="inlineStr">
        <is>
          <t>Föryngringsavverkning</t>
        </is>
      </c>
      <c r="D1659" s="1" t="n">
        <v>44824</v>
      </c>
      <c r="E1659" s="1" t="n">
        <v>46312</v>
      </c>
      <c r="F1659" t="inlineStr">
        <is>
          <t>SKÅNE LÄN</t>
        </is>
      </c>
      <c r="G1659" t="inlineStr">
        <is>
          <t>BROMÖLLA</t>
        </is>
      </c>
      <c r="I1659" t="n">
        <v>1.1</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59432-2022</t>
        </is>
      </c>
      <c r="B1660" t="inlineStr">
        <is>
          <t>avverkningsanmälan</t>
        </is>
      </c>
      <c r="C1660" t="inlineStr">
        <is>
          <t>Föryngringsavverkning</t>
        </is>
      </c>
      <c r="D1660" s="1" t="n">
        <v>44907</v>
      </c>
      <c r="E1660" s="1" t="n">
        <v>46312</v>
      </c>
      <c r="F1660" t="inlineStr">
        <is>
          <t>SKÅNE LÄN</t>
        </is>
      </c>
      <c r="G1660" t="inlineStr">
        <is>
          <t>SVEDALA</t>
        </is>
      </c>
      <c r="I1660" t="n">
        <v>5.1</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25176-2024</t>
        </is>
      </c>
      <c r="B1661" t="inlineStr">
        <is>
          <t>avverkningsanmälan</t>
        </is>
      </c>
      <c r="C1661" t="inlineStr">
        <is>
          <t>Föryngringsavverkning</t>
        </is>
      </c>
      <c r="D1661" s="1" t="n">
        <v>45462</v>
      </c>
      <c r="E1661" s="1" t="n">
        <v>46312</v>
      </c>
      <c r="F1661" t="inlineStr">
        <is>
          <t>SKÅNE LÄN</t>
        </is>
      </c>
      <c r="G1661" t="inlineStr">
        <is>
          <t>HÄSSLEHOLM</t>
        </is>
      </c>
      <c r="I1661" t="n">
        <v>3.8</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22157-2024</t>
        </is>
      </c>
      <c r="B1662" t="inlineStr">
        <is>
          <t>avverkningsanmälan</t>
        </is>
      </c>
      <c r="C1662" t="inlineStr">
        <is>
          <t>Föryngringsavverkning</t>
        </is>
      </c>
      <c r="D1662" s="1" t="n">
        <v>45445</v>
      </c>
      <c r="E1662" s="1" t="n">
        <v>46312</v>
      </c>
      <c r="F1662" t="inlineStr">
        <is>
          <t>SKÅNE LÄN</t>
        </is>
      </c>
      <c r="G1662" t="inlineStr">
        <is>
          <t>HÄSSLEHOLM</t>
        </is>
      </c>
      <c r="I1662" t="n">
        <v>1</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13316-2023</t>
        </is>
      </c>
      <c r="B1663" t="inlineStr">
        <is>
          <t>avverkningsanmälan</t>
        </is>
      </c>
      <c r="C1663" t="inlineStr">
        <is>
          <t>Föryngringsavverkning</t>
        </is>
      </c>
      <c r="D1663" s="1" t="n">
        <v>45005</v>
      </c>
      <c r="E1663" s="1" t="n">
        <v>46312</v>
      </c>
      <c r="F1663" t="inlineStr">
        <is>
          <t>SKÅNE LÄN</t>
        </is>
      </c>
      <c r="G1663" t="inlineStr">
        <is>
          <t>HÄSSLEHOLM</t>
        </is>
      </c>
      <c r="I1663" t="n">
        <v>0.6</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27378-2022</t>
        </is>
      </c>
      <c r="B1664" t="inlineStr">
        <is>
          <t>avverkningsanmälan</t>
        </is>
      </c>
      <c r="C1664" t="inlineStr">
        <is>
          <t>Föryngringsavverkning</t>
        </is>
      </c>
      <c r="D1664" s="1" t="n">
        <v>44742</v>
      </c>
      <c r="E1664" s="1" t="n">
        <v>46312</v>
      </c>
      <c r="F1664" t="inlineStr">
        <is>
          <t>SKÅNE LÄN</t>
        </is>
      </c>
      <c r="G1664" t="inlineStr">
        <is>
          <t>OSBY</t>
        </is>
      </c>
      <c r="I1664" t="n">
        <v>3.7</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26757-2023</t>
        </is>
      </c>
      <c r="B1665" t="inlineStr">
        <is>
          <t>avverkningsanmälan</t>
        </is>
      </c>
      <c r="C1665" t="inlineStr">
        <is>
          <t>Föryngringsavverkning</t>
        </is>
      </c>
      <c r="D1665" s="1" t="n">
        <v>45093</v>
      </c>
      <c r="E1665" s="1" t="n">
        <v>46312</v>
      </c>
      <c r="F1665" t="inlineStr">
        <is>
          <t>SKÅNE LÄN</t>
        </is>
      </c>
      <c r="G1665" t="inlineStr">
        <is>
          <t>HÖÖR</t>
        </is>
      </c>
      <c r="I1665" t="n">
        <v>0.9</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13358-2023</t>
        </is>
      </c>
      <c r="B1666" t="inlineStr">
        <is>
          <t>avverkningsanmälan</t>
        </is>
      </c>
      <c r="C1666" t="inlineStr">
        <is>
          <t>Föryngringsavverkning</t>
        </is>
      </c>
      <c r="D1666" s="1" t="n">
        <v>45005</v>
      </c>
      <c r="E1666" s="1" t="n">
        <v>46312</v>
      </c>
      <c r="F1666" t="inlineStr">
        <is>
          <t>SKÅNE LÄN</t>
        </is>
      </c>
      <c r="G1666" t="inlineStr">
        <is>
          <t>HÄSSLEHOLM</t>
        </is>
      </c>
      <c r="H1666" t="inlineStr">
        <is>
          <t>Övriga Aktiebolag</t>
        </is>
      </c>
      <c r="I1666" t="n">
        <v>0.5</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26780-2023</t>
        </is>
      </c>
      <c r="B1667" t="inlineStr">
        <is>
          <t>avverkningsanmälan</t>
        </is>
      </c>
      <c r="C1667" t="inlineStr">
        <is>
          <t>Föryngringsavverkning</t>
        </is>
      </c>
      <c r="D1667" s="1" t="n">
        <v>45093</v>
      </c>
      <c r="E1667" s="1" t="n">
        <v>46312</v>
      </c>
      <c r="F1667" t="inlineStr">
        <is>
          <t>SKÅNE LÄN</t>
        </is>
      </c>
      <c r="G1667" t="inlineStr">
        <is>
          <t>OSBY</t>
        </is>
      </c>
      <c r="I1667" t="n">
        <v>2.9</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24947-2023</t>
        </is>
      </c>
      <c r="B1668" t="inlineStr">
        <is>
          <t>avverkningsanmälan</t>
        </is>
      </c>
      <c r="C1668" t="inlineStr">
        <is>
          <t>Avverkning för annat ändamål</t>
        </is>
      </c>
      <c r="D1668" s="1" t="n">
        <v>45085</v>
      </c>
      <c r="E1668" s="1" t="n">
        <v>46312</v>
      </c>
      <c r="F1668" t="inlineStr">
        <is>
          <t>SKÅNE LÄN</t>
        </is>
      </c>
      <c r="G1668" t="inlineStr">
        <is>
          <t>KRISTIANSTAD</t>
        </is>
      </c>
      <c r="I1668" t="n">
        <v>1.4</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19149-2024</t>
        </is>
      </c>
      <c r="B1669" t="inlineStr">
        <is>
          <t>avverkningsanmälan</t>
        </is>
      </c>
      <c r="C1669" t="inlineStr">
        <is>
          <t>Föryngringsavverkning</t>
        </is>
      </c>
      <c r="D1669" s="1" t="n">
        <v>45428</v>
      </c>
      <c r="E1669" s="1" t="n">
        <v>46312</v>
      </c>
      <c r="F1669" t="inlineStr">
        <is>
          <t>SKÅNE LÄN</t>
        </is>
      </c>
      <c r="G1669" t="inlineStr">
        <is>
          <t>ÖSTRA GÖINGE</t>
        </is>
      </c>
      <c r="I1669" t="n">
        <v>5.2</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12911-2025</t>
        </is>
      </c>
      <c r="B1670" t="inlineStr">
        <is>
          <t>avverkningsanmälan</t>
        </is>
      </c>
      <c r="C1670" t="inlineStr">
        <is>
          <t>Föryngringsavverkning</t>
        </is>
      </c>
      <c r="D1670" s="1" t="n">
        <v>45733</v>
      </c>
      <c r="E1670" s="1" t="n">
        <v>46312</v>
      </c>
      <c r="F1670" t="inlineStr">
        <is>
          <t>SKÅNE LÄN</t>
        </is>
      </c>
      <c r="G1670" t="inlineStr">
        <is>
          <t>PERSTORP</t>
        </is>
      </c>
      <c r="I1670" t="n">
        <v>3.4</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12912-2025</t>
        </is>
      </c>
      <c r="B1671" t="inlineStr">
        <is>
          <t>avverkningsanmälan</t>
        </is>
      </c>
      <c r="C1671" t="inlineStr">
        <is>
          <t>Föryngringsavverkning</t>
        </is>
      </c>
      <c r="D1671" s="1" t="n">
        <v>45733</v>
      </c>
      <c r="E1671" s="1" t="n">
        <v>46312</v>
      </c>
      <c r="F1671" t="inlineStr">
        <is>
          <t>SKÅNE LÄN</t>
        </is>
      </c>
      <c r="G1671" t="inlineStr">
        <is>
          <t>PERSTORP</t>
        </is>
      </c>
      <c r="I1671" t="n">
        <v>3.3</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50138-2024</t>
        </is>
      </c>
      <c r="B1672" t="inlineStr">
        <is>
          <t>avverkningsanmälan</t>
        </is>
      </c>
      <c r="C1672" t="inlineStr">
        <is>
          <t>Föryngringsavverkning</t>
        </is>
      </c>
      <c r="D1672" s="1" t="n">
        <v>45600</v>
      </c>
      <c r="E1672" s="1" t="n">
        <v>46312</v>
      </c>
      <c r="F1672" t="inlineStr">
        <is>
          <t>SKÅNE LÄN</t>
        </is>
      </c>
      <c r="G1672" t="inlineStr">
        <is>
          <t>SIMRISHAMN</t>
        </is>
      </c>
      <c r="I1672" t="n">
        <v>1.4</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9691-2023</t>
        </is>
      </c>
      <c r="B1673" t="inlineStr">
        <is>
          <t>avverkningsanmälan</t>
        </is>
      </c>
      <c r="C1673" t="inlineStr">
        <is>
          <t>Föryngringsavverkning</t>
        </is>
      </c>
      <c r="D1673" s="1" t="n">
        <v>44984</v>
      </c>
      <c r="E1673" s="1" t="n">
        <v>46312</v>
      </c>
      <c r="F1673" t="inlineStr">
        <is>
          <t>SKÅNE LÄN</t>
        </is>
      </c>
      <c r="G1673" t="inlineStr">
        <is>
          <t>ÖRKELLJUNGA</t>
        </is>
      </c>
      <c r="I1673" t="n">
        <v>0.7</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3245-2022</t>
        </is>
      </c>
      <c r="B1674" t="inlineStr">
        <is>
          <t>avverkningsanmälan</t>
        </is>
      </c>
      <c r="C1674" t="inlineStr">
        <is>
          <t>Föryngringsavverkning</t>
        </is>
      </c>
      <c r="D1674" s="1" t="n">
        <v>44583</v>
      </c>
      <c r="E1674" s="1" t="n">
        <v>46312</v>
      </c>
      <c r="F1674" t="inlineStr">
        <is>
          <t>SKÅNE LÄN</t>
        </is>
      </c>
      <c r="G1674" t="inlineStr">
        <is>
          <t>HÄSSLEHOLM</t>
        </is>
      </c>
      <c r="I1674" t="n">
        <v>0.9</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3447-2024</t>
        </is>
      </c>
      <c r="B1675" t="inlineStr">
        <is>
          <t>avverkningsanmälan</t>
        </is>
      </c>
      <c r="C1675" t="inlineStr">
        <is>
          <t>Föryngringsavverkning</t>
        </is>
      </c>
      <c r="D1675" s="1" t="n">
        <v>45320</v>
      </c>
      <c r="E1675" s="1" t="n">
        <v>46312</v>
      </c>
      <c r="F1675" t="inlineStr">
        <is>
          <t>SKÅNE LÄN</t>
        </is>
      </c>
      <c r="G1675" t="inlineStr">
        <is>
          <t>ÖSTRA GÖINGE</t>
        </is>
      </c>
      <c r="I1675" t="n">
        <v>1.4</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44741-2023</t>
        </is>
      </c>
      <c r="B1676" t="inlineStr">
        <is>
          <t>avverkningsanmälan</t>
        </is>
      </c>
      <c r="C1676" t="inlineStr">
        <is>
          <t>Föryngringsavverkning</t>
        </is>
      </c>
      <c r="D1676" s="1" t="n">
        <v>45190</v>
      </c>
      <c r="E1676" s="1" t="n">
        <v>46312</v>
      </c>
      <c r="F1676" t="inlineStr">
        <is>
          <t>SKÅNE LÄN</t>
        </is>
      </c>
      <c r="G1676" t="inlineStr">
        <is>
          <t>HÄSSLEHOLM</t>
        </is>
      </c>
      <c r="I1676" t="n">
        <v>0.6</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31143-2024</t>
        </is>
      </c>
      <c r="B1677" t="inlineStr">
        <is>
          <t>avverkningsanmälan</t>
        </is>
      </c>
      <c r="C1677" t="inlineStr">
        <is>
          <t>Avverkning för annat ändamål</t>
        </is>
      </c>
      <c r="D1677" s="1" t="n">
        <v>45502</v>
      </c>
      <c r="E1677" s="1" t="n">
        <v>46312</v>
      </c>
      <c r="F1677" t="inlineStr">
        <is>
          <t>SKÅNE LÄN</t>
        </is>
      </c>
      <c r="G1677" t="inlineStr">
        <is>
          <t>ÄNGELHOLM</t>
        </is>
      </c>
      <c r="I1677" t="n">
        <v>0.6</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7476-2025</t>
        </is>
      </c>
      <c r="B1678" t="inlineStr">
        <is>
          <t>avverkningsanmälan</t>
        </is>
      </c>
      <c r="C1678" t="inlineStr">
        <is>
          <t>Föryngringsavverkning</t>
        </is>
      </c>
      <c r="D1678" s="1" t="n">
        <v>45702</v>
      </c>
      <c r="E1678" s="1" t="n">
        <v>46312</v>
      </c>
      <c r="F1678" t="inlineStr">
        <is>
          <t>SKÅNE LÄN</t>
        </is>
      </c>
      <c r="G1678" t="inlineStr">
        <is>
          <t>HÄSSLEHOLM</t>
        </is>
      </c>
      <c r="H1678" t="inlineStr">
        <is>
          <t>Övriga Aktiebolag</t>
        </is>
      </c>
      <c r="I1678" t="n">
        <v>2.1</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7513-2025</t>
        </is>
      </c>
      <c r="B1679" t="inlineStr">
        <is>
          <t>avverkningsanmälan</t>
        </is>
      </c>
      <c r="C1679" t="inlineStr">
        <is>
          <t>Föryngringsavverkning</t>
        </is>
      </c>
      <c r="D1679" s="1" t="n">
        <v>45702</v>
      </c>
      <c r="E1679" s="1" t="n">
        <v>46312</v>
      </c>
      <c r="F1679" t="inlineStr">
        <is>
          <t>SKÅNE LÄN</t>
        </is>
      </c>
      <c r="G1679" t="inlineStr">
        <is>
          <t>HÄSSLEHOLM</t>
        </is>
      </c>
      <c r="H1679" t="inlineStr">
        <is>
          <t>Övriga Aktiebolag</t>
        </is>
      </c>
      <c r="I1679" t="n">
        <v>2.4</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2015-2023</t>
        </is>
      </c>
      <c r="B1680" t="inlineStr">
        <is>
          <t>avverkningsanmälan</t>
        </is>
      </c>
      <c r="C1680" t="inlineStr">
        <is>
          <t>Avverkning för annat ändamål</t>
        </is>
      </c>
      <c r="D1680" s="1" t="n">
        <v>44939</v>
      </c>
      <c r="E1680" s="1" t="n">
        <v>46312</v>
      </c>
      <c r="F1680" t="inlineStr">
        <is>
          <t>SKÅNE LÄN</t>
        </is>
      </c>
      <c r="G1680" t="inlineStr">
        <is>
          <t>PERSTORP</t>
        </is>
      </c>
      <c r="I1680" t="n">
        <v>1.5</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17616-2023</t>
        </is>
      </c>
      <c r="B1681" t="inlineStr">
        <is>
          <t>avverkningsanmälan</t>
        </is>
      </c>
      <c r="C1681" t="inlineStr">
        <is>
          <t>Föryngringsavverkning</t>
        </is>
      </c>
      <c r="D1681" s="1" t="n">
        <v>45036</v>
      </c>
      <c r="E1681" s="1" t="n">
        <v>46312</v>
      </c>
      <c r="F1681" t="inlineStr">
        <is>
          <t>SKÅNE LÄN</t>
        </is>
      </c>
      <c r="G1681" t="inlineStr">
        <is>
          <t>OSBY</t>
        </is>
      </c>
      <c r="I1681" t="n">
        <v>1</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17641-2023</t>
        </is>
      </c>
      <c r="B1682" t="inlineStr">
        <is>
          <t>avverkningsanmälan</t>
        </is>
      </c>
      <c r="C1682" t="inlineStr">
        <is>
          <t>Föryngringsavverkning</t>
        </is>
      </c>
      <c r="D1682" s="1" t="n">
        <v>45035</v>
      </c>
      <c r="E1682" s="1" t="n">
        <v>46312</v>
      </c>
      <c r="F1682" t="inlineStr">
        <is>
          <t>SKÅNE LÄN</t>
        </is>
      </c>
      <c r="G1682" t="inlineStr">
        <is>
          <t>ÖRKELLJUNGA</t>
        </is>
      </c>
      <c r="I1682" t="n">
        <v>7.3</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31161-2024</t>
        </is>
      </c>
      <c r="B1683" t="inlineStr">
        <is>
          <t>avverkningsanmälan</t>
        </is>
      </c>
      <c r="C1683" t="inlineStr">
        <is>
          <t>Föryngringsavverkning</t>
        </is>
      </c>
      <c r="D1683" s="1" t="n">
        <v>45503</v>
      </c>
      <c r="E1683" s="1" t="n">
        <v>46312</v>
      </c>
      <c r="F1683" t="inlineStr">
        <is>
          <t>SKÅNE LÄN</t>
        </is>
      </c>
      <c r="G1683" t="inlineStr">
        <is>
          <t>HÄSSLEHOLM</t>
        </is>
      </c>
      <c r="I1683" t="n">
        <v>1.5</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43828-2024</t>
        </is>
      </c>
      <c r="B1684" t="inlineStr">
        <is>
          <t>avverkningsanmälan</t>
        </is>
      </c>
      <c r="C1684" t="inlineStr">
        <is>
          <t>Föryngringsavverkning</t>
        </is>
      </c>
      <c r="D1684" s="1" t="n">
        <v>45572</v>
      </c>
      <c r="E1684" s="1" t="n">
        <v>46312</v>
      </c>
      <c r="F1684" t="inlineStr">
        <is>
          <t>SKÅNE LÄN</t>
        </is>
      </c>
      <c r="G1684" t="inlineStr">
        <is>
          <t>HÖRBY</t>
        </is>
      </c>
      <c r="I1684" t="n">
        <v>0.9</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44112-2023</t>
        </is>
      </c>
      <c r="B1685" t="inlineStr">
        <is>
          <t>avverkningsanmälan</t>
        </is>
      </c>
      <c r="C1685" t="inlineStr">
        <is>
          <t>Föryngringsavverkning</t>
        </is>
      </c>
      <c r="D1685" s="1" t="n">
        <v>45188</v>
      </c>
      <c r="E1685" s="1" t="n">
        <v>46312</v>
      </c>
      <c r="F1685" t="inlineStr">
        <is>
          <t>SKÅNE LÄN</t>
        </is>
      </c>
      <c r="G1685" t="inlineStr">
        <is>
          <t>SVALÖV</t>
        </is>
      </c>
      <c r="I1685" t="n">
        <v>0.5</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43276-2023</t>
        </is>
      </c>
      <c r="B1686" t="inlineStr">
        <is>
          <t>avverkningsanmälan</t>
        </is>
      </c>
      <c r="C1686" t="inlineStr">
        <is>
          <t>Föryngringsavverkning</t>
        </is>
      </c>
      <c r="D1686" s="1" t="n">
        <v>45180</v>
      </c>
      <c r="E1686" s="1" t="n">
        <v>46312</v>
      </c>
      <c r="F1686" t="inlineStr">
        <is>
          <t>SKÅNE LÄN</t>
        </is>
      </c>
      <c r="G1686" t="inlineStr">
        <is>
          <t>BROMÖLLA</t>
        </is>
      </c>
      <c r="I1686" t="n">
        <v>5.6</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19454-2024</t>
        </is>
      </c>
      <c r="B1687" t="inlineStr">
        <is>
          <t>avverkningsanmälan</t>
        </is>
      </c>
      <c r="C1687" t="inlineStr">
        <is>
          <t>Föryngringsavverkning</t>
        </is>
      </c>
      <c r="D1687" s="1" t="n">
        <v>45429</v>
      </c>
      <c r="E1687" s="1" t="n">
        <v>46312</v>
      </c>
      <c r="F1687" t="inlineStr">
        <is>
          <t>SKÅNE LÄN</t>
        </is>
      </c>
      <c r="G1687" t="inlineStr">
        <is>
          <t>TOMELILLA</t>
        </is>
      </c>
      <c r="I1687" t="n">
        <v>2.1</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39567-2022</t>
        </is>
      </c>
      <c r="B1688" t="inlineStr">
        <is>
          <t>avverkningsanmälan</t>
        </is>
      </c>
      <c r="C1688" t="inlineStr">
        <is>
          <t>Föryngringsavverkning</t>
        </is>
      </c>
      <c r="D1688" s="1" t="n">
        <v>44817</v>
      </c>
      <c r="E1688" s="1" t="n">
        <v>46312</v>
      </c>
      <c r="F1688" t="inlineStr">
        <is>
          <t>SKÅNE LÄN</t>
        </is>
      </c>
      <c r="G1688" t="inlineStr">
        <is>
          <t>KRISTIANSTAD</t>
        </is>
      </c>
      <c r="I1688" t="n">
        <v>1</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12413-2025</t>
        </is>
      </c>
      <c r="B1689" t="inlineStr">
        <is>
          <t>avverkningsanmälan</t>
        </is>
      </c>
      <c r="C1689" t="inlineStr">
        <is>
          <t>Föryngringsavverkning</t>
        </is>
      </c>
      <c r="D1689" s="1" t="n">
        <v>45730</v>
      </c>
      <c r="E1689" s="1" t="n">
        <v>46312</v>
      </c>
      <c r="F1689" t="inlineStr">
        <is>
          <t>SKÅNE LÄN</t>
        </is>
      </c>
      <c r="G1689" t="inlineStr">
        <is>
          <t>OSBY</t>
        </is>
      </c>
      <c r="I1689" t="n">
        <v>0.5</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56166-2023</t>
        </is>
      </c>
      <c r="B1690" t="inlineStr">
        <is>
          <t>avverkningsanmälan</t>
        </is>
      </c>
      <c r="C1690" t="inlineStr">
        <is>
          <t>Föryngringsavverkning</t>
        </is>
      </c>
      <c r="D1690" s="1" t="n">
        <v>45240</v>
      </c>
      <c r="E1690" s="1" t="n">
        <v>46312</v>
      </c>
      <c r="F1690" t="inlineStr">
        <is>
          <t>SKÅNE LÄN</t>
        </is>
      </c>
      <c r="G1690" t="inlineStr">
        <is>
          <t>OSBY</t>
        </is>
      </c>
      <c r="I1690" t="n">
        <v>3</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3904-2022</t>
        </is>
      </c>
      <c r="B1691" t="inlineStr">
        <is>
          <t>avverkningsanmälan</t>
        </is>
      </c>
      <c r="C1691" t="inlineStr">
        <is>
          <t>Föryngringsavverkning</t>
        </is>
      </c>
      <c r="D1691" s="1" t="n">
        <v>44587</v>
      </c>
      <c r="E1691" s="1" t="n">
        <v>46312</v>
      </c>
      <c r="F1691" t="inlineStr">
        <is>
          <t>SKÅNE LÄN</t>
        </is>
      </c>
      <c r="G1691" t="inlineStr">
        <is>
          <t>KRISTIANSTAD</t>
        </is>
      </c>
      <c r="H1691" t="inlineStr">
        <is>
          <t>Sveaskog</t>
        </is>
      </c>
      <c r="I1691" t="n">
        <v>0.9</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3248-2022</t>
        </is>
      </c>
      <c r="B1692" t="inlineStr">
        <is>
          <t>avverkningsanmälan</t>
        </is>
      </c>
      <c r="C1692" t="inlineStr">
        <is>
          <t>Föryngringsavverkning</t>
        </is>
      </c>
      <c r="D1692" s="1" t="n">
        <v>44583</v>
      </c>
      <c r="E1692" s="1" t="n">
        <v>46312</v>
      </c>
      <c r="F1692" t="inlineStr">
        <is>
          <t>SKÅNE LÄN</t>
        </is>
      </c>
      <c r="G1692" t="inlineStr">
        <is>
          <t>HÄSSLEHOLM</t>
        </is>
      </c>
      <c r="I1692" t="n">
        <v>3</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36713-2023</t>
        </is>
      </c>
      <c r="B1693" t="inlineStr">
        <is>
          <t>avverkningsanmälan</t>
        </is>
      </c>
      <c r="C1693" t="inlineStr">
        <is>
          <t>Avverkning för annat ändamål</t>
        </is>
      </c>
      <c r="D1693" s="1" t="n">
        <v>45153</v>
      </c>
      <c r="E1693" s="1" t="n">
        <v>46312</v>
      </c>
      <c r="F1693" t="inlineStr">
        <is>
          <t>SKÅNE LÄN</t>
        </is>
      </c>
      <c r="G1693" t="inlineStr">
        <is>
          <t>LANDSKRONA</t>
        </is>
      </c>
      <c r="I1693" t="n">
        <v>0.7</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36733-2023</t>
        </is>
      </c>
      <c r="B1694" t="inlineStr">
        <is>
          <t>avverkningsanmälan</t>
        </is>
      </c>
      <c r="C1694" t="inlineStr">
        <is>
          <t>Föryngringsavverkning</t>
        </is>
      </c>
      <c r="D1694" s="1" t="n">
        <v>45153</v>
      </c>
      <c r="E1694" s="1" t="n">
        <v>46312</v>
      </c>
      <c r="F1694" t="inlineStr">
        <is>
          <t>SKÅNE LÄN</t>
        </is>
      </c>
      <c r="G1694" t="inlineStr">
        <is>
          <t>HÄSSLEHOLM</t>
        </is>
      </c>
      <c r="I1694" t="n">
        <v>4.8</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61648-2022</t>
        </is>
      </c>
      <c r="B1695" t="inlineStr">
        <is>
          <t>avverkningsanmälan</t>
        </is>
      </c>
      <c r="C1695" t="inlineStr">
        <is>
          <t>Föryngringsavverkning</t>
        </is>
      </c>
      <c r="D1695" s="1" t="n">
        <v>44916</v>
      </c>
      <c r="E1695" s="1" t="n">
        <v>46312</v>
      </c>
      <c r="F1695" t="inlineStr">
        <is>
          <t>SKÅNE LÄN</t>
        </is>
      </c>
      <c r="G1695" t="inlineStr">
        <is>
          <t>OSBY</t>
        </is>
      </c>
      <c r="I1695" t="n">
        <v>1.3</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35777-2022</t>
        </is>
      </c>
      <c r="B1696" t="inlineStr">
        <is>
          <t>avverkningsanmälan</t>
        </is>
      </c>
      <c r="C1696" t="inlineStr">
        <is>
          <t>Föryngringsavverkning</t>
        </is>
      </c>
      <c r="D1696" s="1" t="n">
        <v>44801</v>
      </c>
      <c r="E1696" s="1" t="n">
        <v>46312</v>
      </c>
      <c r="F1696" t="inlineStr">
        <is>
          <t>SKÅNE LÄN</t>
        </is>
      </c>
      <c r="G1696" t="inlineStr">
        <is>
          <t>OSBY</t>
        </is>
      </c>
      <c r="I1696" t="n">
        <v>1.7</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32967-2023</t>
        </is>
      </c>
      <c r="B1697" t="inlineStr">
        <is>
          <t>avverkningsanmälan</t>
        </is>
      </c>
      <c r="C1697" t="inlineStr">
        <is>
          <t>Föryngringsavverkning</t>
        </is>
      </c>
      <c r="D1697" s="1" t="n">
        <v>45125</v>
      </c>
      <c r="E1697" s="1" t="n">
        <v>46312</v>
      </c>
      <c r="F1697" t="inlineStr">
        <is>
          <t>SKÅNE LÄN</t>
        </is>
      </c>
      <c r="G1697" t="inlineStr">
        <is>
          <t>HÄSSLEHOLM</t>
        </is>
      </c>
      <c r="I1697" t="n">
        <v>1.4</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32968-2023</t>
        </is>
      </c>
      <c r="B1698" t="inlineStr">
        <is>
          <t>avverkningsanmälan</t>
        </is>
      </c>
      <c r="C1698" t="inlineStr">
        <is>
          <t>Föryngringsavverkning</t>
        </is>
      </c>
      <c r="D1698" s="1" t="n">
        <v>45125</v>
      </c>
      <c r="E1698" s="1" t="n">
        <v>46312</v>
      </c>
      <c r="F1698" t="inlineStr">
        <is>
          <t>SKÅNE LÄN</t>
        </is>
      </c>
      <c r="G1698" t="inlineStr">
        <is>
          <t>HÄSSLEHOLM</t>
        </is>
      </c>
      <c r="I1698" t="n">
        <v>1.7</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10277-2023</t>
        </is>
      </c>
      <c r="B1699" t="inlineStr">
        <is>
          <t>avverkningsanmälan</t>
        </is>
      </c>
      <c r="C1699" t="inlineStr">
        <is>
          <t>Föryngringsavverkning</t>
        </is>
      </c>
      <c r="D1699" s="1" t="n">
        <v>44986</v>
      </c>
      <c r="E1699" s="1" t="n">
        <v>46312</v>
      </c>
      <c r="F1699" t="inlineStr">
        <is>
          <t>SKÅNE LÄN</t>
        </is>
      </c>
      <c r="G1699" t="inlineStr">
        <is>
          <t>HÄSSLEHOLM</t>
        </is>
      </c>
      <c r="I1699" t="n">
        <v>0.6</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10290-2023</t>
        </is>
      </c>
      <c r="B1700" t="inlineStr">
        <is>
          <t>avverkningsanmälan</t>
        </is>
      </c>
      <c r="C1700" t="inlineStr">
        <is>
          <t>Föryngringsavverkning</t>
        </is>
      </c>
      <c r="D1700" s="1" t="n">
        <v>44986</v>
      </c>
      <c r="E1700" s="1" t="n">
        <v>46312</v>
      </c>
      <c r="F1700" t="inlineStr">
        <is>
          <t>SKÅNE LÄN</t>
        </is>
      </c>
      <c r="G1700" t="inlineStr">
        <is>
          <t>HÄSSLEHOLM</t>
        </is>
      </c>
      <c r="I1700" t="n">
        <v>1</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26043-2024</t>
        </is>
      </c>
      <c r="B1701" t="inlineStr">
        <is>
          <t>avverkningsanmälan</t>
        </is>
      </c>
      <c r="C1701" t="inlineStr">
        <is>
          <t>Föryngringsavverkning</t>
        </is>
      </c>
      <c r="D1701" s="1" t="n">
        <v>45468</v>
      </c>
      <c r="E1701" s="1" t="n">
        <v>46312</v>
      </c>
      <c r="F1701" t="inlineStr">
        <is>
          <t>SKÅNE LÄN</t>
        </is>
      </c>
      <c r="G1701" t="inlineStr">
        <is>
          <t>OSBY</t>
        </is>
      </c>
      <c r="I1701" t="n">
        <v>0.6</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39238-2022</t>
        </is>
      </c>
      <c r="B1702" t="inlineStr">
        <is>
          <t>avverkningsanmälan</t>
        </is>
      </c>
      <c r="C1702" t="inlineStr">
        <is>
          <t>Föryngringsavverkning</t>
        </is>
      </c>
      <c r="D1702" s="1" t="n">
        <v>44817</v>
      </c>
      <c r="E1702" s="1" t="n">
        <v>46312</v>
      </c>
      <c r="F1702" t="inlineStr">
        <is>
          <t>SKÅNE LÄN</t>
        </is>
      </c>
      <c r="G1702" t="inlineStr">
        <is>
          <t>KLIPPAN</t>
        </is>
      </c>
      <c r="I1702" t="n">
        <v>3</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60501-2023</t>
        </is>
      </c>
      <c r="B1703" t="inlineStr">
        <is>
          <t>avverkningsanmälan</t>
        </is>
      </c>
      <c r="C1703" t="inlineStr">
        <is>
          <t>Föryngringsavverkning</t>
        </is>
      </c>
      <c r="D1703" s="1" t="n">
        <v>45259</v>
      </c>
      <c r="E1703" s="1" t="n">
        <v>46312</v>
      </c>
      <c r="F1703" t="inlineStr">
        <is>
          <t>SKÅNE LÄN</t>
        </is>
      </c>
      <c r="G1703" t="inlineStr">
        <is>
          <t>PERSTORP</t>
        </is>
      </c>
      <c r="H1703" t="inlineStr">
        <is>
          <t>Övriga Aktiebolag</t>
        </is>
      </c>
      <c r="I1703" t="n">
        <v>0.5</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29435-2024</t>
        </is>
      </c>
      <c r="B1704" t="inlineStr">
        <is>
          <t>avverkningsanmälan</t>
        </is>
      </c>
      <c r="C1704" t="inlineStr">
        <is>
          <t>Föryngringsavverkning</t>
        </is>
      </c>
      <c r="D1704" s="1" t="n">
        <v>45483</v>
      </c>
      <c r="E1704" s="1" t="n">
        <v>46312</v>
      </c>
      <c r="F1704" t="inlineStr">
        <is>
          <t>SKÅNE LÄN</t>
        </is>
      </c>
      <c r="G1704" t="inlineStr">
        <is>
          <t>OSBY</t>
        </is>
      </c>
      <c r="H1704" t="inlineStr">
        <is>
          <t>Kommuner</t>
        </is>
      </c>
      <c r="I1704" t="n">
        <v>0.7</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28885-2022</t>
        </is>
      </c>
      <c r="B1705" t="inlineStr">
        <is>
          <t>avverkningsanmälan</t>
        </is>
      </c>
      <c r="C1705" t="inlineStr">
        <is>
          <t>Föryngringsavverkning</t>
        </is>
      </c>
      <c r="D1705" s="1" t="n">
        <v>44749</v>
      </c>
      <c r="E1705" s="1" t="n">
        <v>46312</v>
      </c>
      <c r="F1705" t="inlineStr">
        <is>
          <t>SKÅNE LÄN</t>
        </is>
      </c>
      <c r="G1705" t="inlineStr">
        <is>
          <t>LUND</t>
        </is>
      </c>
      <c r="I1705" t="n">
        <v>2.4</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43877-2022</t>
        </is>
      </c>
      <c r="B1706" t="inlineStr">
        <is>
          <t>avverkningsanmälan</t>
        </is>
      </c>
      <c r="C1706" t="inlineStr">
        <is>
          <t>Föryngringsavverkning</t>
        </is>
      </c>
      <c r="D1706" s="1" t="n">
        <v>44838</v>
      </c>
      <c r="E1706" s="1" t="n">
        <v>46312</v>
      </c>
      <c r="F1706" t="inlineStr">
        <is>
          <t>SKÅNE LÄN</t>
        </is>
      </c>
      <c r="G1706" t="inlineStr">
        <is>
          <t>HÖÖR</t>
        </is>
      </c>
      <c r="I1706" t="n">
        <v>0.3</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43897-2022</t>
        </is>
      </c>
      <c r="B1707" t="inlineStr">
        <is>
          <t>avverkningsanmälan</t>
        </is>
      </c>
      <c r="C1707" t="inlineStr">
        <is>
          <t>Föryngringsavverkning</t>
        </is>
      </c>
      <c r="D1707" s="1" t="n">
        <v>44838</v>
      </c>
      <c r="E1707" s="1" t="n">
        <v>46312</v>
      </c>
      <c r="F1707" t="inlineStr">
        <is>
          <t>SKÅNE LÄN</t>
        </is>
      </c>
      <c r="G1707" t="inlineStr">
        <is>
          <t>HÖÖR</t>
        </is>
      </c>
      <c r="I1707" t="n">
        <v>4.9</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22074-2023</t>
        </is>
      </c>
      <c r="B1708" t="inlineStr">
        <is>
          <t>avverkningsanmälan</t>
        </is>
      </c>
      <c r="C1708" t="inlineStr">
        <is>
          <t>Föryngringsavverkning</t>
        </is>
      </c>
      <c r="D1708" s="1" t="n">
        <v>45069</v>
      </c>
      <c r="E1708" s="1" t="n">
        <v>46312</v>
      </c>
      <c r="F1708" t="inlineStr">
        <is>
          <t>SKÅNE LÄN</t>
        </is>
      </c>
      <c r="G1708" t="inlineStr">
        <is>
          <t>KRISTIANSTAD</t>
        </is>
      </c>
      <c r="I1708" t="n">
        <v>0.6</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23328-2022</t>
        </is>
      </c>
      <c r="B1709" t="inlineStr">
        <is>
          <t>avverkningsanmälan</t>
        </is>
      </c>
      <c r="C1709" t="inlineStr">
        <is>
          <t>Föryngringsavverkning</t>
        </is>
      </c>
      <c r="D1709" s="1" t="n">
        <v>44720</v>
      </c>
      <c r="E1709" s="1" t="n">
        <v>46312</v>
      </c>
      <c r="F1709" t="inlineStr">
        <is>
          <t>SKÅNE LÄN</t>
        </is>
      </c>
      <c r="G1709" t="inlineStr">
        <is>
          <t>ÄNGELHOLM</t>
        </is>
      </c>
      <c r="I1709" t="n">
        <v>1.1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29024-2022</t>
        </is>
      </c>
      <c r="B1710" t="inlineStr">
        <is>
          <t>avverkningsanmälan</t>
        </is>
      </c>
      <c r="C1710" t="inlineStr">
        <is>
          <t>Föryngringsavverkning</t>
        </is>
      </c>
      <c r="D1710" s="1" t="n">
        <v>44749</v>
      </c>
      <c r="E1710" s="1" t="n">
        <v>46312</v>
      </c>
      <c r="F1710" t="inlineStr">
        <is>
          <t>SKÅNE LÄN</t>
        </is>
      </c>
      <c r="G1710" t="inlineStr">
        <is>
          <t>OSBY</t>
        </is>
      </c>
      <c r="I1710" t="n">
        <v>1.7</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25603-2024</t>
        </is>
      </c>
      <c r="B1711" t="inlineStr">
        <is>
          <t>avverkningsanmälan</t>
        </is>
      </c>
      <c r="C1711" t="inlineStr">
        <is>
          <t>Föryngringsavverkning</t>
        </is>
      </c>
      <c r="D1711" s="1" t="n">
        <v>45463</v>
      </c>
      <c r="E1711" s="1" t="n">
        <v>46312</v>
      </c>
      <c r="F1711" t="inlineStr">
        <is>
          <t>SKÅNE LÄN</t>
        </is>
      </c>
      <c r="G1711" t="inlineStr">
        <is>
          <t>SVEDALA</t>
        </is>
      </c>
      <c r="I1711" t="n">
        <v>1.8</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13225-2024</t>
        </is>
      </c>
      <c r="B1712" t="inlineStr">
        <is>
          <t>avverkningsanmälan</t>
        </is>
      </c>
      <c r="C1712" t="inlineStr">
        <is>
          <t>Föryngringsavverkning</t>
        </is>
      </c>
      <c r="D1712" s="1" t="n">
        <v>45386</v>
      </c>
      <c r="E1712" s="1" t="n">
        <v>46312</v>
      </c>
      <c r="F1712" t="inlineStr">
        <is>
          <t>SKÅNE LÄN</t>
        </is>
      </c>
      <c r="G1712" t="inlineStr">
        <is>
          <t>HÖRBY</t>
        </is>
      </c>
      <c r="I1712" t="n">
        <v>0.7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13226-2024</t>
        </is>
      </c>
      <c r="B1713" t="inlineStr">
        <is>
          <t>avverkningsanmälan</t>
        </is>
      </c>
      <c r="C1713" t="inlineStr">
        <is>
          <t>Föryngringsavverkning</t>
        </is>
      </c>
      <c r="D1713" s="1" t="n">
        <v>45386</v>
      </c>
      <c r="E1713" s="1" t="n">
        <v>46312</v>
      </c>
      <c r="F1713" t="inlineStr">
        <is>
          <t>SKÅNE LÄN</t>
        </is>
      </c>
      <c r="G1713" t="inlineStr">
        <is>
          <t>HÖRBY</t>
        </is>
      </c>
      <c r="I1713" t="n">
        <v>0.7</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25579-2024</t>
        </is>
      </c>
      <c r="B1714" t="inlineStr">
        <is>
          <t>avverkningsanmälan</t>
        </is>
      </c>
      <c r="C1714" t="inlineStr">
        <is>
          <t>Avverkning för annat ändamål</t>
        </is>
      </c>
      <c r="D1714" s="1" t="n">
        <v>45463</v>
      </c>
      <c r="E1714" s="1" t="n">
        <v>46312</v>
      </c>
      <c r="F1714" t="inlineStr">
        <is>
          <t>SKÅNE LÄN</t>
        </is>
      </c>
      <c r="G1714" t="inlineStr">
        <is>
          <t>OSBY</t>
        </is>
      </c>
      <c r="I1714" t="n">
        <v>1.3</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47552-2023</t>
        </is>
      </c>
      <c r="B1715" t="inlineStr">
        <is>
          <t>avverkningsanmälan</t>
        </is>
      </c>
      <c r="C1715" t="inlineStr">
        <is>
          <t>Föryngringsavverkning</t>
        </is>
      </c>
      <c r="D1715" s="1" t="n">
        <v>45203</v>
      </c>
      <c r="E1715" s="1" t="n">
        <v>46312</v>
      </c>
      <c r="F1715" t="inlineStr">
        <is>
          <t>SKÅNE LÄN</t>
        </is>
      </c>
      <c r="G1715" t="inlineStr">
        <is>
          <t>HÖRBY</t>
        </is>
      </c>
      <c r="I1715" t="n">
        <v>1.3</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15041-2023</t>
        </is>
      </c>
      <c r="B1716" t="inlineStr">
        <is>
          <t>avverkningsanmälan</t>
        </is>
      </c>
      <c r="C1716" t="inlineStr">
        <is>
          <t>Föryngringsavverkning</t>
        </is>
      </c>
      <c r="D1716" s="1" t="n">
        <v>45015</v>
      </c>
      <c r="E1716" s="1" t="n">
        <v>46312</v>
      </c>
      <c r="F1716" t="inlineStr">
        <is>
          <t>SKÅNE LÄN</t>
        </is>
      </c>
      <c r="G1716" t="inlineStr">
        <is>
          <t>OSBY</t>
        </is>
      </c>
      <c r="I1716" t="n">
        <v>0.5</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60506-2023</t>
        </is>
      </c>
      <c r="B1717" t="inlineStr">
        <is>
          <t>avverkningsanmälan</t>
        </is>
      </c>
      <c r="C1717" t="inlineStr">
        <is>
          <t>Föryngringsavverkning</t>
        </is>
      </c>
      <c r="D1717" s="1" t="n">
        <v>45259</v>
      </c>
      <c r="E1717" s="1" t="n">
        <v>46312</v>
      </c>
      <c r="F1717" t="inlineStr">
        <is>
          <t>SKÅNE LÄN</t>
        </is>
      </c>
      <c r="G1717" t="inlineStr">
        <is>
          <t>PERSTORP</t>
        </is>
      </c>
      <c r="H1717" t="inlineStr">
        <is>
          <t>Övriga Aktiebolag</t>
        </is>
      </c>
      <c r="I1717" t="n">
        <v>1.2</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60509-2023</t>
        </is>
      </c>
      <c r="B1718" t="inlineStr">
        <is>
          <t>avverkningsanmälan</t>
        </is>
      </c>
      <c r="C1718" t="inlineStr">
        <is>
          <t>Föryngringsavverkning</t>
        </is>
      </c>
      <c r="D1718" s="1" t="n">
        <v>45259</v>
      </c>
      <c r="E1718" s="1" t="n">
        <v>46312</v>
      </c>
      <c r="F1718" t="inlineStr">
        <is>
          <t>SKÅNE LÄN</t>
        </is>
      </c>
      <c r="G1718" t="inlineStr">
        <is>
          <t>HÄSSLEHOLM</t>
        </is>
      </c>
      <c r="H1718" t="inlineStr">
        <is>
          <t>Övriga Aktiebolag</t>
        </is>
      </c>
      <c r="I1718" t="n">
        <v>0.5</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27219-2022</t>
        </is>
      </c>
      <c r="B1719" t="inlineStr">
        <is>
          <t>avverkningsanmälan</t>
        </is>
      </c>
      <c r="C1719" t="inlineStr">
        <is>
          <t>Föryngringsavverkning</t>
        </is>
      </c>
      <c r="D1719" s="1" t="n">
        <v>44741</v>
      </c>
      <c r="E1719" s="1" t="n">
        <v>46312</v>
      </c>
      <c r="F1719" t="inlineStr">
        <is>
          <t>SKÅNE LÄN</t>
        </is>
      </c>
      <c r="G1719" t="inlineStr">
        <is>
          <t>HÖÖR</t>
        </is>
      </c>
      <c r="I1719" t="n">
        <v>4.3</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2453-2025</t>
        </is>
      </c>
      <c r="B1720" t="inlineStr">
        <is>
          <t>avverkningsanmälan</t>
        </is>
      </c>
      <c r="C1720" t="inlineStr">
        <is>
          <t>Föryngringsavverkning</t>
        </is>
      </c>
      <c r="D1720" s="1" t="n">
        <v>45674</v>
      </c>
      <c r="E1720" s="1" t="n">
        <v>46312</v>
      </c>
      <c r="F1720" t="inlineStr">
        <is>
          <t>SKÅNE LÄN</t>
        </is>
      </c>
      <c r="G1720" t="inlineStr">
        <is>
          <t>BROMÖLLA</t>
        </is>
      </c>
      <c r="I1720" t="n">
        <v>0.2</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56972-2023</t>
        </is>
      </c>
      <c r="B1721" t="inlineStr">
        <is>
          <t>avverkningsanmälan</t>
        </is>
      </c>
      <c r="C1721" t="inlineStr">
        <is>
          <t>Föryngringsavverkning</t>
        </is>
      </c>
      <c r="D1721" s="1" t="n">
        <v>45244</v>
      </c>
      <c r="E1721" s="1" t="n">
        <v>46312</v>
      </c>
      <c r="F1721" t="inlineStr">
        <is>
          <t>SKÅNE LÄN</t>
        </is>
      </c>
      <c r="G1721" t="inlineStr">
        <is>
          <t>KRISTIANSTAD</t>
        </is>
      </c>
      <c r="H1721" t="inlineStr">
        <is>
          <t>Övriga Aktiebolag</t>
        </is>
      </c>
      <c r="I1721" t="n">
        <v>8.9</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8190-2024</t>
        </is>
      </c>
      <c r="B1722" t="inlineStr">
        <is>
          <t>avverkningsanmälan</t>
        </is>
      </c>
      <c r="C1722" t="inlineStr">
        <is>
          <t>Föryngringsavverkning</t>
        </is>
      </c>
      <c r="D1722" s="1" t="n">
        <v>45338</v>
      </c>
      <c r="E1722" s="1" t="n">
        <v>46312</v>
      </c>
      <c r="F1722" t="inlineStr">
        <is>
          <t>SKÅNE LÄN</t>
        </is>
      </c>
      <c r="G1722" t="inlineStr">
        <is>
          <t>TOMELILLA</t>
        </is>
      </c>
      <c r="H1722" t="inlineStr">
        <is>
          <t>Kyrkan</t>
        </is>
      </c>
      <c r="I1722" t="n">
        <v>3.6</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8192-2024</t>
        </is>
      </c>
      <c r="B1723" t="inlineStr">
        <is>
          <t>avverkningsanmälan</t>
        </is>
      </c>
      <c r="C1723" t="inlineStr">
        <is>
          <t>Föryngringsavverkning</t>
        </is>
      </c>
      <c r="D1723" s="1" t="n">
        <v>45338</v>
      </c>
      <c r="E1723" s="1" t="n">
        <v>46312</v>
      </c>
      <c r="F1723" t="inlineStr">
        <is>
          <t>SKÅNE LÄN</t>
        </is>
      </c>
      <c r="G1723" t="inlineStr">
        <is>
          <t>TOMELILLA</t>
        </is>
      </c>
      <c r="H1723" t="inlineStr">
        <is>
          <t>Kyrkan</t>
        </is>
      </c>
      <c r="I1723" t="n">
        <v>1.5</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19141-2025</t>
        </is>
      </c>
      <c r="B1724" t="inlineStr">
        <is>
          <t>avverkningsanmälan</t>
        </is>
      </c>
      <c r="C1724" t="inlineStr">
        <is>
          <t>Föryngringsavverkning</t>
        </is>
      </c>
      <c r="D1724" s="1" t="n">
        <v>45769</v>
      </c>
      <c r="E1724" s="1" t="n">
        <v>46312</v>
      </c>
      <c r="F1724" t="inlineStr">
        <is>
          <t>SKÅNE LÄN</t>
        </is>
      </c>
      <c r="G1724" t="inlineStr">
        <is>
          <t>SIMRISHAMN</t>
        </is>
      </c>
      <c r="I1724" t="n">
        <v>0.8</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51207-2022</t>
        </is>
      </c>
      <c r="B1725" t="inlineStr">
        <is>
          <t>avverkningsanmälan</t>
        </is>
      </c>
      <c r="C1725" t="inlineStr">
        <is>
          <t>Föryngringsavverkning</t>
        </is>
      </c>
      <c r="D1725" s="1" t="n">
        <v>44868</v>
      </c>
      <c r="E1725" s="1" t="n">
        <v>46312</v>
      </c>
      <c r="F1725" t="inlineStr">
        <is>
          <t>SKÅNE LÄN</t>
        </is>
      </c>
      <c r="G1725" t="inlineStr">
        <is>
          <t>PERSTORP</t>
        </is>
      </c>
      <c r="I1725" t="n">
        <v>3.3</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35237-2023</t>
        </is>
      </c>
      <c r="B1726" t="inlineStr">
        <is>
          <t>avverkningsanmälan</t>
        </is>
      </c>
      <c r="C1726" t="inlineStr">
        <is>
          <t>Föryngringsavverkning</t>
        </is>
      </c>
      <c r="D1726" s="1" t="n">
        <v>45145</v>
      </c>
      <c r="E1726" s="1" t="n">
        <v>46312</v>
      </c>
      <c r="F1726" t="inlineStr">
        <is>
          <t>SKÅNE LÄN</t>
        </is>
      </c>
      <c r="G1726" t="inlineStr">
        <is>
          <t>HÄSSLEHOLM</t>
        </is>
      </c>
      <c r="I1726" t="n">
        <v>1.3</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15653-2024</t>
        </is>
      </c>
      <c r="B1727" t="inlineStr">
        <is>
          <t>avverkningsanmälan</t>
        </is>
      </c>
      <c r="C1727" t="inlineStr">
        <is>
          <t>Föryngringsavverkning</t>
        </is>
      </c>
      <c r="D1727" s="1" t="n">
        <v>45404</v>
      </c>
      <c r="E1727" s="1" t="n">
        <v>46312</v>
      </c>
      <c r="F1727" t="inlineStr">
        <is>
          <t>SKÅNE LÄN</t>
        </is>
      </c>
      <c r="G1727" t="inlineStr">
        <is>
          <t>OSBY</t>
        </is>
      </c>
      <c r="I1727" t="n">
        <v>3.7</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46737-2024</t>
        </is>
      </c>
      <c r="B1728" t="inlineStr">
        <is>
          <t>avverkningsanmälan</t>
        </is>
      </c>
      <c r="C1728" t="inlineStr">
        <is>
          <t>Föryngringsavverkning</t>
        </is>
      </c>
      <c r="D1728" s="1" t="n">
        <v>45583</v>
      </c>
      <c r="E1728" s="1" t="n">
        <v>46312</v>
      </c>
      <c r="F1728" t="inlineStr">
        <is>
          <t>SKÅNE LÄN</t>
        </is>
      </c>
      <c r="G1728" t="inlineStr">
        <is>
          <t>PERSTORP</t>
        </is>
      </c>
      <c r="I1728" t="n">
        <v>1.1</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11491-2023</t>
        </is>
      </c>
      <c r="B1729" t="inlineStr">
        <is>
          <t>avverkningsanmälan</t>
        </is>
      </c>
      <c r="C1729" t="inlineStr">
        <is>
          <t>Föryngringsavverkning</t>
        </is>
      </c>
      <c r="D1729" s="1" t="n">
        <v>44991</v>
      </c>
      <c r="E1729" s="1" t="n">
        <v>46312</v>
      </c>
      <c r="F1729" t="inlineStr">
        <is>
          <t>SKÅNE LÄN</t>
        </is>
      </c>
      <c r="G1729" t="inlineStr">
        <is>
          <t>SVALÖV</t>
        </is>
      </c>
      <c r="I1729" t="n">
        <v>2.8</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11497-2023</t>
        </is>
      </c>
      <c r="B1730" t="inlineStr">
        <is>
          <t>avverkningsanmälan</t>
        </is>
      </c>
      <c r="C1730" t="inlineStr">
        <is>
          <t>Föryngringsavverkning</t>
        </is>
      </c>
      <c r="D1730" s="1" t="n">
        <v>44991</v>
      </c>
      <c r="E1730" s="1" t="n">
        <v>46312</v>
      </c>
      <c r="F1730" t="inlineStr">
        <is>
          <t>SKÅNE LÄN</t>
        </is>
      </c>
      <c r="G1730" t="inlineStr">
        <is>
          <t>KLIPPAN</t>
        </is>
      </c>
      <c r="I1730" t="n">
        <v>2.3</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45220-2023</t>
        </is>
      </c>
      <c r="B1731" t="inlineStr">
        <is>
          <t>avverkningsanmälan</t>
        </is>
      </c>
      <c r="C1731" t="inlineStr">
        <is>
          <t>Avverkning för annat ändamål</t>
        </is>
      </c>
      <c r="D1731" s="1" t="n">
        <v>45191</v>
      </c>
      <c r="E1731" s="1" t="n">
        <v>46312</v>
      </c>
      <c r="F1731" t="inlineStr">
        <is>
          <t>SKÅNE LÄN</t>
        </is>
      </c>
      <c r="G1731" t="inlineStr">
        <is>
          <t>HÄSSLEHOLM</t>
        </is>
      </c>
      <c r="I1731" t="n">
        <v>0.6</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50880-2022</t>
        </is>
      </c>
      <c r="B1732" t="inlineStr">
        <is>
          <t>avverkningsanmälan</t>
        </is>
      </c>
      <c r="C1732" t="inlineStr">
        <is>
          <t>Föryngringsavverkning</t>
        </is>
      </c>
      <c r="D1732" s="1" t="n">
        <v>44867</v>
      </c>
      <c r="E1732" s="1" t="n">
        <v>46312</v>
      </c>
      <c r="F1732" t="inlineStr">
        <is>
          <t>SKÅNE LÄN</t>
        </is>
      </c>
      <c r="G1732" t="inlineStr">
        <is>
          <t>OSBY</t>
        </is>
      </c>
      <c r="I1732" t="n">
        <v>5.5</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15797-2022</t>
        </is>
      </c>
      <c r="B1733" t="inlineStr">
        <is>
          <t>avverkningsanmälan</t>
        </is>
      </c>
      <c r="C1733" t="inlineStr">
        <is>
          <t>Föryngringsavverkning</t>
        </is>
      </c>
      <c r="D1733" s="1" t="n">
        <v>44663</v>
      </c>
      <c r="E1733" s="1" t="n">
        <v>46312</v>
      </c>
      <c r="F1733" t="inlineStr">
        <is>
          <t>SKÅNE LÄN</t>
        </is>
      </c>
      <c r="G1733" t="inlineStr">
        <is>
          <t>OSBY</t>
        </is>
      </c>
      <c r="I1733" t="n">
        <v>3.1</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15057-2023</t>
        </is>
      </c>
      <c r="B1734" t="inlineStr">
        <is>
          <t>avverkningsanmälan</t>
        </is>
      </c>
      <c r="C1734" t="inlineStr">
        <is>
          <t>Föryngringsavverkning</t>
        </is>
      </c>
      <c r="D1734" s="1" t="n">
        <v>45015</v>
      </c>
      <c r="E1734" s="1" t="n">
        <v>46312</v>
      </c>
      <c r="F1734" t="inlineStr">
        <is>
          <t>SKÅNE LÄN</t>
        </is>
      </c>
      <c r="G1734" t="inlineStr">
        <is>
          <t>ÖSTRA GÖINGE</t>
        </is>
      </c>
      <c r="I1734" t="n">
        <v>3.6</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46260-2024</t>
        </is>
      </c>
      <c r="B1735" t="inlineStr">
        <is>
          <t>avverkningsanmälan</t>
        </is>
      </c>
      <c r="C1735" t="inlineStr">
        <is>
          <t>Föryngringsavverkning</t>
        </is>
      </c>
      <c r="D1735" s="1" t="n">
        <v>45581</v>
      </c>
      <c r="E1735" s="1" t="n">
        <v>46312</v>
      </c>
      <c r="F1735" t="inlineStr">
        <is>
          <t>SKÅNE LÄN</t>
        </is>
      </c>
      <c r="G1735" t="inlineStr">
        <is>
          <t>KLIPPAN</t>
        </is>
      </c>
      <c r="H1735" t="inlineStr">
        <is>
          <t>Sveaskog</t>
        </is>
      </c>
      <c r="I1735" t="n">
        <v>1.4</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46286-2024</t>
        </is>
      </c>
      <c r="B1736" t="inlineStr">
        <is>
          <t>avverkningsanmälan</t>
        </is>
      </c>
      <c r="C1736" t="inlineStr">
        <is>
          <t>Föryngringsavverkning</t>
        </is>
      </c>
      <c r="D1736" s="1" t="n">
        <v>45581</v>
      </c>
      <c r="E1736" s="1" t="n">
        <v>46312</v>
      </c>
      <c r="F1736" t="inlineStr">
        <is>
          <t>SKÅNE LÄN</t>
        </is>
      </c>
      <c r="G1736" t="inlineStr">
        <is>
          <t>ÄNGELHOLM</t>
        </is>
      </c>
      <c r="I1736" t="n">
        <v>2</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10062-2024</t>
        </is>
      </c>
      <c r="B1737" t="inlineStr">
        <is>
          <t>avverkningsanmälan</t>
        </is>
      </c>
      <c r="C1737" t="inlineStr">
        <is>
          <t>Avverkning för annat ändamål</t>
        </is>
      </c>
      <c r="D1737" s="1" t="n">
        <v>45364</v>
      </c>
      <c r="E1737" s="1" t="n">
        <v>46312</v>
      </c>
      <c r="F1737" t="inlineStr">
        <is>
          <t>SKÅNE LÄN</t>
        </is>
      </c>
      <c r="G1737" t="inlineStr">
        <is>
          <t>KRISTIANSTAD</t>
        </is>
      </c>
      <c r="I1737" t="n">
        <v>2.3</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39650-2023</t>
        </is>
      </c>
      <c r="B1738" t="inlineStr">
        <is>
          <t>avverkningsanmälan</t>
        </is>
      </c>
      <c r="C1738" t="inlineStr">
        <is>
          <t>Föryngringsavverkning</t>
        </is>
      </c>
      <c r="D1738" s="1" t="n">
        <v>45167</v>
      </c>
      <c r="E1738" s="1" t="n">
        <v>46312</v>
      </c>
      <c r="F1738" t="inlineStr">
        <is>
          <t>SKÅNE LÄN</t>
        </is>
      </c>
      <c r="G1738" t="inlineStr">
        <is>
          <t>ÖRKELLJUNGA</t>
        </is>
      </c>
      <c r="I1738" t="n">
        <v>3.2</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13673-2023</t>
        </is>
      </c>
      <c r="B1739" t="inlineStr">
        <is>
          <t>avverkningsanmälan</t>
        </is>
      </c>
      <c r="C1739" t="inlineStr">
        <is>
          <t>Föryngringsavverkning</t>
        </is>
      </c>
      <c r="D1739" s="1" t="n">
        <v>45006</v>
      </c>
      <c r="E1739" s="1" t="n">
        <v>46312</v>
      </c>
      <c r="F1739" t="inlineStr">
        <is>
          <t>SKÅNE LÄN</t>
        </is>
      </c>
      <c r="G1739" t="inlineStr">
        <is>
          <t>HÄSSLEHOLM</t>
        </is>
      </c>
      <c r="I1739" t="n">
        <v>3.2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15154-2023</t>
        </is>
      </c>
      <c r="B1740" t="inlineStr">
        <is>
          <t>avverkningsanmälan</t>
        </is>
      </c>
      <c r="C1740" t="inlineStr">
        <is>
          <t>Föryngringsavverkning</t>
        </is>
      </c>
      <c r="D1740" s="1" t="n">
        <v>45016</v>
      </c>
      <c r="E1740" s="1" t="n">
        <v>46312</v>
      </c>
      <c r="F1740" t="inlineStr">
        <is>
          <t>SKÅNE LÄN</t>
        </is>
      </c>
      <c r="G1740" t="inlineStr">
        <is>
          <t>ÄNGELHOLM</t>
        </is>
      </c>
      <c r="I1740" t="n">
        <v>3.5</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62114-2024</t>
        </is>
      </c>
      <c r="B1741" t="inlineStr">
        <is>
          <t>avverkningsanmälan</t>
        </is>
      </c>
      <c r="C1741" t="inlineStr">
        <is>
          <t>Föryngringsavverkning</t>
        </is>
      </c>
      <c r="D1741" s="1" t="n">
        <v>45656</v>
      </c>
      <c r="E1741" s="1" t="n">
        <v>46312</v>
      </c>
      <c r="F1741" t="inlineStr">
        <is>
          <t>SKÅNE LÄN</t>
        </is>
      </c>
      <c r="G1741" t="inlineStr">
        <is>
          <t>OSBY</t>
        </is>
      </c>
      <c r="I1741" t="n">
        <v>0.5</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28751-2024</t>
        </is>
      </c>
      <c r="B1742" t="inlineStr">
        <is>
          <t>avverkningsanmälan</t>
        </is>
      </c>
      <c r="C1742" t="inlineStr">
        <is>
          <t>Föryngringsavverkning</t>
        </is>
      </c>
      <c r="D1742" s="1" t="n">
        <v>45478</v>
      </c>
      <c r="E1742" s="1" t="n">
        <v>46312</v>
      </c>
      <c r="F1742" t="inlineStr">
        <is>
          <t>SKÅNE LÄN</t>
        </is>
      </c>
      <c r="G1742" t="inlineStr">
        <is>
          <t>PERSTORP</t>
        </is>
      </c>
      <c r="I1742" t="n">
        <v>2.8</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59528-2022</t>
        </is>
      </c>
      <c r="B1743" t="inlineStr">
        <is>
          <t>avverkningsanmälan</t>
        </is>
      </c>
      <c r="C1743" t="inlineStr">
        <is>
          <t>Föryngringsavverkning</t>
        </is>
      </c>
      <c r="D1743" s="1" t="n">
        <v>44907</v>
      </c>
      <c r="E1743" s="1" t="n">
        <v>46312</v>
      </c>
      <c r="F1743" t="inlineStr">
        <is>
          <t>SKÅNE LÄN</t>
        </is>
      </c>
      <c r="G1743" t="inlineStr">
        <is>
          <t>TOMELILLA</t>
        </is>
      </c>
      <c r="H1743" t="inlineStr">
        <is>
          <t>Övriga Aktiebolag</t>
        </is>
      </c>
      <c r="I1743" t="n">
        <v>3.8</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31374-2022</t>
        </is>
      </c>
      <c r="B1744" t="inlineStr">
        <is>
          <t>avverkningsanmälan</t>
        </is>
      </c>
      <c r="C1744" t="inlineStr">
        <is>
          <t>Föryngringsavverkning</t>
        </is>
      </c>
      <c r="D1744" s="1" t="n">
        <v>44774</v>
      </c>
      <c r="E1744" s="1" t="n">
        <v>46312</v>
      </c>
      <c r="F1744" t="inlineStr">
        <is>
          <t>SKÅNE LÄN</t>
        </is>
      </c>
      <c r="G1744" t="inlineStr">
        <is>
          <t>KRISTIANSTAD</t>
        </is>
      </c>
      <c r="I1744" t="n">
        <v>0.6</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63268-2023</t>
        </is>
      </c>
      <c r="B1745" t="inlineStr">
        <is>
          <t>avverkningsanmälan</t>
        </is>
      </c>
      <c r="C1745" t="inlineStr">
        <is>
          <t>Föryngringsavverkning</t>
        </is>
      </c>
      <c r="D1745" s="1" t="n">
        <v>45273</v>
      </c>
      <c r="E1745" s="1" t="n">
        <v>46312</v>
      </c>
      <c r="F1745" t="inlineStr">
        <is>
          <t>SKÅNE LÄN</t>
        </is>
      </c>
      <c r="G1745" t="inlineStr">
        <is>
          <t>HÖÖR</t>
        </is>
      </c>
      <c r="I1745" t="n">
        <v>0.5</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63297-2023</t>
        </is>
      </c>
      <c r="B1746" t="inlineStr">
        <is>
          <t>avverkningsanmälan</t>
        </is>
      </c>
      <c r="C1746" t="inlineStr">
        <is>
          <t>Föryngringsavverkning</t>
        </is>
      </c>
      <c r="D1746" s="1" t="n">
        <v>45273</v>
      </c>
      <c r="E1746" s="1" t="n">
        <v>46312</v>
      </c>
      <c r="F1746" t="inlineStr">
        <is>
          <t>SKÅNE LÄN</t>
        </is>
      </c>
      <c r="G1746" t="inlineStr">
        <is>
          <t>OSBY</t>
        </is>
      </c>
      <c r="I1746" t="n">
        <v>1.9</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29832-2024</t>
        </is>
      </c>
      <c r="B1747" t="inlineStr">
        <is>
          <t>avverkningsanmälan</t>
        </is>
      </c>
      <c r="C1747" t="inlineStr">
        <is>
          <t>Föryngringsavverkning</t>
        </is>
      </c>
      <c r="D1747" s="1" t="n">
        <v>45485</v>
      </c>
      <c r="E1747" s="1" t="n">
        <v>46312</v>
      </c>
      <c r="F1747" t="inlineStr">
        <is>
          <t>SKÅNE LÄN</t>
        </is>
      </c>
      <c r="G1747" t="inlineStr">
        <is>
          <t>KRISTIANSTAD</t>
        </is>
      </c>
      <c r="I1747" t="n">
        <v>1.8</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62041-2022</t>
        </is>
      </c>
      <c r="B1748" t="inlineStr">
        <is>
          <t>avverkningsanmälan</t>
        </is>
      </c>
      <c r="C1748" t="inlineStr">
        <is>
          <t>Föryngringsavverkning</t>
        </is>
      </c>
      <c r="D1748" s="1" t="n">
        <v>44918</v>
      </c>
      <c r="E1748" s="1" t="n">
        <v>46312</v>
      </c>
      <c r="F1748" t="inlineStr">
        <is>
          <t>SKÅNE LÄN</t>
        </is>
      </c>
      <c r="G1748" t="inlineStr">
        <is>
          <t>HÄSSLEHOLM</t>
        </is>
      </c>
      <c r="I1748" t="n">
        <v>2.8</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22095-2024</t>
        </is>
      </c>
      <c r="B1749" t="inlineStr">
        <is>
          <t>avverkningsanmälan</t>
        </is>
      </c>
      <c r="C1749" t="inlineStr">
        <is>
          <t>Föryngringsavverkning</t>
        </is>
      </c>
      <c r="D1749" s="1" t="n">
        <v>45443</v>
      </c>
      <c r="E1749" s="1" t="n">
        <v>46312</v>
      </c>
      <c r="F1749" t="inlineStr">
        <is>
          <t>SKÅNE LÄN</t>
        </is>
      </c>
      <c r="G1749" t="inlineStr">
        <is>
          <t>ÖSTRA GÖINGE</t>
        </is>
      </c>
      <c r="I1749" t="n">
        <v>2</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22690-2022</t>
        </is>
      </c>
      <c r="B1750" t="inlineStr">
        <is>
          <t>avverkningsanmälan</t>
        </is>
      </c>
      <c r="C1750" t="inlineStr">
        <is>
          <t>Föryngringsavverkning</t>
        </is>
      </c>
      <c r="D1750" s="1" t="n">
        <v>44714</v>
      </c>
      <c r="E1750" s="1" t="n">
        <v>46312</v>
      </c>
      <c r="F1750" t="inlineStr">
        <is>
          <t>SKÅNE LÄN</t>
        </is>
      </c>
      <c r="G1750" t="inlineStr">
        <is>
          <t>HÄSSLEHOLM</t>
        </is>
      </c>
      <c r="I1750" t="n">
        <v>1.7</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4822-2023</t>
        </is>
      </c>
      <c r="B1751" t="inlineStr">
        <is>
          <t>avverkningsanmälan</t>
        </is>
      </c>
      <c r="C1751" t="inlineStr">
        <is>
          <t>Föryngringsavverkning</t>
        </is>
      </c>
      <c r="D1751" s="1" t="n">
        <v>44957</v>
      </c>
      <c r="E1751" s="1" t="n">
        <v>46312</v>
      </c>
      <c r="F1751" t="inlineStr">
        <is>
          <t>SKÅNE LÄN</t>
        </is>
      </c>
      <c r="G1751" t="inlineStr">
        <is>
          <t>BÅSTAD</t>
        </is>
      </c>
      <c r="I1751" t="n">
        <v>2.2</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57394-2024</t>
        </is>
      </c>
      <c r="B1752" t="inlineStr">
        <is>
          <t>avverkningsanmälan</t>
        </is>
      </c>
      <c r="C1752" t="inlineStr">
        <is>
          <t>Föryngringsavverkning</t>
        </is>
      </c>
      <c r="D1752" s="1" t="n">
        <v>45629</v>
      </c>
      <c r="E1752" s="1" t="n">
        <v>46312</v>
      </c>
      <c r="F1752" t="inlineStr">
        <is>
          <t>SKÅNE LÄN</t>
        </is>
      </c>
      <c r="G1752" t="inlineStr">
        <is>
          <t>BJUV</t>
        </is>
      </c>
      <c r="I1752" t="n">
        <v>0.5</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55544-2022</t>
        </is>
      </c>
      <c r="B1753" t="inlineStr">
        <is>
          <t>avverkningsanmälan</t>
        </is>
      </c>
      <c r="C1753" t="inlineStr">
        <is>
          <t>Föryngringsavverkning</t>
        </is>
      </c>
      <c r="D1753" s="1" t="n">
        <v>44887</v>
      </c>
      <c r="E1753" s="1" t="n">
        <v>46312</v>
      </c>
      <c r="F1753" t="inlineStr">
        <is>
          <t>SKÅNE LÄN</t>
        </is>
      </c>
      <c r="G1753" t="inlineStr">
        <is>
          <t>ÄNGELHOLM</t>
        </is>
      </c>
      <c r="I1753" t="n">
        <v>1.1</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53897-2023</t>
        </is>
      </c>
      <c r="B1754" t="inlineStr">
        <is>
          <t>avverkningsanmälan</t>
        </is>
      </c>
      <c r="C1754" t="inlineStr">
        <is>
          <t>Föryngringsavverkning</t>
        </is>
      </c>
      <c r="D1754" s="1" t="n">
        <v>45231</v>
      </c>
      <c r="E1754" s="1" t="n">
        <v>46312</v>
      </c>
      <c r="F1754" t="inlineStr">
        <is>
          <t>SKÅNE LÄN</t>
        </is>
      </c>
      <c r="G1754" t="inlineStr">
        <is>
          <t>HÄSSLEHOLM</t>
        </is>
      </c>
      <c r="I1754" t="n">
        <v>0.5</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30673-2023</t>
        </is>
      </c>
      <c r="B1755" t="inlineStr">
        <is>
          <t>avverkningsanmälan</t>
        </is>
      </c>
      <c r="C1755" t="inlineStr">
        <is>
          <t>Föryngringsavverkning</t>
        </is>
      </c>
      <c r="D1755" s="1" t="n">
        <v>45112</v>
      </c>
      <c r="E1755" s="1" t="n">
        <v>46312</v>
      </c>
      <c r="F1755" t="inlineStr">
        <is>
          <t>SKÅNE LÄN</t>
        </is>
      </c>
      <c r="G1755" t="inlineStr">
        <is>
          <t>TOMELILLA</t>
        </is>
      </c>
      <c r="H1755" t="inlineStr">
        <is>
          <t>Övriga Aktiebolag</t>
        </is>
      </c>
      <c r="I1755" t="n">
        <v>2.4</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1107-2025</t>
        </is>
      </c>
      <c r="B1756" t="inlineStr">
        <is>
          <t>avverkningsanmälan</t>
        </is>
      </c>
      <c r="C1756" t="inlineStr">
        <is>
          <t>Föryngringsavverkning</t>
        </is>
      </c>
      <c r="D1756" s="1" t="n">
        <v>45666</v>
      </c>
      <c r="E1756" s="1" t="n">
        <v>46312</v>
      </c>
      <c r="F1756" t="inlineStr">
        <is>
          <t>SKÅNE LÄN</t>
        </is>
      </c>
      <c r="G1756" t="inlineStr">
        <is>
          <t>OSBY</t>
        </is>
      </c>
      <c r="I1756" t="n">
        <v>0.9</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11922-2023</t>
        </is>
      </c>
      <c r="B1757" t="inlineStr">
        <is>
          <t>avverkningsanmälan</t>
        </is>
      </c>
      <c r="C1757" t="inlineStr">
        <is>
          <t>Föryngringsavverkning</t>
        </is>
      </c>
      <c r="D1757" s="1" t="n">
        <v>44993</v>
      </c>
      <c r="E1757" s="1" t="n">
        <v>46312</v>
      </c>
      <c r="F1757" t="inlineStr">
        <is>
          <t>SKÅNE LÄN</t>
        </is>
      </c>
      <c r="G1757" t="inlineStr">
        <is>
          <t>SVALÖV</t>
        </is>
      </c>
      <c r="I1757" t="n">
        <v>0.9</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12468-2024</t>
        </is>
      </c>
      <c r="B1758" t="inlineStr">
        <is>
          <t>avverkningsanmälan</t>
        </is>
      </c>
      <c r="C1758" t="inlineStr">
        <is>
          <t>Föryngringsavverkning</t>
        </is>
      </c>
      <c r="D1758" s="1" t="n">
        <v>45379</v>
      </c>
      <c r="E1758" s="1" t="n">
        <v>46312</v>
      </c>
      <c r="F1758" t="inlineStr">
        <is>
          <t>SKÅNE LÄN</t>
        </is>
      </c>
      <c r="G1758" t="inlineStr">
        <is>
          <t>HÄSSLEHOLM</t>
        </is>
      </c>
      <c r="I1758" t="n">
        <v>15.5</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25669-2024</t>
        </is>
      </c>
      <c r="B1759" t="inlineStr">
        <is>
          <t>avverkningsanmälan</t>
        </is>
      </c>
      <c r="C1759" t="inlineStr">
        <is>
          <t>Föryngringsavverkning</t>
        </is>
      </c>
      <c r="D1759" s="1" t="n">
        <v>45463</v>
      </c>
      <c r="E1759" s="1" t="n">
        <v>46312</v>
      </c>
      <c r="F1759" t="inlineStr">
        <is>
          <t>SKÅNE LÄN</t>
        </is>
      </c>
      <c r="G1759" t="inlineStr">
        <is>
          <t>ÄNGELHOLM</t>
        </is>
      </c>
      <c r="I1759" t="n">
        <v>17.9</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59328-2023</t>
        </is>
      </c>
      <c r="B1760" t="inlineStr">
        <is>
          <t>avverkningsanmälan</t>
        </is>
      </c>
      <c r="C1760" t="inlineStr">
        <is>
          <t>Föryngringsavverkning</t>
        </is>
      </c>
      <c r="D1760" s="1" t="n">
        <v>45252</v>
      </c>
      <c r="E1760" s="1" t="n">
        <v>46312</v>
      </c>
      <c r="F1760" t="inlineStr">
        <is>
          <t>SKÅNE LÄN</t>
        </is>
      </c>
      <c r="G1760" t="inlineStr">
        <is>
          <t>ÖSTRA GÖINGE</t>
        </is>
      </c>
      <c r="I1760" t="n">
        <v>3.2</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24154-2023</t>
        </is>
      </c>
      <c r="B1761" t="inlineStr">
        <is>
          <t>avverkningsanmälan</t>
        </is>
      </c>
      <c r="C1761" t="inlineStr">
        <is>
          <t>Föryngringsavverkning</t>
        </is>
      </c>
      <c r="D1761" s="1" t="n">
        <v>45079</v>
      </c>
      <c r="E1761" s="1" t="n">
        <v>46312</v>
      </c>
      <c r="F1761" t="inlineStr">
        <is>
          <t>SKÅNE LÄN</t>
        </is>
      </c>
      <c r="G1761" t="inlineStr">
        <is>
          <t>ÖRKELLJUNGA</t>
        </is>
      </c>
      <c r="I1761" t="n">
        <v>1.8</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65211-2021</t>
        </is>
      </c>
      <c r="B1762" t="inlineStr">
        <is>
          <t>avverkningsanmälan</t>
        </is>
      </c>
      <c r="C1762" t="inlineStr">
        <is>
          <t>Föryngringsavverkning</t>
        </is>
      </c>
      <c r="D1762" s="1" t="n">
        <v>44515</v>
      </c>
      <c r="E1762" s="1" t="n">
        <v>46312</v>
      </c>
      <c r="F1762" t="inlineStr">
        <is>
          <t>SKÅNE LÄN</t>
        </is>
      </c>
      <c r="G1762" t="inlineStr">
        <is>
          <t>ÖRKELLJUNGA</t>
        </is>
      </c>
      <c r="I1762" t="n">
        <v>4.9</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57967-2023</t>
        </is>
      </c>
      <c r="B1763" t="inlineStr">
        <is>
          <t>avverkningsanmälan</t>
        </is>
      </c>
      <c r="C1763" t="inlineStr">
        <is>
          <t>Föryngringsavverkning</t>
        </is>
      </c>
      <c r="D1763" s="1" t="n">
        <v>45247</v>
      </c>
      <c r="E1763" s="1" t="n">
        <v>46312</v>
      </c>
      <c r="F1763" t="inlineStr">
        <is>
          <t>SKÅNE LÄN</t>
        </is>
      </c>
      <c r="G1763" t="inlineStr">
        <is>
          <t>HÄSSLEHOLM</t>
        </is>
      </c>
      <c r="I1763" t="n">
        <v>8.6</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57987-2023</t>
        </is>
      </c>
      <c r="B1764" t="inlineStr">
        <is>
          <t>avverkningsanmälan</t>
        </is>
      </c>
      <c r="C1764" t="inlineStr">
        <is>
          <t>Föryngringsavverkning</t>
        </is>
      </c>
      <c r="D1764" s="1" t="n">
        <v>45247</v>
      </c>
      <c r="E1764" s="1" t="n">
        <v>46312</v>
      </c>
      <c r="F1764" t="inlineStr">
        <is>
          <t>SKÅNE LÄN</t>
        </is>
      </c>
      <c r="G1764" t="inlineStr">
        <is>
          <t>KRISTIANSTAD</t>
        </is>
      </c>
      <c r="I1764" t="n">
        <v>2.7</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24765-2023</t>
        </is>
      </c>
      <c r="B1765" t="inlineStr">
        <is>
          <t>avverkningsanmälan</t>
        </is>
      </c>
      <c r="C1765" t="inlineStr">
        <is>
          <t>Föryngringsavverkning</t>
        </is>
      </c>
      <c r="D1765" s="1" t="n">
        <v>45084</v>
      </c>
      <c r="E1765" s="1" t="n">
        <v>46312</v>
      </c>
      <c r="F1765" t="inlineStr">
        <is>
          <t>SKÅNE LÄN</t>
        </is>
      </c>
      <c r="G1765" t="inlineStr">
        <is>
          <t>ÖRKELLJUNGA</t>
        </is>
      </c>
      <c r="I1765" t="n">
        <v>1.5</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29867-2023</t>
        </is>
      </c>
      <c r="B1766" t="inlineStr">
        <is>
          <t>avverkningsanmälan</t>
        </is>
      </c>
      <c r="C1766" t="inlineStr">
        <is>
          <t>Föryngringsavverkning</t>
        </is>
      </c>
      <c r="D1766" s="1" t="n">
        <v>45107</v>
      </c>
      <c r="E1766" s="1" t="n">
        <v>46312</v>
      </c>
      <c r="F1766" t="inlineStr">
        <is>
          <t>SKÅNE LÄN</t>
        </is>
      </c>
      <c r="G1766" t="inlineStr">
        <is>
          <t>PERSTORP</t>
        </is>
      </c>
      <c r="I1766" t="n">
        <v>6.2</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39244-2022</t>
        </is>
      </c>
      <c r="B1767" t="inlineStr">
        <is>
          <t>avverkningsanmälan</t>
        </is>
      </c>
      <c r="C1767" t="inlineStr">
        <is>
          <t>Föryngringsavverkning</t>
        </is>
      </c>
      <c r="D1767" s="1" t="n">
        <v>44817</v>
      </c>
      <c r="E1767" s="1" t="n">
        <v>46312</v>
      </c>
      <c r="F1767" t="inlineStr">
        <is>
          <t>SKÅNE LÄN</t>
        </is>
      </c>
      <c r="G1767" t="inlineStr">
        <is>
          <t>KLIPPAN</t>
        </is>
      </c>
      <c r="I1767" t="n">
        <v>1.4</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16838-2023</t>
        </is>
      </c>
      <c r="B1768" t="inlineStr">
        <is>
          <t>avverkningsanmälan</t>
        </is>
      </c>
      <c r="C1768" t="inlineStr">
        <is>
          <t>Föryngringsavverkning</t>
        </is>
      </c>
      <c r="D1768" s="1" t="n">
        <v>45033</v>
      </c>
      <c r="E1768" s="1" t="n">
        <v>46312</v>
      </c>
      <c r="F1768" t="inlineStr">
        <is>
          <t>SKÅNE LÄN</t>
        </is>
      </c>
      <c r="G1768" t="inlineStr">
        <is>
          <t>OSBY</t>
        </is>
      </c>
      <c r="I1768" t="n">
        <v>0.7</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17715-2023</t>
        </is>
      </c>
      <c r="B1769" t="inlineStr">
        <is>
          <t>avverkningsanmälan</t>
        </is>
      </c>
      <c r="C1769" t="inlineStr">
        <is>
          <t>Föryngringsavverkning</t>
        </is>
      </c>
      <c r="D1769" s="1" t="n">
        <v>45037</v>
      </c>
      <c r="E1769" s="1" t="n">
        <v>46312</v>
      </c>
      <c r="F1769" t="inlineStr">
        <is>
          <t>SKÅNE LÄN</t>
        </is>
      </c>
      <c r="G1769" t="inlineStr">
        <is>
          <t>OSBY</t>
        </is>
      </c>
      <c r="I1769" t="n">
        <v>1.9</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10781-2022</t>
        </is>
      </c>
      <c r="B1770" t="inlineStr">
        <is>
          <t>avverkningsanmälan</t>
        </is>
      </c>
      <c r="C1770" t="inlineStr">
        <is>
          <t>Föryngringsavverkning</t>
        </is>
      </c>
      <c r="D1770" s="1" t="n">
        <v>44627</v>
      </c>
      <c r="E1770" s="1" t="n">
        <v>46312</v>
      </c>
      <c r="F1770" t="inlineStr">
        <is>
          <t>SKÅNE LÄN</t>
        </is>
      </c>
      <c r="G1770" t="inlineStr">
        <is>
          <t>KRISTIANSTAD</t>
        </is>
      </c>
      <c r="I1770" t="n">
        <v>5.2</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50663-2024</t>
        </is>
      </c>
      <c r="B1771" t="inlineStr">
        <is>
          <t>avverkningsanmälan</t>
        </is>
      </c>
      <c r="C1771" t="inlineStr">
        <is>
          <t>Föryngringsavverkning</t>
        </is>
      </c>
      <c r="D1771" s="1" t="n">
        <v>45601</v>
      </c>
      <c r="E1771" s="1" t="n">
        <v>46312</v>
      </c>
      <c r="F1771" t="inlineStr">
        <is>
          <t>SKÅNE LÄN</t>
        </is>
      </c>
      <c r="G1771" t="inlineStr">
        <is>
          <t>ÖSTRA GÖINGE</t>
        </is>
      </c>
      <c r="I1771" t="n">
        <v>2.3</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20717-2023</t>
        </is>
      </c>
      <c r="B1772" t="inlineStr">
        <is>
          <t>avverkningsanmälan</t>
        </is>
      </c>
      <c r="C1772" t="inlineStr">
        <is>
          <t>Föryngringsavverkning</t>
        </is>
      </c>
      <c r="D1772" s="1" t="n">
        <v>45055</v>
      </c>
      <c r="E1772" s="1" t="n">
        <v>46312</v>
      </c>
      <c r="F1772" t="inlineStr">
        <is>
          <t>SKÅNE LÄN</t>
        </is>
      </c>
      <c r="G1772" t="inlineStr">
        <is>
          <t>KLIPPAN</t>
        </is>
      </c>
      <c r="I1772" t="n">
        <v>1.5</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22132-2024</t>
        </is>
      </c>
      <c r="B1773" t="inlineStr">
        <is>
          <t>avverkningsanmälan</t>
        </is>
      </c>
      <c r="C1773" t="inlineStr">
        <is>
          <t>Föryngringsavverkning</t>
        </is>
      </c>
      <c r="D1773" s="1" t="n">
        <v>45444</v>
      </c>
      <c r="E1773" s="1" t="n">
        <v>46312</v>
      </c>
      <c r="F1773" t="inlineStr">
        <is>
          <t>SKÅNE LÄN</t>
        </is>
      </c>
      <c r="G1773" t="inlineStr">
        <is>
          <t>HÄSSLEHOLM</t>
        </is>
      </c>
      <c r="I1773" t="n">
        <v>3.1</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37068-2023</t>
        </is>
      </c>
      <c r="B1774" t="inlineStr">
        <is>
          <t>avverkningsanmälan</t>
        </is>
      </c>
      <c r="C1774" t="inlineStr">
        <is>
          <t>Föryngringsavverkning</t>
        </is>
      </c>
      <c r="D1774" s="1" t="n">
        <v>45155</v>
      </c>
      <c r="E1774" s="1" t="n">
        <v>46312</v>
      </c>
      <c r="F1774" t="inlineStr">
        <is>
          <t>SKÅNE LÄN</t>
        </is>
      </c>
      <c r="G1774" t="inlineStr">
        <is>
          <t>KLIPPAN</t>
        </is>
      </c>
      <c r="I1774" t="n">
        <v>1.1</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4460-2025</t>
        </is>
      </c>
      <c r="B1775" t="inlineStr">
        <is>
          <t>avverkningsanmälan</t>
        </is>
      </c>
      <c r="C1775" t="inlineStr">
        <is>
          <t>Föryngringsavverkning</t>
        </is>
      </c>
      <c r="D1775" s="1" t="n">
        <v>45686</v>
      </c>
      <c r="E1775" s="1" t="n">
        <v>46312</v>
      </c>
      <c r="F1775" t="inlineStr">
        <is>
          <t>SKÅNE LÄN</t>
        </is>
      </c>
      <c r="G1775" t="inlineStr">
        <is>
          <t>ÖSTRA GÖINGE</t>
        </is>
      </c>
      <c r="I1775" t="n">
        <v>1.4</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32210-2024</t>
        </is>
      </c>
      <c r="B1776" t="inlineStr">
        <is>
          <t>avverkningsanmälan</t>
        </is>
      </c>
      <c r="C1776" t="inlineStr">
        <is>
          <t>Avverkning för annat ändamål</t>
        </is>
      </c>
      <c r="D1776" s="1" t="n">
        <v>45511</v>
      </c>
      <c r="E1776" s="1" t="n">
        <v>46312</v>
      </c>
      <c r="F1776" t="inlineStr">
        <is>
          <t>SKÅNE LÄN</t>
        </is>
      </c>
      <c r="G1776" t="inlineStr">
        <is>
          <t>HÄSSLEHOLM</t>
        </is>
      </c>
      <c r="I1776" t="n">
        <v>0.8</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27758-2022</t>
        </is>
      </c>
      <c r="B1777" t="inlineStr">
        <is>
          <t>avverkningsanmälan</t>
        </is>
      </c>
      <c r="C1777" t="inlineStr">
        <is>
          <t>Föryngringsavverkning</t>
        </is>
      </c>
      <c r="D1777" s="1" t="n">
        <v>44743</v>
      </c>
      <c r="E1777" s="1" t="n">
        <v>46312</v>
      </c>
      <c r="F1777" t="inlineStr">
        <is>
          <t>SKÅNE LÄN</t>
        </is>
      </c>
      <c r="G1777" t="inlineStr">
        <is>
          <t>OSBY</t>
        </is>
      </c>
      <c r="I1777" t="n">
        <v>0.8</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1235-2022</t>
        </is>
      </c>
      <c r="B1778" t="inlineStr">
        <is>
          <t>avverkningsanmälan</t>
        </is>
      </c>
      <c r="C1778" t="inlineStr">
        <is>
          <t>Föryngringsavverkning</t>
        </is>
      </c>
      <c r="D1778" s="1" t="n">
        <v>44572</v>
      </c>
      <c r="E1778" s="1" t="n">
        <v>46312</v>
      </c>
      <c r="F1778" t="inlineStr">
        <is>
          <t>SKÅNE LÄN</t>
        </is>
      </c>
      <c r="G1778" t="inlineStr">
        <is>
          <t>SJÖBO</t>
        </is>
      </c>
      <c r="I1778" t="n">
        <v>0.7</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31991-2023</t>
        </is>
      </c>
      <c r="B1779" t="inlineStr">
        <is>
          <t>avverkningsanmälan</t>
        </is>
      </c>
      <c r="C1779" t="inlineStr">
        <is>
          <t>Föryngringsavverkning</t>
        </is>
      </c>
      <c r="D1779" s="1" t="n">
        <v>45107</v>
      </c>
      <c r="E1779" s="1" t="n">
        <v>46312</v>
      </c>
      <c r="F1779" t="inlineStr">
        <is>
          <t>SKÅNE LÄN</t>
        </is>
      </c>
      <c r="G1779" t="inlineStr">
        <is>
          <t>OSBY</t>
        </is>
      </c>
      <c r="I1779" t="n">
        <v>1.5</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32103-2023</t>
        </is>
      </c>
      <c r="B1780" t="inlineStr">
        <is>
          <t>avverkningsanmälan</t>
        </is>
      </c>
      <c r="C1780" t="inlineStr">
        <is>
          <t>Föryngringsavverkning</t>
        </is>
      </c>
      <c r="D1780" s="1" t="n">
        <v>45119</v>
      </c>
      <c r="E1780" s="1" t="n">
        <v>46312</v>
      </c>
      <c r="F1780" t="inlineStr">
        <is>
          <t>SKÅNE LÄN</t>
        </is>
      </c>
      <c r="G1780" t="inlineStr">
        <is>
          <t>KRISTIANSTAD</t>
        </is>
      </c>
      <c r="I1780" t="n">
        <v>0.7</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32701-2023</t>
        </is>
      </c>
      <c r="B1781" t="inlineStr">
        <is>
          <t>avverkningsanmälan</t>
        </is>
      </c>
      <c r="C1781" t="inlineStr">
        <is>
          <t>Föryngringsavverkning</t>
        </is>
      </c>
      <c r="D1781" s="1" t="n">
        <v>45121</v>
      </c>
      <c r="E1781" s="1" t="n">
        <v>46312</v>
      </c>
      <c r="F1781" t="inlineStr">
        <is>
          <t>SKÅNE LÄN</t>
        </is>
      </c>
      <c r="G1781" t="inlineStr">
        <is>
          <t>KRISTIANSTAD</t>
        </is>
      </c>
      <c r="H1781" t="inlineStr">
        <is>
          <t>Sveaskog</t>
        </is>
      </c>
      <c r="I1781" t="n">
        <v>0.4</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14517-2023</t>
        </is>
      </c>
      <c r="B1782" t="inlineStr">
        <is>
          <t>avverkningsanmälan</t>
        </is>
      </c>
      <c r="C1782" t="inlineStr">
        <is>
          <t>Föryngringsavverkning</t>
        </is>
      </c>
      <c r="D1782" s="1" t="n">
        <v>45012</v>
      </c>
      <c r="E1782" s="1" t="n">
        <v>46312</v>
      </c>
      <c r="F1782" t="inlineStr">
        <is>
          <t>SKÅNE LÄN</t>
        </is>
      </c>
      <c r="G1782" t="inlineStr">
        <is>
          <t>ÅSTORP</t>
        </is>
      </c>
      <c r="I1782" t="n">
        <v>0.6</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1553-2023</t>
        </is>
      </c>
      <c r="B1783" t="inlineStr">
        <is>
          <t>avverkningsanmälan</t>
        </is>
      </c>
      <c r="C1783" t="inlineStr">
        <is>
          <t>Föryngringsavverkning</t>
        </is>
      </c>
      <c r="D1783" s="1" t="n">
        <v>44937</v>
      </c>
      <c r="E1783" s="1" t="n">
        <v>46312</v>
      </c>
      <c r="F1783" t="inlineStr">
        <is>
          <t>SKÅNE LÄN</t>
        </is>
      </c>
      <c r="G1783" t="inlineStr">
        <is>
          <t>HÄSSLEHOLM</t>
        </is>
      </c>
      <c r="I1783" t="n">
        <v>0.9</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2743-2023</t>
        </is>
      </c>
      <c r="B1784" t="inlineStr">
        <is>
          <t>avverkningsanmälan</t>
        </is>
      </c>
      <c r="C1784" t="inlineStr">
        <is>
          <t>Avverkning för att bevara och utveckla /försöksver</t>
        </is>
      </c>
      <c r="D1784" s="1" t="n">
        <v>44944</v>
      </c>
      <c r="E1784" s="1" t="n">
        <v>46312</v>
      </c>
      <c r="F1784" t="inlineStr">
        <is>
          <t>SKÅNE LÄN</t>
        </is>
      </c>
      <c r="G1784" t="inlineStr">
        <is>
          <t>HÄSSLEHOLM</t>
        </is>
      </c>
      <c r="H1784" t="inlineStr">
        <is>
          <t>Sveaskog</t>
        </is>
      </c>
      <c r="I1784" t="n">
        <v>1.9</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27237-2024</t>
        </is>
      </c>
      <c r="B1785" t="inlineStr">
        <is>
          <t>avverkningsanmälan</t>
        </is>
      </c>
      <c r="C1785" t="inlineStr">
        <is>
          <t>Föryngringsavverkning</t>
        </is>
      </c>
      <c r="D1785" s="1" t="n">
        <v>45471</v>
      </c>
      <c r="E1785" s="1" t="n">
        <v>46312</v>
      </c>
      <c r="F1785" t="inlineStr">
        <is>
          <t>SKÅNE LÄN</t>
        </is>
      </c>
      <c r="G1785" t="inlineStr">
        <is>
          <t>SJÖBO</t>
        </is>
      </c>
      <c r="I1785" t="n">
        <v>0.6</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2752-2023</t>
        </is>
      </c>
      <c r="B1786" t="inlineStr">
        <is>
          <t>avverkningsanmälan</t>
        </is>
      </c>
      <c r="C1786" t="inlineStr">
        <is>
          <t>Föryngringsavverkning</t>
        </is>
      </c>
      <c r="D1786" s="1" t="n">
        <v>44944</v>
      </c>
      <c r="E1786" s="1" t="n">
        <v>46312</v>
      </c>
      <c r="F1786" t="inlineStr">
        <is>
          <t>SKÅNE LÄN</t>
        </is>
      </c>
      <c r="G1786" t="inlineStr">
        <is>
          <t>HÖRBY</t>
        </is>
      </c>
      <c r="H1786" t="inlineStr">
        <is>
          <t>Sveaskog</t>
        </is>
      </c>
      <c r="I1786" t="n">
        <v>0.6</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32972-2024</t>
        </is>
      </c>
      <c r="B1787" t="inlineStr">
        <is>
          <t>avverkningsanmälan</t>
        </is>
      </c>
      <c r="C1787" t="inlineStr">
        <is>
          <t>Föryngringsavverkning</t>
        </is>
      </c>
      <c r="D1787" s="1" t="n">
        <v>45517</v>
      </c>
      <c r="E1787" s="1" t="n">
        <v>46312</v>
      </c>
      <c r="F1787" t="inlineStr">
        <is>
          <t>SKÅNE LÄN</t>
        </is>
      </c>
      <c r="G1787" t="inlineStr">
        <is>
          <t>LUND</t>
        </is>
      </c>
      <c r="H1787" t="inlineStr">
        <is>
          <t>Kommuner</t>
        </is>
      </c>
      <c r="I1787" t="n">
        <v>20.7</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60498-2023</t>
        </is>
      </c>
      <c r="B1788" t="inlineStr">
        <is>
          <t>avverkningsanmälan</t>
        </is>
      </c>
      <c r="C1788" t="inlineStr">
        <is>
          <t>Föryngringsavverkning</t>
        </is>
      </c>
      <c r="D1788" s="1" t="n">
        <v>45259</v>
      </c>
      <c r="E1788" s="1" t="n">
        <v>46312</v>
      </c>
      <c r="F1788" t="inlineStr">
        <is>
          <t>SKÅNE LÄN</t>
        </is>
      </c>
      <c r="G1788" t="inlineStr">
        <is>
          <t>PERSTORP</t>
        </is>
      </c>
      <c r="H1788" t="inlineStr">
        <is>
          <t>Övriga Aktiebolag</t>
        </is>
      </c>
      <c r="I1788" t="n">
        <v>3.5</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15467-2025</t>
        </is>
      </c>
      <c r="B1789" t="inlineStr">
        <is>
          <t>avverkningsanmälan</t>
        </is>
      </c>
      <c r="C1789" t="inlineStr">
        <is>
          <t>Föryngringsavverkning</t>
        </is>
      </c>
      <c r="D1789" s="1" t="n">
        <v>45747</v>
      </c>
      <c r="E1789" s="1" t="n">
        <v>46312</v>
      </c>
      <c r="F1789" t="inlineStr">
        <is>
          <t>SKÅNE LÄN</t>
        </is>
      </c>
      <c r="G1789" t="inlineStr">
        <is>
          <t>ESLÖV</t>
        </is>
      </c>
      <c r="I1789" t="n">
        <v>1.4</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8749-2024</t>
        </is>
      </c>
      <c r="B1790" t="inlineStr">
        <is>
          <t>avverkningsanmälan</t>
        </is>
      </c>
      <c r="C1790" t="inlineStr">
        <is>
          <t>Föryngringsavverkning</t>
        </is>
      </c>
      <c r="D1790" s="1" t="n">
        <v>45356</v>
      </c>
      <c r="E1790" s="1" t="n">
        <v>46312</v>
      </c>
      <c r="F1790" t="inlineStr">
        <is>
          <t>SKÅNE LÄN</t>
        </is>
      </c>
      <c r="G1790" t="inlineStr">
        <is>
          <t>HÄSSLEHOLM</t>
        </is>
      </c>
      <c r="I1790" t="n">
        <v>2.9</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8752-2024</t>
        </is>
      </c>
      <c r="B1791" t="inlineStr">
        <is>
          <t>avverkningsanmälan</t>
        </is>
      </c>
      <c r="C1791" t="inlineStr">
        <is>
          <t>Föryngringsavverkning</t>
        </is>
      </c>
      <c r="D1791" s="1" t="n">
        <v>45356</v>
      </c>
      <c r="E1791" s="1" t="n">
        <v>46312</v>
      </c>
      <c r="F1791" t="inlineStr">
        <is>
          <t>SKÅNE LÄN</t>
        </is>
      </c>
      <c r="G1791" t="inlineStr">
        <is>
          <t>HÄSSLEHOLM</t>
        </is>
      </c>
      <c r="I1791" t="n">
        <v>3.4</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8759-2024</t>
        </is>
      </c>
      <c r="B1792" t="inlineStr">
        <is>
          <t>avverkningsanmälan</t>
        </is>
      </c>
      <c r="C1792" t="inlineStr">
        <is>
          <t>Föryngringsavverkning</t>
        </is>
      </c>
      <c r="D1792" s="1" t="n">
        <v>45356</v>
      </c>
      <c r="E1792" s="1" t="n">
        <v>46312</v>
      </c>
      <c r="F1792" t="inlineStr">
        <is>
          <t>SKÅNE LÄN</t>
        </is>
      </c>
      <c r="G1792" t="inlineStr">
        <is>
          <t>HÄSSLEHOLM</t>
        </is>
      </c>
      <c r="I1792" t="n">
        <v>5.7</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59434-2023</t>
        </is>
      </c>
      <c r="B1793" t="inlineStr">
        <is>
          <t>avverkningsanmälan</t>
        </is>
      </c>
      <c r="C1793" t="inlineStr">
        <is>
          <t>Föryngringsavverkning</t>
        </is>
      </c>
      <c r="D1793" s="1" t="n">
        <v>45254</v>
      </c>
      <c r="E1793" s="1" t="n">
        <v>46312</v>
      </c>
      <c r="F1793" t="inlineStr">
        <is>
          <t>SKÅNE LÄN</t>
        </is>
      </c>
      <c r="G1793" t="inlineStr">
        <is>
          <t>HÄSSLEHOLM</t>
        </is>
      </c>
      <c r="I1793" t="n">
        <v>3.6</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46627-2024</t>
        </is>
      </c>
      <c r="B1794" t="inlineStr">
        <is>
          <t>avverkningsanmälan</t>
        </is>
      </c>
      <c r="C1794" t="inlineStr">
        <is>
          <t>Föryngringsavverkning</t>
        </is>
      </c>
      <c r="D1794" s="1" t="n">
        <v>45583</v>
      </c>
      <c r="E1794" s="1" t="n">
        <v>46312</v>
      </c>
      <c r="F1794" t="inlineStr">
        <is>
          <t>SKÅNE LÄN</t>
        </is>
      </c>
      <c r="G1794" t="inlineStr">
        <is>
          <t>KRISTIANSTAD</t>
        </is>
      </c>
      <c r="I1794" t="n">
        <v>0.8</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68592-2021</t>
        </is>
      </c>
      <c r="B1795" t="inlineStr">
        <is>
          <t>avverkningsanmälan</t>
        </is>
      </c>
      <c r="C1795" t="inlineStr">
        <is>
          <t>Föryngringsavverkning</t>
        </is>
      </c>
      <c r="D1795" s="1" t="n">
        <v>44529</v>
      </c>
      <c r="E1795" s="1" t="n">
        <v>46312</v>
      </c>
      <c r="F1795" t="inlineStr">
        <is>
          <t>SKÅNE LÄN</t>
        </is>
      </c>
      <c r="G1795" t="inlineStr">
        <is>
          <t>OSBY</t>
        </is>
      </c>
      <c r="I1795" t="n">
        <v>1.3</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64626-2023</t>
        </is>
      </c>
      <c r="B1796" t="inlineStr">
        <is>
          <t>avverkningsanmälan</t>
        </is>
      </c>
      <c r="C1796" t="inlineStr">
        <is>
          <t>Föryngringsavverkning</t>
        </is>
      </c>
      <c r="D1796" s="1" t="n">
        <v>45281</v>
      </c>
      <c r="E1796" s="1" t="n">
        <v>46312</v>
      </c>
      <c r="F1796" t="inlineStr">
        <is>
          <t>SKÅNE LÄN</t>
        </is>
      </c>
      <c r="G1796" t="inlineStr">
        <is>
          <t>KRISTIANSTAD</t>
        </is>
      </c>
      <c r="I1796" t="n">
        <v>2.4</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2290-2024</t>
        </is>
      </c>
      <c r="B1797" t="inlineStr">
        <is>
          <t>avverkningsanmälan</t>
        </is>
      </c>
      <c r="C1797" t="inlineStr">
        <is>
          <t>Avverkning för annat ändamål</t>
        </is>
      </c>
      <c r="D1797" s="1" t="n">
        <v>45310</v>
      </c>
      <c r="E1797" s="1" t="n">
        <v>46312</v>
      </c>
      <c r="F1797" t="inlineStr">
        <is>
          <t>SKÅNE LÄN</t>
        </is>
      </c>
      <c r="G1797" t="inlineStr">
        <is>
          <t>HÄSSLEHOLM</t>
        </is>
      </c>
      <c r="I1797" t="n">
        <v>0.6</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28236-2022</t>
        </is>
      </c>
      <c r="B1798" t="inlineStr">
        <is>
          <t>avverkningsanmälan</t>
        </is>
      </c>
      <c r="C1798" t="inlineStr">
        <is>
          <t>Föryngringsavverkning</t>
        </is>
      </c>
      <c r="D1798" s="1" t="n">
        <v>44746</v>
      </c>
      <c r="E1798" s="1" t="n">
        <v>46312</v>
      </c>
      <c r="F1798" t="inlineStr">
        <is>
          <t>SKÅNE LÄN</t>
        </is>
      </c>
      <c r="G1798" t="inlineStr">
        <is>
          <t>HÄSSLEHOLM</t>
        </is>
      </c>
      <c r="I1798" t="n">
        <v>3.5</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28240-2022</t>
        </is>
      </c>
      <c r="B1799" t="inlineStr">
        <is>
          <t>avverkningsanmälan</t>
        </is>
      </c>
      <c r="C1799" t="inlineStr">
        <is>
          <t>Föryngringsavverkning</t>
        </is>
      </c>
      <c r="D1799" s="1" t="n">
        <v>44746</v>
      </c>
      <c r="E1799" s="1" t="n">
        <v>46312</v>
      </c>
      <c r="F1799" t="inlineStr">
        <is>
          <t>SKÅNE LÄN</t>
        </is>
      </c>
      <c r="G1799" t="inlineStr">
        <is>
          <t>OSBY</t>
        </is>
      </c>
      <c r="I1799" t="n">
        <v>2.3</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33067-2024</t>
        </is>
      </c>
      <c r="B1800" t="inlineStr">
        <is>
          <t>avverkningsanmälan</t>
        </is>
      </c>
      <c r="C1800" t="inlineStr">
        <is>
          <t>Föryngringsavverkning</t>
        </is>
      </c>
      <c r="D1800" s="1" t="n">
        <v>45517</v>
      </c>
      <c r="E1800" s="1" t="n">
        <v>46312</v>
      </c>
      <c r="F1800" t="inlineStr">
        <is>
          <t>SKÅNE LÄN</t>
        </is>
      </c>
      <c r="G1800" t="inlineStr">
        <is>
          <t>HÄSSLEHOLM</t>
        </is>
      </c>
      <c r="I1800" t="n">
        <v>0.4</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46515-2022</t>
        </is>
      </c>
      <c r="B1801" t="inlineStr">
        <is>
          <t>avverkningsanmälan</t>
        </is>
      </c>
      <c r="C1801" t="inlineStr">
        <is>
          <t>Föryngringsavverkning</t>
        </is>
      </c>
      <c r="D1801" s="1" t="n">
        <v>44847</v>
      </c>
      <c r="E1801" s="1" t="n">
        <v>46312</v>
      </c>
      <c r="F1801" t="inlineStr">
        <is>
          <t>SKÅNE LÄN</t>
        </is>
      </c>
      <c r="G1801" t="inlineStr">
        <is>
          <t>KRISTIANSTAD</t>
        </is>
      </c>
      <c r="I1801" t="n">
        <v>4.6</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27318-2022</t>
        </is>
      </c>
      <c r="B1802" t="inlineStr">
        <is>
          <t>avverkningsanmälan</t>
        </is>
      </c>
      <c r="C1802" t="inlineStr">
        <is>
          <t>Föryngringsavverkning</t>
        </is>
      </c>
      <c r="D1802" s="1" t="n">
        <v>44742</v>
      </c>
      <c r="E1802" s="1" t="n">
        <v>46312</v>
      </c>
      <c r="F1802" t="inlineStr">
        <is>
          <t>SKÅNE LÄN</t>
        </is>
      </c>
      <c r="G1802" t="inlineStr">
        <is>
          <t>ÖSTRA GÖINGE</t>
        </is>
      </c>
      <c r="I1802" t="n">
        <v>8.300000000000001</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34303-2024</t>
        </is>
      </c>
      <c r="B1803" t="inlineStr">
        <is>
          <t>avverkningsanmälan</t>
        </is>
      </c>
      <c r="C1803" t="inlineStr">
        <is>
          <t>Föryngringsavverkning</t>
        </is>
      </c>
      <c r="D1803" s="1" t="n">
        <v>45524</v>
      </c>
      <c r="E1803" s="1" t="n">
        <v>46312</v>
      </c>
      <c r="F1803" t="inlineStr">
        <is>
          <t>SKÅNE LÄN</t>
        </is>
      </c>
      <c r="G1803" t="inlineStr">
        <is>
          <t>OSBY</t>
        </is>
      </c>
      <c r="I1803" t="n">
        <v>0.5</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34310-2024</t>
        </is>
      </c>
      <c r="B1804" t="inlineStr">
        <is>
          <t>avverkningsanmälan</t>
        </is>
      </c>
      <c r="C1804" t="inlineStr">
        <is>
          <t>Föryngringsavverkning</t>
        </is>
      </c>
      <c r="D1804" s="1" t="n">
        <v>45524</v>
      </c>
      <c r="E1804" s="1" t="n">
        <v>46312</v>
      </c>
      <c r="F1804" t="inlineStr">
        <is>
          <t>SKÅNE LÄN</t>
        </is>
      </c>
      <c r="G1804" t="inlineStr">
        <is>
          <t>SKURUP</t>
        </is>
      </c>
      <c r="I1804" t="n">
        <v>4.8</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37082-2023</t>
        </is>
      </c>
      <c r="B1805" t="inlineStr">
        <is>
          <t>avverkningsanmälan</t>
        </is>
      </c>
      <c r="C1805" t="inlineStr">
        <is>
          <t>Avverkning för annat ändamål</t>
        </is>
      </c>
      <c r="D1805" s="1" t="n">
        <v>45155</v>
      </c>
      <c r="E1805" s="1" t="n">
        <v>46312</v>
      </c>
      <c r="F1805" t="inlineStr">
        <is>
          <t>SKÅNE LÄN</t>
        </is>
      </c>
      <c r="G1805" t="inlineStr">
        <is>
          <t>HÖRBY</t>
        </is>
      </c>
      <c r="I1805" t="n">
        <v>0.5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2114-2025</t>
        </is>
      </c>
      <c r="B1806" t="inlineStr">
        <is>
          <t>avverkningsanmälan</t>
        </is>
      </c>
      <c r="C1806" t="inlineStr">
        <is>
          <t>Föryngringsavverkning</t>
        </is>
      </c>
      <c r="D1806" s="1" t="n">
        <v>45672</v>
      </c>
      <c r="E1806" s="1" t="n">
        <v>46312</v>
      </c>
      <c r="F1806" t="inlineStr">
        <is>
          <t>SKÅNE LÄN</t>
        </is>
      </c>
      <c r="G1806" t="inlineStr">
        <is>
          <t>HÖÖR</t>
        </is>
      </c>
      <c r="I1806" t="n">
        <v>1.7</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30142-2024</t>
        </is>
      </c>
      <c r="B1807" t="inlineStr">
        <is>
          <t>avverkningsanmälan</t>
        </is>
      </c>
      <c r="C1807" t="inlineStr">
        <is>
          <t>Föryngringsavverkning</t>
        </is>
      </c>
      <c r="D1807" s="1" t="n">
        <v>45489</v>
      </c>
      <c r="E1807" s="1" t="n">
        <v>46312</v>
      </c>
      <c r="F1807" t="inlineStr">
        <is>
          <t>SKÅNE LÄN</t>
        </is>
      </c>
      <c r="G1807" t="inlineStr">
        <is>
          <t>ÖSTRA GÖINGE</t>
        </is>
      </c>
      <c r="I1807" t="n">
        <v>11.9</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61625-2022</t>
        </is>
      </c>
      <c r="B1808" t="inlineStr">
        <is>
          <t>avverkningsanmälan</t>
        </is>
      </c>
      <c r="C1808" t="inlineStr">
        <is>
          <t>Föryngringsavverkning</t>
        </is>
      </c>
      <c r="D1808" s="1" t="n">
        <v>44916</v>
      </c>
      <c r="E1808" s="1" t="n">
        <v>46312</v>
      </c>
      <c r="F1808" t="inlineStr">
        <is>
          <t>SKÅNE LÄN</t>
        </is>
      </c>
      <c r="G1808" t="inlineStr">
        <is>
          <t>HÄSSLEHOLM</t>
        </is>
      </c>
      <c r="I1808" t="n">
        <v>2.4</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7337-2024</t>
        </is>
      </c>
      <c r="B1809" t="inlineStr">
        <is>
          <t>avverkningsanmälan</t>
        </is>
      </c>
      <c r="C1809" t="inlineStr">
        <is>
          <t>Föryngringsavverkning</t>
        </is>
      </c>
      <c r="D1809" s="1" t="n">
        <v>45345</v>
      </c>
      <c r="E1809" s="1" t="n">
        <v>46312</v>
      </c>
      <c r="F1809" t="inlineStr">
        <is>
          <t>SKÅNE LÄN</t>
        </is>
      </c>
      <c r="G1809" t="inlineStr">
        <is>
          <t>ÄNGELHOLM</t>
        </is>
      </c>
      <c r="I1809" t="n">
        <v>2.6</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47237-2024</t>
        </is>
      </c>
      <c r="B1810" t="inlineStr">
        <is>
          <t>avverkningsanmälan</t>
        </is>
      </c>
      <c r="C1810" t="inlineStr">
        <is>
          <t>Föryngringsavverkning</t>
        </is>
      </c>
      <c r="D1810" s="1" t="n">
        <v>45586</v>
      </c>
      <c r="E1810" s="1" t="n">
        <v>46312</v>
      </c>
      <c r="F1810" t="inlineStr">
        <is>
          <t>SKÅNE LÄN</t>
        </is>
      </c>
      <c r="G1810" t="inlineStr">
        <is>
          <t>KRISTIANSTAD</t>
        </is>
      </c>
      <c r="H1810" t="inlineStr">
        <is>
          <t>Övriga Aktiebolag</t>
        </is>
      </c>
      <c r="I1810" t="n">
        <v>11.2</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53299-2023</t>
        </is>
      </c>
      <c r="B1811" t="inlineStr">
        <is>
          <t>avverkningsanmälan</t>
        </is>
      </c>
      <c r="C1811" t="inlineStr">
        <is>
          <t>Avverkning för annat ändamål</t>
        </is>
      </c>
      <c r="D1811" s="1" t="n">
        <v>45229</v>
      </c>
      <c r="E1811" s="1" t="n">
        <v>46312</v>
      </c>
      <c r="F1811" t="inlineStr">
        <is>
          <t>SKÅNE LÄN</t>
        </is>
      </c>
      <c r="G1811" t="inlineStr">
        <is>
          <t>KRISTIANSTAD</t>
        </is>
      </c>
      <c r="I1811" t="n">
        <v>1.8</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18333-2025</t>
        </is>
      </c>
      <c r="B1812" t="inlineStr">
        <is>
          <t>avverkningsanmälan</t>
        </is>
      </c>
      <c r="C1812" t="inlineStr">
        <is>
          <t>Föryngringsavverkning</t>
        </is>
      </c>
      <c r="D1812" s="1" t="n">
        <v>45762</v>
      </c>
      <c r="E1812" s="1" t="n">
        <v>46312</v>
      </c>
      <c r="F1812" t="inlineStr">
        <is>
          <t>SKÅNE LÄN</t>
        </is>
      </c>
      <c r="G1812" t="inlineStr">
        <is>
          <t>OSBY</t>
        </is>
      </c>
      <c r="I1812" t="n">
        <v>3.1</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20302-2026</t>
        </is>
      </c>
      <c r="B1813" t="inlineStr">
        <is>
          <t>avverkningsanmälan</t>
        </is>
      </c>
      <c r="C1813" t="inlineStr">
        <is>
          <t>Avverkning för annat ändamål</t>
        </is>
      </c>
      <c r="D1813" s="1" t="n">
        <v>46136</v>
      </c>
      <c r="E1813" s="1" t="n">
        <v>46312</v>
      </c>
      <c r="F1813" t="inlineStr">
        <is>
          <t>SKÅNE LÄN</t>
        </is>
      </c>
      <c r="G1813" t="inlineStr">
        <is>
          <t>KRISTIANSTAD</t>
        </is>
      </c>
      <c r="I1813" t="n">
        <v>0.3</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981-2023</t>
        </is>
      </c>
      <c r="B1814" t="inlineStr">
        <is>
          <t>avverkningsanmälan</t>
        </is>
      </c>
      <c r="C1814" t="inlineStr">
        <is>
          <t>Föryngringsavverkning</t>
        </is>
      </c>
      <c r="D1814" s="1" t="n">
        <v>44935</v>
      </c>
      <c r="E1814" s="1" t="n">
        <v>46312</v>
      </c>
      <c r="F1814" t="inlineStr">
        <is>
          <t>SKÅNE LÄN</t>
        </is>
      </c>
      <c r="G1814" t="inlineStr">
        <is>
          <t>ÖRKELLJUNGA</t>
        </is>
      </c>
      <c r="I1814" t="n">
        <v>1</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935-2026</t>
        </is>
      </c>
      <c r="B1815" t="inlineStr">
        <is>
          <t>avverkningsanmälan</t>
        </is>
      </c>
      <c r="C1815" t="inlineStr">
        <is>
          <t>Föryngringsavverkning</t>
        </is>
      </c>
      <c r="D1815" s="1" t="n">
        <v>46030</v>
      </c>
      <c r="E1815" s="1" t="n">
        <v>46312</v>
      </c>
      <c r="F1815" t="inlineStr">
        <is>
          <t>SKÅNE LÄN</t>
        </is>
      </c>
      <c r="G1815" t="inlineStr">
        <is>
          <t>ÖSTRA GÖINGE</t>
        </is>
      </c>
      <c r="H1815" t="inlineStr">
        <is>
          <t>Sveaskog</t>
        </is>
      </c>
      <c r="I1815" t="n">
        <v>6.3</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25824-2025</t>
        </is>
      </c>
      <c r="B1816" t="inlineStr">
        <is>
          <t>avverkningsanmälan</t>
        </is>
      </c>
      <c r="C1816" t="inlineStr">
        <is>
          <t>Föryngringsavverkning</t>
        </is>
      </c>
      <c r="D1816" s="1" t="n">
        <v>45804</v>
      </c>
      <c r="E1816" s="1" t="n">
        <v>46312</v>
      </c>
      <c r="F1816" t="inlineStr">
        <is>
          <t>SKÅNE LÄN</t>
        </is>
      </c>
      <c r="G1816" t="inlineStr">
        <is>
          <t>ÖSTRA GÖINGE</t>
        </is>
      </c>
      <c r="I1816" t="n">
        <v>2.3</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36952-2023</t>
        </is>
      </c>
      <c r="B1817" t="inlineStr">
        <is>
          <t>avverkningsanmälan</t>
        </is>
      </c>
      <c r="C1817" t="inlineStr">
        <is>
          <t>Föryngringsavverkning</t>
        </is>
      </c>
      <c r="D1817" s="1" t="n">
        <v>45154</v>
      </c>
      <c r="E1817" s="1" t="n">
        <v>46312</v>
      </c>
      <c r="F1817" t="inlineStr">
        <is>
          <t>SKÅNE LÄN</t>
        </is>
      </c>
      <c r="G1817" t="inlineStr">
        <is>
          <t>OSBY</t>
        </is>
      </c>
      <c r="I1817" t="n">
        <v>1.1</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44864-2025</t>
        </is>
      </c>
      <c r="B1818" t="inlineStr">
        <is>
          <t>avverkningsanmälan</t>
        </is>
      </c>
      <c r="C1818" t="inlineStr">
        <is>
          <t>Föryngringsavverkning</t>
        </is>
      </c>
      <c r="D1818" s="1" t="n">
        <v>45918</v>
      </c>
      <c r="E1818" s="1" t="n">
        <v>46312</v>
      </c>
      <c r="F1818" t="inlineStr">
        <is>
          <t>SKÅNE LÄN</t>
        </is>
      </c>
      <c r="G1818" t="inlineStr">
        <is>
          <t>ÖRKELLJUNGA</t>
        </is>
      </c>
      <c r="I1818" t="n">
        <v>4.1</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34810-2023</t>
        </is>
      </c>
      <c r="B1819" t="inlineStr">
        <is>
          <t>avverkningsanmälan</t>
        </is>
      </c>
      <c r="C1819" t="inlineStr">
        <is>
          <t>Föryngringsavverkning</t>
        </is>
      </c>
      <c r="D1819" s="1" t="n">
        <v>45141</v>
      </c>
      <c r="E1819" s="1" t="n">
        <v>46312</v>
      </c>
      <c r="F1819" t="inlineStr">
        <is>
          <t>SKÅNE LÄN</t>
        </is>
      </c>
      <c r="G1819" t="inlineStr">
        <is>
          <t>SVALÖV</t>
        </is>
      </c>
      <c r="I1819" t="n">
        <v>7</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24675-2025</t>
        </is>
      </c>
      <c r="B1820" t="inlineStr">
        <is>
          <t>avverkningsanmälan</t>
        </is>
      </c>
      <c r="C1820" t="inlineStr">
        <is>
          <t>Föryngringsavverkning</t>
        </is>
      </c>
      <c r="D1820" s="1" t="n">
        <v>45798</v>
      </c>
      <c r="E1820" s="1" t="n">
        <v>46312</v>
      </c>
      <c r="F1820" t="inlineStr">
        <is>
          <t>SKÅNE LÄN</t>
        </is>
      </c>
      <c r="G1820" t="inlineStr">
        <is>
          <t>HÄSSLEHOLM</t>
        </is>
      </c>
      <c r="I1820" t="n">
        <v>1.8</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38784-2025</t>
        </is>
      </c>
      <c r="B1821" t="inlineStr">
        <is>
          <t>avverkningsanmälan</t>
        </is>
      </c>
      <c r="C1821" t="inlineStr">
        <is>
          <t>Föryngringsavverkning</t>
        </is>
      </c>
      <c r="D1821" s="1" t="n">
        <v>45887</v>
      </c>
      <c r="E1821" s="1" t="n">
        <v>46312</v>
      </c>
      <c r="F1821" t="inlineStr">
        <is>
          <t>SKÅNE LÄN</t>
        </is>
      </c>
      <c r="G1821" t="inlineStr">
        <is>
          <t>KRISTIANSTAD</t>
        </is>
      </c>
      <c r="I1821" t="n">
        <v>12.9</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48217-2022</t>
        </is>
      </c>
      <c r="B1822" t="inlineStr">
        <is>
          <t>avverkningsanmälan</t>
        </is>
      </c>
      <c r="C1822" t="inlineStr">
        <is>
          <t>Föryngringsavverkning</t>
        </is>
      </c>
      <c r="D1822" s="1" t="n">
        <v>44853</v>
      </c>
      <c r="E1822" s="1" t="n">
        <v>46312</v>
      </c>
      <c r="F1822" t="inlineStr">
        <is>
          <t>SKÅNE LÄN</t>
        </is>
      </c>
      <c r="G1822" t="inlineStr">
        <is>
          <t>KRISTIANSTAD</t>
        </is>
      </c>
      <c r="H1822" t="inlineStr">
        <is>
          <t>Kyrkan</t>
        </is>
      </c>
      <c r="I1822" t="n">
        <v>2.8</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60704-2023</t>
        </is>
      </c>
      <c r="B1823" t="inlineStr">
        <is>
          <t>avverkningsanmälan</t>
        </is>
      </c>
      <c r="C1823" t="inlineStr">
        <is>
          <t>Föryngringsavverkning</t>
        </is>
      </c>
      <c r="D1823" s="1" t="n">
        <v>45260</v>
      </c>
      <c r="E1823" s="1" t="n">
        <v>46312</v>
      </c>
      <c r="F1823" t="inlineStr">
        <is>
          <t>SKÅNE LÄN</t>
        </is>
      </c>
      <c r="G1823" t="inlineStr">
        <is>
          <t>HÄSSLEHOLM</t>
        </is>
      </c>
      <c r="I1823" t="n">
        <v>2.1</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13345-2025</t>
        </is>
      </c>
      <c r="B1824" t="inlineStr">
        <is>
          <t>avverkningsanmälan</t>
        </is>
      </c>
      <c r="C1824" t="inlineStr">
        <is>
          <t>Föryngringsavverkning</t>
        </is>
      </c>
      <c r="D1824" s="1" t="n">
        <v>45735</v>
      </c>
      <c r="E1824" s="1" t="n">
        <v>46312</v>
      </c>
      <c r="F1824" t="inlineStr">
        <is>
          <t>SKÅNE LÄN</t>
        </is>
      </c>
      <c r="G1824" t="inlineStr">
        <is>
          <t>HÄSSLEHOLM</t>
        </is>
      </c>
      <c r="I1824" t="n">
        <v>1.3</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52286-2023</t>
        </is>
      </c>
      <c r="B1825" t="inlineStr">
        <is>
          <t>avverkningsanmälan</t>
        </is>
      </c>
      <c r="C1825" t="inlineStr">
        <is>
          <t>Föryngringsavverkning</t>
        </is>
      </c>
      <c r="D1825" s="1" t="n">
        <v>45224</v>
      </c>
      <c r="E1825" s="1" t="n">
        <v>46312</v>
      </c>
      <c r="F1825" t="inlineStr">
        <is>
          <t>SKÅNE LÄN</t>
        </is>
      </c>
      <c r="G1825" t="inlineStr">
        <is>
          <t>KLIPPAN</t>
        </is>
      </c>
      <c r="I1825" t="n">
        <v>0.6</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38829-2024</t>
        </is>
      </c>
      <c r="B1826" t="inlineStr">
        <is>
          <t>avverkningsanmälan</t>
        </is>
      </c>
      <c r="C1826" t="inlineStr">
        <is>
          <t>Föryngringsavverkning</t>
        </is>
      </c>
      <c r="D1826" s="1" t="n">
        <v>45547</v>
      </c>
      <c r="E1826" s="1" t="n">
        <v>46312</v>
      </c>
      <c r="F1826" t="inlineStr">
        <is>
          <t>SKÅNE LÄN</t>
        </is>
      </c>
      <c r="G1826" t="inlineStr">
        <is>
          <t>HÄSSLEHOLM</t>
        </is>
      </c>
      <c r="I1826" t="n">
        <v>1.8</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42435-2024</t>
        </is>
      </c>
      <c r="B1827" t="inlineStr">
        <is>
          <t>avverkningsanmälan</t>
        </is>
      </c>
      <c r="C1827" t="inlineStr">
        <is>
          <t>Föryngringsavverkning</t>
        </is>
      </c>
      <c r="D1827" s="1" t="n">
        <v>45565</v>
      </c>
      <c r="E1827" s="1" t="n">
        <v>46312</v>
      </c>
      <c r="F1827" t="inlineStr">
        <is>
          <t>SKÅNE LÄN</t>
        </is>
      </c>
      <c r="G1827" t="inlineStr">
        <is>
          <t>PERSTORP</t>
        </is>
      </c>
      <c r="I1827" t="n">
        <v>1.9</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6782-2022</t>
        </is>
      </c>
      <c r="B1828" t="inlineStr">
        <is>
          <t>avverkningsanmälan</t>
        </is>
      </c>
      <c r="C1828" t="inlineStr">
        <is>
          <t>Föryngringsavverkning</t>
        </is>
      </c>
      <c r="D1828" s="1" t="n">
        <v>44602</v>
      </c>
      <c r="E1828" s="1" t="n">
        <v>46312</v>
      </c>
      <c r="F1828" t="inlineStr">
        <is>
          <t>SKÅNE LÄN</t>
        </is>
      </c>
      <c r="G1828" t="inlineStr">
        <is>
          <t>ÖSTRA GÖINGE</t>
        </is>
      </c>
      <c r="I1828" t="n">
        <v>1.4</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1199-2024</t>
        </is>
      </c>
      <c r="B1829" t="inlineStr">
        <is>
          <t>avverkningsanmälan</t>
        </is>
      </c>
      <c r="C1829" t="inlineStr">
        <is>
          <t>Föryngringsavverkning</t>
        </is>
      </c>
      <c r="D1829" s="1" t="n">
        <v>45302</v>
      </c>
      <c r="E1829" s="1" t="n">
        <v>46312</v>
      </c>
      <c r="F1829" t="inlineStr">
        <is>
          <t>SKÅNE LÄN</t>
        </is>
      </c>
      <c r="G1829" t="inlineStr">
        <is>
          <t>TOMELILLA</t>
        </is>
      </c>
      <c r="H1829" t="inlineStr">
        <is>
          <t>Övriga Aktiebolag</t>
        </is>
      </c>
      <c r="I1829" t="n">
        <v>16.1</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7072-2024</t>
        </is>
      </c>
      <c r="B1830" t="inlineStr">
        <is>
          <t>avverkningsanmälan</t>
        </is>
      </c>
      <c r="C1830" t="inlineStr">
        <is>
          <t>Föryngringsavverkning</t>
        </is>
      </c>
      <c r="D1830" s="1" t="n">
        <v>45343</v>
      </c>
      <c r="E1830" s="1" t="n">
        <v>46312</v>
      </c>
      <c r="F1830" t="inlineStr">
        <is>
          <t>SKÅNE LÄN</t>
        </is>
      </c>
      <c r="G1830" t="inlineStr">
        <is>
          <t>SIMRISHAMN</t>
        </is>
      </c>
      <c r="I1830" t="n">
        <v>5.1</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1575-2023</t>
        </is>
      </c>
      <c r="B1831" t="inlineStr">
        <is>
          <t>avverkningsanmälan</t>
        </is>
      </c>
      <c r="C1831" t="inlineStr">
        <is>
          <t>Föryngringsavverkning</t>
        </is>
      </c>
      <c r="D1831" s="1" t="n">
        <v>44937</v>
      </c>
      <c r="E1831" s="1" t="n">
        <v>46312</v>
      </c>
      <c r="F1831" t="inlineStr">
        <is>
          <t>SKÅNE LÄN</t>
        </is>
      </c>
      <c r="G1831" t="inlineStr">
        <is>
          <t>ÖSTRA GÖINGE</t>
        </is>
      </c>
      <c r="I1831" t="n">
        <v>1.4</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61841-2025</t>
        </is>
      </c>
      <c r="B1832" t="inlineStr">
        <is>
          <t>avverkningsanmälan</t>
        </is>
      </c>
      <c r="C1832" t="inlineStr">
        <is>
          <t>Föryngringsavverkning</t>
        </is>
      </c>
      <c r="D1832" s="1" t="n">
        <v>46003</v>
      </c>
      <c r="E1832" s="1" t="n">
        <v>46312</v>
      </c>
      <c r="F1832" t="inlineStr">
        <is>
          <t>SKÅNE LÄN</t>
        </is>
      </c>
      <c r="G1832" t="inlineStr">
        <is>
          <t>TOMELILLA</t>
        </is>
      </c>
      <c r="I1832" t="n">
        <v>1.1</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54431-2023</t>
        </is>
      </c>
      <c r="B1833" t="inlineStr">
        <is>
          <t>avverkningsanmälan</t>
        </is>
      </c>
      <c r="C1833" t="inlineStr">
        <is>
          <t>Föryngringsavverkning</t>
        </is>
      </c>
      <c r="D1833" s="1" t="n">
        <v>45226</v>
      </c>
      <c r="E1833" s="1" t="n">
        <v>46312</v>
      </c>
      <c r="F1833" t="inlineStr">
        <is>
          <t>SKÅNE LÄN</t>
        </is>
      </c>
      <c r="G1833" t="inlineStr">
        <is>
          <t>HÖRBY</t>
        </is>
      </c>
      <c r="I1833" t="n">
        <v>3.2</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36979-2024</t>
        </is>
      </c>
      <c r="B1834" t="inlineStr">
        <is>
          <t>avverkningsanmälan</t>
        </is>
      </c>
      <c r="C1834" t="inlineStr">
        <is>
          <t>Föryngringsavverkning</t>
        </is>
      </c>
      <c r="D1834" s="1" t="n">
        <v>45539</v>
      </c>
      <c r="E1834" s="1" t="n">
        <v>46312</v>
      </c>
      <c r="F1834" t="inlineStr">
        <is>
          <t>SKÅNE LÄN</t>
        </is>
      </c>
      <c r="G1834" t="inlineStr">
        <is>
          <t>OSBY</t>
        </is>
      </c>
      <c r="I1834" t="n">
        <v>5.4</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55218-2023</t>
        </is>
      </c>
      <c r="B1835" t="inlineStr">
        <is>
          <t>avverkningsanmälan</t>
        </is>
      </c>
      <c r="C1835" t="inlineStr">
        <is>
          <t>Föryngringsavverkning</t>
        </is>
      </c>
      <c r="D1835" s="1" t="n">
        <v>45237</v>
      </c>
      <c r="E1835" s="1" t="n">
        <v>46312</v>
      </c>
      <c r="F1835" t="inlineStr">
        <is>
          <t>SKÅNE LÄN</t>
        </is>
      </c>
      <c r="G1835" t="inlineStr">
        <is>
          <t>HÄSSLEHOLM</t>
        </is>
      </c>
      <c r="I1835" t="n">
        <v>2</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3289-2024</t>
        </is>
      </c>
      <c r="B1836" t="inlineStr">
        <is>
          <t>avverkningsanmälan</t>
        </is>
      </c>
      <c r="C1836" t="inlineStr">
        <is>
          <t>Föryngringsavverkning</t>
        </is>
      </c>
      <c r="D1836" s="1" t="n">
        <v>45316</v>
      </c>
      <c r="E1836" s="1" t="n">
        <v>46312</v>
      </c>
      <c r="F1836" t="inlineStr">
        <is>
          <t>SKÅNE LÄN</t>
        </is>
      </c>
      <c r="G1836" t="inlineStr">
        <is>
          <t>ÖSTRA GÖINGE</t>
        </is>
      </c>
      <c r="H1836" t="inlineStr">
        <is>
          <t>Sveaskog</t>
        </is>
      </c>
      <c r="I1836" t="n">
        <v>0.7</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42751-2022</t>
        </is>
      </c>
      <c r="B1837" t="inlineStr">
        <is>
          <t>avverkningsanmälan</t>
        </is>
      </c>
      <c r="C1837" t="inlineStr">
        <is>
          <t>Föryngringsavverkning</t>
        </is>
      </c>
      <c r="D1837" s="1" t="n">
        <v>44832</v>
      </c>
      <c r="E1837" s="1" t="n">
        <v>46312</v>
      </c>
      <c r="F1837" t="inlineStr">
        <is>
          <t>SKÅNE LÄN</t>
        </is>
      </c>
      <c r="G1837" t="inlineStr">
        <is>
          <t>OSBY</t>
        </is>
      </c>
      <c r="I1837" t="n">
        <v>1.4</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40149-2024</t>
        </is>
      </c>
      <c r="B1838" t="inlineStr">
        <is>
          <t>avverkningsanmälan</t>
        </is>
      </c>
      <c r="C1838" t="inlineStr">
        <is>
          <t>Föryngringsavverkning</t>
        </is>
      </c>
      <c r="D1838" s="1" t="n">
        <v>45554</v>
      </c>
      <c r="E1838" s="1" t="n">
        <v>46312</v>
      </c>
      <c r="F1838" t="inlineStr">
        <is>
          <t>SKÅNE LÄN</t>
        </is>
      </c>
      <c r="G1838" t="inlineStr">
        <is>
          <t>KRISTIANSTAD</t>
        </is>
      </c>
      <c r="I1838" t="n">
        <v>9.1</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9615-2025</t>
        </is>
      </c>
      <c r="B1839" t="inlineStr">
        <is>
          <t>avverkningsanmälan</t>
        </is>
      </c>
      <c r="C1839" t="inlineStr">
        <is>
          <t>Föryngringsavverkning</t>
        </is>
      </c>
      <c r="D1839" s="1" t="n">
        <v>45715</v>
      </c>
      <c r="E1839" s="1" t="n">
        <v>46312</v>
      </c>
      <c r="F1839" t="inlineStr">
        <is>
          <t>SKÅNE LÄN</t>
        </is>
      </c>
      <c r="G1839" t="inlineStr">
        <is>
          <t>HÄSSLEHOLM</t>
        </is>
      </c>
      <c r="I1839" t="n">
        <v>1.8</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32584-2022</t>
        </is>
      </c>
      <c r="B1840" t="inlineStr">
        <is>
          <t>avverkningsanmälan</t>
        </is>
      </c>
      <c r="C1840" t="inlineStr">
        <is>
          <t>Föryngringsavverkning</t>
        </is>
      </c>
      <c r="D1840" s="1" t="n">
        <v>44783</v>
      </c>
      <c r="E1840" s="1" t="n">
        <v>46312</v>
      </c>
      <c r="F1840" t="inlineStr">
        <is>
          <t>SKÅNE LÄN</t>
        </is>
      </c>
      <c r="G1840" t="inlineStr">
        <is>
          <t>OSBY</t>
        </is>
      </c>
      <c r="I1840" t="n">
        <v>2.5</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54807-2025</t>
        </is>
      </c>
      <c r="B1841" t="inlineStr">
        <is>
          <t>avverkningsanmälan</t>
        </is>
      </c>
      <c r="C1841" t="inlineStr">
        <is>
          <t>Föryngringsavverkning</t>
        </is>
      </c>
      <c r="D1841" s="1" t="n">
        <v>45966</v>
      </c>
      <c r="E1841" s="1" t="n">
        <v>46312</v>
      </c>
      <c r="F1841" t="inlineStr">
        <is>
          <t>SKÅNE LÄN</t>
        </is>
      </c>
      <c r="G1841" t="inlineStr">
        <is>
          <t>HÄSSLEHOLM</t>
        </is>
      </c>
      <c r="I1841" t="n">
        <v>1.3</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49106-2023</t>
        </is>
      </c>
      <c r="B1842" t="inlineStr">
        <is>
          <t>avverkningsanmälan</t>
        </is>
      </c>
      <c r="C1842" t="inlineStr">
        <is>
          <t>Föryngringsavverkning</t>
        </is>
      </c>
      <c r="D1842" s="1" t="n">
        <v>45210</v>
      </c>
      <c r="E1842" s="1" t="n">
        <v>46312</v>
      </c>
      <c r="F1842" t="inlineStr">
        <is>
          <t>SKÅNE LÄN</t>
        </is>
      </c>
      <c r="G1842" t="inlineStr">
        <is>
          <t>HÄSSLEHOLM</t>
        </is>
      </c>
      <c r="I1842" t="n">
        <v>0.3</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61491-2024</t>
        </is>
      </c>
      <c r="B1843" t="inlineStr">
        <is>
          <t>avverkningsanmälan</t>
        </is>
      </c>
      <c r="C1843" t="inlineStr">
        <is>
          <t>Föryngringsavverkning</t>
        </is>
      </c>
      <c r="D1843" s="1" t="n">
        <v>45646</v>
      </c>
      <c r="E1843" s="1" t="n">
        <v>46312</v>
      </c>
      <c r="F1843" t="inlineStr">
        <is>
          <t>SKÅNE LÄN</t>
        </is>
      </c>
      <c r="G1843" t="inlineStr">
        <is>
          <t>KRISTIANSTAD</t>
        </is>
      </c>
      <c r="H1843" t="inlineStr">
        <is>
          <t>Övriga Aktiebolag</t>
        </is>
      </c>
      <c r="I1843" t="n">
        <v>1.2</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46619-2024</t>
        </is>
      </c>
      <c r="B1844" t="inlineStr">
        <is>
          <t>avverkningsanmälan</t>
        </is>
      </c>
      <c r="C1844" t="inlineStr">
        <is>
          <t>Föryngringsavverkning</t>
        </is>
      </c>
      <c r="D1844" s="1" t="n">
        <v>45583</v>
      </c>
      <c r="E1844" s="1" t="n">
        <v>46312</v>
      </c>
      <c r="F1844" t="inlineStr">
        <is>
          <t>SKÅNE LÄN</t>
        </is>
      </c>
      <c r="G1844" t="inlineStr">
        <is>
          <t>KLIPPAN</t>
        </is>
      </c>
      <c r="I1844" t="n">
        <v>1.9</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62055-2023</t>
        </is>
      </c>
      <c r="B1845" t="inlineStr">
        <is>
          <t>avverkningsanmälan</t>
        </is>
      </c>
      <c r="C1845" t="inlineStr">
        <is>
          <t>Föryngringsavverkning</t>
        </is>
      </c>
      <c r="D1845" s="1" t="n">
        <v>45266</v>
      </c>
      <c r="E1845" s="1" t="n">
        <v>46312</v>
      </c>
      <c r="F1845" t="inlineStr">
        <is>
          <t>SKÅNE LÄN</t>
        </is>
      </c>
      <c r="G1845" t="inlineStr">
        <is>
          <t>HÄSSLEHOLM</t>
        </is>
      </c>
      <c r="I1845" t="n">
        <v>5.2</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10409-2024</t>
        </is>
      </c>
      <c r="B1846" t="inlineStr">
        <is>
          <t>avverkningsanmälan</t>
        </is>
      </c>
      <c r="C1846" t="inlineStr">
        <is>
          <t>Föryngringsavverkning</t>
        </is>
      </c>
      <c r="D1846" s="1" t="n">
        <v>45365</v>
      </c>
      <c r="E1846" s="1" t="n">
        <v>46312</v>
      </c>
      <c r="F1846" t="inlineStr">
        <is>
          <t>SKÅNE LÄN</t>
        </is>
      </c>
      <c r="G1846" t="inlineStr">
        <is>
          <t>HÄSSLEHOLM</t>
        </is>
      </c>
      <c r="I1846" t="n">
        <v>0.5</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74214-2021</t>
        </is>
      </c>
      <c r="B1847" t="inlineStr">
        <is>
          <t>avverkningsanmälan</t>
        </is>
      </c>
      <c r="C1847" t="inlineStr">
        <is>
          <t>Föryngringsavverkning</t>
        </is>
      </c>
      <c r="D1847" s="1" t="n">
        <v>44553</v>
      </c>
      <c r="E1847" s="1" t="n">
        <v>46312</v>
      </c>
      <c r="F1847" t="inlineStr">
        <is>
          <t>SKÅNE LÄN</t>
        </is>
      </c>
      <c r="G1847" t="inlineStr">
        <is>
          <t>ÄNGELHOLM</t>
        </is>
      </c>
      <c r="I1847" t="n">
        <v>19.8</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47248-2023</t>
        </is>
      </c>
      <c r="B1848" t="inlineStr">
        <is>
          <t>avverkningsanmälan</t>
        </is>
      </c>
      <c r="C1848" t="inlineStr">
        <is>
          <t>Föryngringsavverkning</t>
        </is>
      </c>
      <c r="D1848" s="1" t="n">
        <v>45202</v>
      </c>
      <c r="E1848" s="1" t="n">
        <v>46312</v>
      </c>
      <c r="F1848" t="inlineStr">
        <is>
          <t>SKÅNE LÄN</t>
        </is>
      </c>
      <c r="G1848" t="inlineStr">
        <is>
          <t>HÄSSLEHOLM</t>
        </is>
      </c>
      <c r="I1848" t="n">
        <v>1.5</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38697-2025</t>
        </is>
      </c>
      <c r="B1849" t="inlineStr">
        <is>
          <t>avverkningsanmälan</t>
        </is>
      </c>
      <c r="C1849" t="inlineStr">
        <is>
          <t>Föryngringsavverkning</t>
        </is>
      </c>
      <c r="D1849" s="1" t="n">
        <v>45884</v>
      </c>
      <c r="E1849" s="1" t="n">
        <v>46312</v>
      </c>
      <c r="F1849" t="inlineStr">
        <is>
          <t>SKÅNE LÄN</t>
        </is>
      </c>
      <c r="G1849" t="inlineStr">
        <is>
          <t>OSBY</t>
        </is>
      </c>
      <c r="I1849" t="n">
        <v>3.7</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28625-2023</t>
        </is>
      </c>
      <c r="B1850" t="inlineStr">
        <is>
          <t>avverkningsanmälan</t>
        </is>
      </c>
      <c r="C1850" t="inlineStr">
        <is>
          <t>Föryngringsavverkning</t>
        </is>
      </c>
      <c r="D1850" s="1" t="n">
        <v>45103</v>
      </c>
      <c r="E1850" s="1" t="n">
        <v>46312</v>
      </c>
      <c r="F1850" t="inlineStr">
        <is>
          <t>SKÅNE LÄN</t>
        </is>
      </c>
      <c r="G1850" t="inlineStr">
        <is>
          <t>HÖRBY</t>
        </is>
      </c>
      <c r="I1850" t="n">
        <v>4.8</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38486-2023</t>
        </is>
      </c>
      <c r="B1851" t="inlineStr">
        <is>
          <t>avverkningsanmälan</t>
        </is>
      </c>
      <c r="C1851" t="inlineStr">
        <is>
          <t>Föryngringsavverkning</t>
        </is>
      </c>
      <c r="D1851" s="1" t="n">
        <v>45162</v>
      </c>
      <c r="E1851" s="1" t="n">
        <v>46312</v>
      </c>
      <c r="F1851" t="inlineStr">
        <is>
          <t>SKÅNE LÄN</t>
        </is>
      </c>
      <c r="G1851" t="inlineStr">
        <is>
          <t>OSBY</t>
        </is>
      </c>
      <c r="I1851" t="n">
        <v>0.6</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48217-2022</t>
        </is>
      </c>
      <c r="B1852" t="inlineStr">
        <is>
          <t>avverkningsanmälan</t>
        </is>
      </c>
      <c r="C1852" t="inlineStr">
        <is>
          <t>Föryngringsavverkning</t>
        </is>
      </c>
      <c r="D1852" s="1" t="n">
        <v>44853</v>
      </c>
      <c r="E1852" s="1" t="n">
        <v>46312</v>
      </c>
      <c r="F1852" t="inlineStr">
        <is>
          <t>SKÅNE LÄN</t>
        </is>
      </c>
      <c r="G1852" t="inlineStr">
        <is>
          <t>KRISTIANSTAD</t>
        </is>
      </c>
      <c r="H1852" t="inlineStr">
        <is>
          <t>Kyrkan</t>
        </is>
      </c>
      <c r="I1852" t="n">
        <v>1.3</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20990-2023</t>
        </is>
      </c>
      <c r="B1853" t="inlineStr">
        <is>
          <t>avverkningsanmälan</t>
        </is>
      </c>
      <c r="C1853" t="inlineStr">
        <is>
          <t>Föryngringsavverkning</t>
        </is>
      </c>
      <c r="D1853" s="1" t="n">
        <v>45061</v>
      </c>
      <c r="E1853" s="1" t="n">
        <v>46312</v>
      </c>
      <c r="F1853" t="inlineStr">
        <is>
          <t>SKÅNE LÄN</t>
        </is>
      </c>
      <c r="G1853" t="inlineStr">
        <is>
          <t>HÄSSLEHOLM</t>
        </is>
      </c>
      <c r="I1853" t="n">
        <v>2.8</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21066-2023</t>
        </is>
      </c>
      <c r="B1854" t="inlineStr">
        <is>
          <t>avverkningsanmälan</t>
        </is>
      </c>
      <c r="C1854" t="inlineStr">
        <is>
          <t>Föryngringsavverkning</t>
        </is>
      </c>
      <c r="D1854" s="1" t="n">
        <v>45061</v>
      </c>
      <c r="E1854" s="1" t="n">
        <v>46312</v>
      </c>
      <c r="F1854" t="inlineStr">
        <is>
          <t>SKÅNE LÄN</t>
        </is>
      </c>
      <c r="G1854" t="inlineStr">
        <is>
          <t>HÖÖR</t>
        </is>
      </c>
      <c r="H1854" t="inlineStr">
        <is>
          <t>Sveaskog</t>
        </is>
      </c>
      <c r="I1854" t="n">
        <v>1.4</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20891-2025</t>
        </is>
      </c>
      <c r="B1855" t="inlineStr">
        <is>
          <t>avverkningsanmälan</t>
        </is>
      </c>
      <c r="C1855" t="inlineStr">
        <is>
          <t>Föryngringsavverkning</t>
        </is>
      </c>
      <c r="D1855" s="1" t="n">
        <v>45777</v>
      </c>
      <c r="E1855" s="1" t="n">
        <v>46312</v>
      </c>
      <c r="F1855" t="inlineStr">
        <is>
          <t>SKÅNE LÄN</t>
        </is>
      </c>
      <c r="G1855" t="inlineStr">
        <is>
          <t>KRISTIANSTAD</t>
        </is>
      </c>
      <c r="I1855" t="n">
        <v>5.2</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18340-2024</t>
        </is>
      </c>
      <c r="B1856" t="inlineStr">
        <is>
          <t>avverkningsanmälan</t>
        </is>
      </c>
      <c r="C1856" t="inlineStr">
        <is>
          <t>Föryngringsavverkning</t>
        </is>
      </c>
      <c r="D1856" s="1" t="n">
        <v>45422</v>
      </c>
      <c r="E1856" s="1" t="n">
        <v>46312</v>
      </c>
      <c r="F1856" t="inlineStr">
        <is>
          <t>SKÅNE LÄN</t>
        </is>
      </c>
      <c r="G1856" t="inlineStr">
        <is>
          <t>ÖSTRA GÖINGE</t>
        </is>
      </c>
      <c r="I1856" t="n">
        <v>1.2</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22064-2025</t>
        </is>
      </c>
      <c r="B1857" t="inlineStr">
        <is>
          <t>avverkningsanmälan</t>
        </is>
      </c>
      <c r="C1857" t="inlineStr">
        <is>
          <t>Föryngringsavverkning</t>
        </is>
      </c>
      <c r="D1857" s="1" t="n">
        <v>45785</v>
      </c>
      <c r="E1857" s="1" t="n">
        <v>46312</v>
      </c>
      <c r="F1857" t="inlineStr">
        <is>
          <t>SKÅNE LÄN</t>
        </is>
      </c>
      <c r="G1857" t="inlineStr">
        <is>
          <t>OSBY</t>
        </is>
      </c>
      <c r="I1857" t="n">
        <v>1.4</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10937-2022</t>
        </is>
      </c>
      <c r="B1858" t="inlineStr">
        <is>
          <t>avverkningsanmälan</t>
        </is>
      </c>
      <c r="C1858" t="inlineStr">
        <is>
          <t>Föryngringsavverkning</t>
        </is>
      </c>
      <c r="D1858" s="1" t="n">
        <v>44627</v>
      </c>
      <c r="E1858" s="1" t="n">
        <v>46312</v>
      </c>
      <c r="F1858" t="inlineStr">
        <is>
          <t>SKÅNE LÄN</t>
        </is>
      </c>
      <c r="G1858" t="inlineStr">
        <is>
          <t>ÖSTRA GÖINGE</t>
        </is>
      </c>
      <c r="I1858" t="n">
        <v>0.7</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1936-2023</t>
        </is>
      </c>
      <c r="B1859" t="inlineStr">
        <is>
          <t>avverkningsanmälan</t>
        </is>
      </c>
      <c r="C1859" t="inlineStr">
        <is>
          <t>Föryngringsavverkning</t>
        </is>
      </c>
      <c r="D1859" s="1" t="n">
        <v>44937</v>
      </c>
      <c r="E1859" s="1" t="n">
        <v>46312</v>
      </c>
      <c r="F1859" t="inlineStr">
        <is>
          <t>SKÅNE LÄN</t>
        </is>
      </c>
      <c r="G1859" t="inlineStr">
        <is>
          <t>ÖSTRA GÖINGE</t>
        </is>
      </c>
      <c r="I1859" t="n">
        <v>1.1</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5869-2023</t>
        </is>
      </c>
      <c r="B1860" t="inlineStr">
        <is>
          <t>avverkningsanmälan</t>
        </is>
      </c>
      <c r="C1860" t="inlineStr">
        <is>
          <t>Avverkning för annat ändamål</t>
        </is>
      </c>
      <c r="D1860" s="1" t="n">
        <v>44958</v>
      </c>
      <c r="E1860" s="1" t="n">
        <v>46312</v>
      </c>
      <c r="F1860" t="inlineStr">
        <is>
          <t>SKÅNE LÄN</t>
        </is>
      </c>
      <c r="G1860" t="inlineStr">
        <is>
          <t>ESLÖV</t>
        </is>
      </c>
      <c r="I1860" t="n">
        <v>3</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64469-2021</t>
        </is>
      </c>
      <c r="B1861" t="inlineStr">
        <is>
          <t>avverkningsanmälan</t>
        </is>
      </c>
      <c r="C1861" t="inlineStr">
        <is>
          <t>Föryngringsavverkning</t>
        </is>
      </c>
      <c r="D1861" s="1" t="n">
        <v>44511</v>
      </c>
      <c r="E1861" s="1" t="n">
        <v>46312</v>
      </c>
      <c r="F1861" t="inlineStr">
        <is>
          <t>SKÅNE LÄN</t>
        </is>
      </c>
      <c r="G1861" t="inlineStr">
        <is>
          <t>OSBY</t>
        </is>
      </c>
      <c r="I1861" t="n">
        <v>1</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9670-2023</t>
        </is>
      </c>
      <c r="B1862" t="inlineStr">
        <is>
          <t>avverkningsanmälan</t>
        </is>
      </c>
      <c r="C1862" t="inlineStr">
        <is>
          <t>Föryngringsavverkning</t>
        </is>
      </c>
      <c r="D1862" s="1" t="n">
        <v>44978</v>
      </c>
      <c r="E1862" s="1" t="n">
        <v>46312</v>
      </c>
      <c r="F1862" t="inlineStr">
        <is>
          <t>SKÅNE LÄN</t>
        </is>
      </c>
      <c r="G1862" t="inlineStr">
        <is>
          <t>OSBY</t>
        </is>
      </c>
      <c r="H1862" t="inlineStr">
        <is>
          <t>Naturvårdsverket</t>
        </is>
      </c>
      <c r="I1862" t="n">
        <v>2</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9840-2022</t>
        </is>
      </c>
      <c r="B1863" t="inlineStr">
        <is>
          <t>avverkningsanmälan</t>
        </is>
      </c>
      <c r="C1863" t="inlineStr">
        <is>
          <t>Föryngringsavverkning</t>
        </is>
      </c>
      <c r="D1863" s="1" t="n">
        <v>44620</v>
      </c>
      <c r="E1863" s="1" t="n">
        <v>46312</v>
      </c>
      <c r="F1863" t="inlineStr">
        <is>
          <t>SKÅNE LÄN</t>
        </is>
      </c>
      <c r="G1863" t="inlineStr">
        <is>
          <t>OSBY</t>
        </is>
      </c>
      <c r="H1863" t="inlineStr">
        <is>
          <t>Kommuner</t>
        </is>
      </c>
      <c r="I1863" t="n">
        <v>5.9</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49610-2024</t>
        </is>
      </c>
      <c r="B1864" t="inlineStr">
        <is>
          <t>avverkningsanmälan</t>
        </is>
      </c>
      <c r="C1864" t="inlineStr">
        <is>
          <t>Föryngringsavverkning</t>
        </is>
      </c>
      <c r="D1864" s="1" t="n">
        <v>45596</v>
      </c>
      <c r="E1864" s="1" t="n">
        <v>46312</v>
      </c>
      <c r="F1864" t="inlineStr">
        <is>
          <t>SKÅNE LÄN</t>
        </is>
      </c>
      <c r="G1864" t="inlineStr">
        <is>
          <t>ÄNGELHOLM</t>
        </is>
      </c>
      <c r="I1864" t="n">
        <v>6.4</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13544-2025</t>
        </is>
      </c>
      <c r="B1865" t="inlineStr">
        <is>
          <t>avverkningsanmälan</t>
        </is>
      </c>
      <c r="C1865" t="inlineStr">
        <is>
          <t>Föryngringsavverkning</t>
        </is>
      </c>
      <c r="D1865" s="1" t="n">
        <v>45736</v>
      </c>
      <c r="E1865" s="1" t="n">
        <v>46312</v>
      </c>
      <c r="F1865" t="inlineStr">
        <is>
          <t>SKÅNE LÄN</t>
        </is>
      </c>
      <c r="G1865" t="inlineStr">
        <is>
          <t>HÄSSLEHOLM</t>
        </is>
      </c>
      <c r="I1865" t="n">
        <v>2.5</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54171-2022</t>
        </is>
      </c>
      <c r="B1866" t="inlineStr">
        <is>
          <t>avverkningsanmälan</t>
        </is>
      </c>
      <c r="C1866" t="inlineStr">
        <is>
          <t>Föryngringsavverkning</t>
        </is>
      </c>
      <c r="D1866" s="1" t="n">
        <v>44881</v>
      </c>
      <c r="E1866" s="1" t="n">
        <v>46312</v>
      </c>
      <c r="F1866" t="inlineStr">
        <is>
          <t>SKÅNE LÄN</t>
        </is>
      </c>
      <c r="G1866" t="inlineStr">
        <is>
          <t>HÄSSLEHOLM</t>
        </is>
      </c>
      <c r="I1866" t="n">
        <v>0.5</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4482-2026</t>
        </is>
      </c>
      <c r="B1867" t="inlineStr">
        <is>
          <t>avverkningsanmälan</t>
        </is>
      </c>
      <c r="C1867" t="inlineStr">
        <is>
          <t>Föryngringsavverkning</t>
        </is>
      </c>
      <c r="D1867" s="1" t="n">
        <v>46045</v>
      </c>
      <c r="E1867" s="1" t="n">
        <v>46312</v>
      </c>
      <c r="F1867" t="inlineStr">
        <is>
          <t>SKÅNE LÄN</t>
        </is>
      </c>
      <c r="G1867" t="inlineStr">
        <is>
          <t>TOMELILLA</t>
        </is>
      </c>
      <c r="H1867" t="inlineStr">
        <is>
          <t>Övriga Aktiebolag</t>
        </is>
      </c>
      <c r="I1867" t="n">
        <v>6.5</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10275-2024</t>
        </is>
      </c>
      <c r="B1868" t="inlineStr">
        <is>
          <t>avverkningsanmälan</t>
        </is>
      </c>
      <c r="C1868" t="inlineStr">
        <is>
          <t>Föryngringsavverkning</t>
        </is>
      </c>
      <c r="D1868" s="1" t="n">
        <v>45365</v>
      </c>
      <c r="E1868" s="1" t="n">
        <v>46312</v>
      </c>
      <c r="F1868" t="inlineStr">
        <is>
          <t>SKÅNE LÄN</t>
        </is>
      </c>
      <c r="G1868" t="inlineStr">
        <is>
          <t>BROMÖLLA</t>
        </is>
      </c>
      <c r="I1868" t="n">
        <v>0.4</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13309-2025</t>
        </is>
      </c>
      <c r="B1869" t="inlineStr">
        <is>
          <t>avverkningsanmälan</t>
        </is>
      </c>
      <c r="C1869" t="inlineStr">
        <is>
          <t>Föryngringsavverkning</t>
        </is>
      </c>
      <c r="D1869" s="1" t="n">
        <v>45735</v>
      </c>
      <c r="E1869" s="1" t="n">
        <v>46312</v>
      </c>
      <c r="F1869" t="inlineStr">
        <is>
          <t>SKÅNE LÄN</t>
        </is>
      </c>
      <c r="G1869" t="inlineStr">
        <is>
          <t>HÄSSLEHOLM</t>
        </is>
      </c>
      <c r="I1869" t="n">
        <v>1.2</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45361-2023</t>
        </is>
      </c>
      <c r="B1870" t="inlineStr">
        <is>
          <t>avverkningsanmälan</t>
        </is>
      </c>
      <c r="C1870" t="inlineStr">
        <is>
          <t>Föryngringsavverkning</t>
        </is>
      </c>
      <c r="D1870" s="1" t="n">
        <v>45192</v>
      </c>
      <c r="E1870" s="1" t="n">
        <v>46312</v>
      </c>
      <c r="F1870" t="inlineStr">
        <is>
          <t>SKÅNE LÄN</t>
        </is>
      </c>
      <c r="G1870" t="inlineStr">
        <is>
          <t>HÄSSLEHOLM</t>
        </is>
      </c>
      <c r="I1870" t="n">
        <v>1.9</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1531-2022</t>
        </is>
      </c>
      <c r="B1871" t="inlineStr">
        <is>
          <t>avverkningsanmälan</t>
        </is>
      </c>
      <c r="C1871" t="inlineStr">
        <is>
          <t>Föryngringsavverkning</t>
        </is>
      </c>
      <c r="D1871" s="1" t="n">
        <v>44573</v>
      </c>
      <c r="E1871" s="1" t="n">
        <v>46312</v>
      </c>
      <c r="F1871" t="inlineStr">
        <is>
          <t>SKÅNE LÄN</t>
        </is>
      </c>
      <c r="G1871" t="inlineStr">
        <is>
          <t>BÅSTAD</t>
        </is>
      </c>
      <c r="I1871" t="n">
        <v>1.6</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57277-2023</t>
        </is>
      </c>
      <c r="B1872" t="inlineStr">
        <is>
          <t>avverkningsanmälan</t>
        </is>
      </c>
      <c r="C1872" t="inlineStr">
        <is>
          <t>Föryngringsavverkning</t>
        </is>
      </c>
      <c r="D1872" s="1" t="n">
        <v>45245</v>
      </c>
      <c r="E1872" s="1" t="n">
        <v>46312</v>
      </c>
      <c r="F1872" t="inlineStr">
        <is>
          <t>SKÅNE LÄN</t>
        </is>
      </c>
      <c r="G1872" t="inlineStr">
        <is>
          <t>HÄSSLEHOLM</t>
        </is>
      </c>
      <c r="I1872" t="n">
        <v>0.5</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57293-2023</t>
        </is>
      </c>
      <c r="B1873" t="inlineStr">
        <is>
          <t>avverkningsanmälan</t>
        </is>
      </c>
      <c r="C1873" t="inlineStr">
        <is>
          <t>Föryngringsavverkning</t>
        </is>
      </c>
      <c r="D1873" s="1" t="n">
        <v>45245</v>
      </c>
      <c r="E1873" s="1" t="n">
        <v>46312</v>
      </c>
      <c r="F1873" t="inlineStr">
        <is>
          <t>SKÅNE LÄN</t>
        </is>
      </c>
      <c r="G1873" t="inlineStr">
        <is>
          <t>ÖSTRA GÖINGE</t>
        </is>
      </c>
      <c r="I1873" t="n">
        <v>3.8</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28352-2024</t>
        </is>
      </c>
      <c r="B1874" t="inlineStr">
        <is>
          <t>avverkningsanmälan</t>
        </is>
      </c>
      <c r="C1874" t="inlineStr">
        <is>
          <t>Föryngringsavverkning</t>
        </is>
      </c>
      <c r="D1874" s="1" t="n">
        <v>45477</v>
      </c>
      <c r="E1874" s="1" t="n">
        <v>46312</v>
      </c>
      <c r="F1874" t="inlineStr">
        <is>
          <t>SKÅNE LÄN</t>
        </is>
      </c>
      <c r="G1874" t="inlineStr">
        <is>
          <t>HÖÖR</t>
        </is>
      </c>
      <c r="I1874" t="n">
        <v>0.9</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2950-2023</t>
        </is>
      </c>
      <c r="B1875" t="inlineStr">
        <is>
          <t>avverkningsanmälan</t>
        </is>
      </c>
      <c r="C1875" t="inlineStr">
        <is>
          <t>Föryngringsavverkning</t>
        </is>
      </c>
      <c r="D1875" s="1" t="n">
        <v>44945</v>
      </c>
      <c r="E1875" s="1" t="n">
        <v>46312</v>
      </c>
      <c r="F1875" t="inlineStr">
        <is>
          <t>SKÅNE LÄN</t>
        </is>
      </c>
      <c r="G1875" t="inlineStr">
        <is>
          <t>PERSTORP</t>
        </is>
      </c>
      <c r="I1875" t="n">
        <v>1.7</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43992-2025</t>
        </is>
      </c>
      <c r="B1876" t="inlineStr">
        <is>
          <t>avverkningsanmälan</t>
        </is>
      </c>
      <c r="C1876" t="inlineStr">
        <is>
          <t>Föryngringsavverkning</t>
        </is>
      </c>
      <c r="D1876" s="1" t="n">
        <v>45915</v>
      </c>
      <c r="E1876" s="1" t="n">
        <v>46312</v>
      </c>
      <c r="F1876" t="inlineStr">
        <is>
          <t>SKÅNE LÄN</t>
        </is>
      </c>
      <c r="G1876" t="inlineStr">
        <is>
          <t>ÖRKELLJUNGA</t>
        </is>
      </c>
      <c r="I1876" t="n">
        <v>1.8</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15887-2025</t>
        </is>
      </c>
      <c r="B1877" t="inlineStr">
        <is>
          <t>avverkningsanmälan</t>
        </is>
      </c>
      <c r="C1877" t="inlineStr">
        <is>
          <t>Föryngringsavverkning</t>
        </is>
      </c>
      <c r="D1877" s="1" t="n">
        <v>45749</v>
      </c>
      <c r="E1877" s="1" t="n">
        <v>46312</v>
      </c>
      <c r="F1877" t="inlineStr">
        <is>
          <t>SKÅNE LÄN</t>
        </is>
      </c>
      <c r="G1877" t="inlineStr">
        <is>
          <t>KRISTIANSTAD</t>
        </is>
      </c>
      <c r="I1877" t="n">
        <v>3.6</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62201-2025</t>
        </is>
      </c>
      <c r="B1878" t="inlineStr">
        <is>
          <t>avverkningsanmälan</t>
        </is>
      </c>
      <c r="C1878" t="inlineStr">
        <is>
          <t>Föryngringsavverkning</t>
        </is>
      </c>
      <c r="D1878" s="1" t="n">
        <v>46006</v>
      </c>
      <c r="E1878" s="1" t="n">
        <v>46312</v>
      </c>
      <c r="F1878" t="inlineStr">
        <is>
          <t>SKÅNE LÄN</t>
        </is>
      </c>
      <c r="G1878" t="inlineStr">
        <is>
          <t>SVALÖV</t>
        </is>
      </c>
      <c r="I1878" t="n">
        <v>22.1</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71741-2021</t>
        </is>
      </c>
      <c r="B1879" t="inlineStr">
        <is>
          <t>avverkningsanmälan</t>
        </is>
      </c>
      <c r="C1879" t="inlineStr">
        <is>
          <t>Föryngringsavverkning</t>
        </is>
      </c>
      <c r="D1879" s="1" t="n">
        <v>44539</v>
      </c>
      <c r="E1879" s="1" t="n">
        <v>46312</v>
      </c>
      <c r="F1879" t="inlineStr">
        <is>
          <t>SKÅNE LÄN</t>
        </is>
      </c>
      <c r="G1879" t="inlineStr">
        <is>
          <t>ÖSTRA GÖINGE</t>
        </is>
      </c>
      <c r="I1879" t="n">
        <v>1.1</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13243-2025</t>
        </is>
      </c>
      <c r="B1880" t="inlineStr">
        <is>
          <t>avverkningsanmälan</t>
        </is>
      </c>
      <c r="C1880" t="inlineStr">
        <is>
          <t>Föryngringsavverkning</t>
        </is>
      </c>
      <c r="D1880" s="1" t="n">
        <v>45735</v>
      </c>
      <c r="E1880" s="1" t="n">
        <v>46312</v>
      </c>
      <c r="F1880" t="inlineStr">
        <is>
          <t>SKÅNE LÄN</t>
        </is>
      </c>
      <c r="G1880" t="inlineStr">
        <is>
          <t>ÄNGELHOLM</t>
        </is>
      </c>
      <c r="I1880" t="n">
        <v>0.5</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38897-2025</t>
        </is>
      </c>
      <c r="B1881" t="inlineStr">
        <is>
          <t>avverkningsanmälan</t>
        </is>
      </c>
      <c r="C1881" t="inlineStr">
        <is>
          <t>Föryngringsavverkning</t>
        </is>
      </c>
      <c r="D1881" s="1" t="n">
        <v>45887</v>
      </c>
      <c r="E1881" s="1" t="n">
        <v>46312</v>
      </c>
      <c r="F1881" t="inlineStr">
        <is>
          <t>SKÅNE LÄN</t>
        </is>
      </c>
      <c r="G1881" t="inlineStr">
        <is>
          <t>ÖRKELLJUNGA</t>
        </is>
      </c>
      <c r="I1881" t="n">
        <v>0.5</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24333-2022</t>
        </is>
      </c>
      <c r="B1882" t="inlineStr">
        <is>
          <t>avverkningsanmälan</t>
        </is>
      </c>
      <c r="C1882" t="inlineStr">
        <is>
          <t>Föryngringsavverkning</t>
        </is>
      </c>
      <c r="D1882" s="1" t="n">
        <v>44726</v>
      </c>
      <c r="E1882" s="1" t="n">
        <v>46312</v>
      </c>
      <c r="F1882" t="inlineStr">
        <is>
          <t>SKÅNE LÄN</t>
        </is>
      </c>
      <c r="G1882" t="inlineStr">
        <is>
          <t>KLIPPAN</t>
        </is>
      </c>
      <c r="I1882" t="n">
        <v>1.1</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15905-2024</t>
        </is>
      </c>
      <c r="B1883" t="inlineStr">
        <is>
          <t>avverkningsanmälan</t>
        </is>
      </c>
      <c r="C1883" t="inlineStr">
        <is>
          <t>Föryngringsavverkning</t>
        </is>
      </c>
      <c r="D1883" s="1" t="n">
        <v>45405</v>
      </c>
      <c r="E1883" s="1" t="n">
        <v>46312</v>
      </c>
      <c r="F1883" t="inlineStr">
        <is>
          <t>SKÅNE LÄN</t>
        </is>
      </c>
      <c r="G1883" t="inlineStr">
        <is>
          <t>HÖÖR</t>
        </is>
      </c>
      <c r="I1883" t="n">
        <v>0.8</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52851-2024</t>
        </is>
      </c>
      <c r="B1884" t="inlineStr">
        <is>
          <t>avverkningsanmälan</t>
        </is>
      </c>
      <c r="C1884" t="inlineStr">
        <is>
          <t>Föryngringsavverkning</t>
        </is>
      </c>
      <c r="D1884" s="1" t="n">
        <v>45610</v>
      </c>
      <c r="E1884" s="1" t="n">
        <v>46312</v>
      </c>
      <c r="F1884" t="inlineStr">
        <is>
          <t>SKÅNE LÄN</t>
        </is>
      </c>
      <c r="G1884" t="inlineStr">
        <is>
          <t>KLIPPAN</t>
        </is>
      </c>
      <c r="I1884" t="n">
        <v>2.4</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31399-2025</t>
        </is>
      </c>
      <c r="B1885" t="inlineStr">
        <is>
          <t>avverkningsanmälan</t>
        </is>
      </c>
      <c r="C1885" t="inlineStr">
        <is>
          <t>Föryngringsavverkning</t>
        </is>
      </c>
      <c r="D1885" s="1" t="n">
        <v>45833</v>
      </c>
      <c r="E1885" s="1" t="n">
        <v>46312</v>
      </c>
      <c r="F1885" t="inlineStr">
        <is>
          <t>SKÅNE LÄN</t>
        </is>
      </c>
      <c r="G1885" t="inlineStr">
        <is>
          <t>ÖRKELLJUNGA</t>
        </is>
      </c>
      <c r="I1885" t="n">
        <v>1.8</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50472-2023</t>
        </is>
      </c>
      <c r="B1886" t="inlineStr">
        <is>
          <t>avverkningsanmälan</t>
        </is>
      </c>
      <c r="C1886" t="inlineStr">
        <is>
          <t>Föryngringsavverkning</t>
        </is>
      </c>
      <c r="D1886" s="1" t="n">
        <v>45216</v>
      </c>
      <c r="E1886" s="1" t="n">
        <v>46312</v>
      </c>
      <c r="F1886" t="inlineStr">
        <is>
          <t>SKÅNE LÄN</t>
        </is>
      </c>
      <c r="G1886" t="inlineStr">
        <is>
          <t>ÖSTRA GÖINGE</t>
        </is>
      </c>
      <c r="I1886" t="n">
        <v>1.1</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28332-2024</t>
        </is>
      </c>
      <c r="B1887" t="inlineStr">
        <is>
          <t>avverkningsanmälan</t>
        </is>
      </c>
      <c r="C1887" t="inlineStr">
        <is>
          <t>Föryngringsavverkning</t>
        </is>
      </c>
      <c r="D1887" s="1" t="n">
        <v>45477</v>
      </c>
      <c r="E1887" s="1" t="n">
        <v>46312</v>
      </c>
      <c r="F1887" t="inlineStr">
        <is>
          <t>SKÅNE LÄN</t>
        </is>
      </c>
      <c r="G1887" t="inlineStr">
        <is>
          <t>HÖÖR</t>
        </is>
      </c>
      <c r="I1887" t="n">
        <v>7.5</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49831-2022</t>
        </is>
      </c>
      <c r="B1888" t="inlineStr">
        <is>
          <t>avverkningsanmälan</t>
        </is>
      </c>
      <c r="C1888" t="inlineStr">
        <is>
          <t>Föryngringsavverkning</t>
        </is>
      </c>
      <c r="D1888" s="1" t="n">
        <v>44862</v>
      </c>
      <c r="E1888" s="1" t="n">
        <v>46312</v>
      </c>
      <c r="F1888" t="inlineStr">
        <is>
          <t>SKÅNE LÄN</t>
        </is>
      </c>
      <c r="G1888" t="inlineStr">
        <is>
          <t>BROMÖLLA</t>
        </is>
      </c>
      <c r="I1888" t="n">
        <v>1.6</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7409-2025</t>
        </is>
      </c>
      <c r="B1889" t="inlineStr">
        <is>
          <t>avverkningsanmälan</t>
        </is>
      </c>
      <c r="C1889" t="inlineStr">
        <is>
          <t>Föryngringsavverkning</t>
        </is>
      </c>
      <c r="D1889" s="1" t="n">
        <v>45705</v>
      </c>
      <c r="E1889" s="1" t="n">
        <v>46312</v>
      </c>
      <c r="F1889" t="inlineStr">
        <is>
          <t>SKÅNE LÄN</t>
        </is>
      </c>
      <c r="G1889" t="inlineStr">
        <is>
          <t>ESLÖV</t>
        </is>
      </c>
      <c r="I1889" t="n">
        <v>1.5</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1560-2023</t>
        </is>
      </c>
      <c r="B1890" t="inlineStr">
        <is>
          <t>avverkningsanmälan</t>
        </is>
      </c>
      <c r="C1890" t="inlineStr">
        <is>
          <t>Föryngringsavverkning</t>
        </is>
      </c>
      <c r="D1890" s="1" t="n">
        <v>44937</v>
      </c>
      <c r="E1890" s="1" t="n">
        <v>46312</v>
      </c>
      <c r="F1890" t="inlineStr">
        <is>
          <t>SKÅNE LÄN</t>
        </is>
      </c>
      <c r="G1890" t="inlineStr">
        <is>
          <t>HÄSSLEHOLM</t>
        </is>
      </c>
      <c r="I1890" t="n">
        <v>6.8</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30213-2022</t>
        </is>
      </c>
      <c r="B1891" t="inlineStr">
        <is>
          <t>avverkningsanmälan</t>
        </is>
      </c>
      <c r="C1891" t="inlineStr">
        <is>
          <t>Föryngringsavverkning</t>
        </is>
      </c>
      <c r="D1891" s="1" t="n">
        <v>44757</v>
      </c>
      <c r="E1891" s="1" t="n">
        <v>46312</v>
      </c>
      <c r="F1891" t="inlineStr">
        <is>
          <t>SKÅNE LÄN</t>
        </is>
      </c>
      <c r="G1891" t="inlineStr">
        <is>
          <t>OSBY</t>
        </is>
      </c>
      <c r="I1891" t="n">
        <v>1.6</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54458-2023</t>
        </is>
      </c>
      <c r="B1892" t="inlineStr">
        <is>
          <t>avverkningsanmälan</t>
        </is>
      </c>
      <c r="C1892" t="inlineStr">
        <is>
          <t>Föryngringsavverkning</t>
        </is>
      </c>
      <c r="D1892" s="1" t="n">
        <v>45226</v>
      </c>
      <c r="E1892" s="1" t="n">
        <v>46312</v>
      </c>
      <c r="F1892" t="inlineStr">
        <is>
          <t>SKÅNE LÄN</t>
        </is>
      </c>
      <c r="G1892" t="inlineStr">
        <is>
          <t>KRISTIANSTAD</t>
        </is>
      </c>
      <c r="I1892" t="n">
        <v>1.1</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7915-2025</t>
        </is>
      </c>
      <c r="B1893" t="inlineStr">
        <is>
          <t>avverkningsanmälan</t>
        </is>
      </c>
      <c r="C1893" t="inlineStr">
        <is>
          <t>Föryngringsavverkning</t>
        </is>
      </c>
      <c r="D1893" s="1" t="n">
        <v>45707</v>
      </c>
      <c r="E1893" s="1" t="n">
        <v>46312</v>
      </c>
      <c r="F1893" t="inlineStr">
        <is>
          <t>SKÅNE LÄN</t>
        </is>
      </c>
      <c r="G1893" t="inlineStr">
        <is>
          <t>ÖRKELLJUNGA</t>
        </is>
      </c>
      <c r="I1893" t="n">
        <v>1.9</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4011-2024</t>
        </is>
      </c>
      <c r="B1894" t="inlineStr">
        <is>
          <t>avverkningsanmälan</t>
        </is>
      </c>
      <c r="C1894" t="inlineStr">
        <is>
          <t>Föryngringsavverkning</t>
        </is>
      </c>
      <c r="D1894" s="1" t="n">
        <v>45323</v>
      </c>
      <c r="E1894" s="1" t="n">
        <v>46312</v>
      </c>
      <c r="F1894" t="inlineStr">
        <is>
          <t>SKÅNE LÄN</t>
        </is>
      </c>
      <c r="G1894" t="inlineStr">
        <is>
          <t>OSBY</t>
        </is>
      </c>
      <c r="I1894" t="n">
        <v>1.1</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4018-2024</t>
        </is>
      </c>
      <c r="B1895" t="inlineStr">
        <is>
          <t>avverkningsanmälan</t>
        </is>
      </c>
      <c r="C1895" t="inlineStr">
        <is>
          <t>Föryngringsavverkning</t>
        </is>
      </c>
      <c r="D1895" s="1" t="n">
        <v>45323</v>
      </c>
      <c r="E1895" s="1" t="n">
        <v>46312</v>
      </c>
      <c r="F1895" t="inlineStr">
        <is>
          <t>SKÅNE LÄN</t>
        </is>
      </c>
      <c r="G1895" t="inlineStr">
        <is>
          <t>TOMELILLA</t>
        </is>
      </c>
      <c r="H1895" t="inlineStr">
        <is>
          <t>Övriga Aktiebolag</t>
        </is>
      </c>
      <c r="I1895" t="n">
        <v>3.5</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24833-2025</t>
        </is>
      </c>
      <c r="B1896" t="inlineStr">
        <is>
          <t>avverkningsanmälan</t>
        </is>
      </c>
      <c r="C1896" t="inlineStr">
        <is>
          <t>Föryngringsavverkning</t>
        </is>
      </c>
      <c r="D1896" s="1" t="n">
        <v>45799</v>
      </c>
      <c r="E1896" s="1" t="n">
        <v>46312</v>
      </c>
      <c r="F1896" t="inlineStr">
        <is>
          <t>SKÅNE LÄN</t>
        </is>
      </c>
      <c r="G1896" t="inlineStr">
        <is>
          <t>SJÖBO</t>
        </is>
      </c>
      <c r="I1896" t="n">
        <v>2.8</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9686-2023</t>
        </is>
      </c>
      <c r="B1897" t="inlineStr">
        <is>
          <t>avverkningsanmälan</t>
        </is>
      </c>
      <c r="C1897" t="inlineStr">
        <is>
          <t>Föryngringsavverkning</t>
        </is>
      </c>
      <c r="D1897" s="1" t="n">
        <v>44984</v>
      </c>
      <c r="E1897" s="1" t="n">
        <v>46312</v>
      </c>
      <c r="F1897" t="inlineStr">
        <is>
          <t>SKÅNE LÄN</t>
        </is>
      </c>
      <c r="G1897" t="inlineStr">
        <is>
          <t>ESLÖV</t>
        </is>
      </c>
      <c r="I1897" t="n">
        <v>0.8</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3205-2025</t>
        </is>
      </c>
      <c r="B1898" t="inlineStr">
        <is>
          <t>avverkningsanmälan</t>
        </is>
      </c>
      <c r="C1898" t="inlineStr">
        <is>
          <t>Föryngringsavverkning</t>
        </is>
      </c>
      <c r="D1898" s="1" t="n">
        <v>45679</v>
      </c>
      <c r="E1898" s="1" t="n">
        <v>46312</v>
      </c>
      <c r="F1898" t="inlineStr">
        <is>
          <t>SKÅNE LÄN</t>
        </is>
      </c>
      <c r="G1898" t="inlineStr">
        <is>
          <t>ÖRKELLJUNGA</t>
        </is>
      </c>
      <c r="H1898" t="inlineStr">
        <is>
          <t>Kyrkan</t>
        </is>
      </c>
      <c r="I1898" t="n">
        <v>6.7</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39366-2025</t>
        </is>
      </c>
      <c r="B1899" t="inlineStr">
        <is>
          <t>avverkningsanmälan</t>
        </is>
      </c>
      <c r="C1899" t="inlineStr">
        <is>
          <t>Föryngringsavverkning</t>
        </is>
      </c>
      <c r="D1899" s="1" t="n">
        <v>45889</v>
      </c>
      <c r="E1899" s="1" t="n">
        <v>46312</v>
      </c>
      <c r="F1899" t="inlineStr">
        <is>
          <t>SKÅNE LÄN</t>
        </is>
      </c>
      <c r="G1899" t="inlineStr">
        <is>
          <t>HÄSSLEHOLM</t>
        </is>
      </c>
      <c r="I1899" t="n">
        <v>1</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29816-2025</t>
        </is>
      </c>
      <c r="B1900" t="inlineStr">
        <is>
          <t>avverkningsanmälan</t>
        </is>
      </c>
      <c r="C1900" t="inlineStr">
        <is>
          <t>Föryngringsavverkning</t>
        </is>
      </c>
      <c r="D1900" s="1" t="n">
        <v>45825</v>
      </c>
      <c r="E1900" s="1" t="n">
        <v>46312</v>
      </c>
      <c r="F1900" t="inlineStr">
        <is>
          <t>SKÅNE LÄN</t>
        </is>
      </c>
      <c r="G1900" t="inlineStr">
        <is>
          <t>SJÖBO</t>
        </is>
      </c>
      <c r="I1900" t="n">
        <v>0.9</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65073-2023</t>
        </is>
      </c>
      <c r="B1901" t="inlineStr">
        <is>
          <t>avverkningsanmälan</t>
        </is>
      </c>
      <c r="C1901" t="inlineStr">
        <is>
          <t>Föryngringsavverkning</t>
        </is>
      </c>
      <c r="D1901" s="1" t="n">
        <v>45287</v>
      </c>
      <c r="E1901" s="1" t="n">
        <v>46312</v>
      </c>
      <c r="F1901" t="inlineStr">
        <is>
          <t>SKÅNE LÄN</t>
        </is>
      </c>
      <c r="G1901" t="inlineStr">
        <is>
          <t>HÖRBY</t>
        </is>
      </c>
      <c r="I1901" t="n">
        <v>1.7</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60780-2022</t>
        </is>
      </c>
      <c r="B1902" t="inlineStr">
        <is>
          <t>avverkningsanmälan</t>
        </is>
      </c>
      <c r="C1902" t="inlineStr">
        <is>
          <t>Föryngringsavverkning</t>
        </is>
      </c>
      <c r="D1902" s="1" t="n">
        <v>44914</v>
      </c>
      <c r="E1902" s="1" t="n">
        <v>46312</v>
      </c>
      <c r="F1902" t="inlineStr">
        <is>
          <t>SKÅNE LÄN</t>
        </is>
      </c>
      <c r="G1902" t="inlineStr">
        <is>
          <t>ÖSTRA GÖINGE</t>
        </is>
      </c>
      <c r="I1902" t="n">
        <v>1.7</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59359-2024</t>
        </is>
      </c>
      <c r="B1903" t="inlineStr">
        <is>
          <t>avverkningsanmälan</t>
        </is>
      </c>
      <c r="C1903" t="inlineStr">
        <is>
          <t>Föryngringsavverkning</t>
        </is>
      </c>
      <c r="D1903" s="1" t="n">
        <v>45638</v>
      </c>
      <c r="E1903" s="1" t="n">
        <v>46312</v>
      </c>
      <c r="F1903" t="inlineStr">
        <is>
          <t>SKÅNE LÄN</t>
        </is>
      </c>
      <c r="G1903" t="inlineStr">
        <is>
          <t>ÖSTRA GÖINGE</t>
        </is>
      </c>
      <c r="I1903" t="n">
        <v>0.7</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13549-2025</t>
        </is>
      </c>
      <c r="B1904" t="inlineStr">
        <is>
          <t>avverkningsanmälan</t>
        </is>
      </c>
      <c r="C1904" t="inlineStr">
        <is>
          <t>Föryngringsavverkning</t>
        </is>
      </c>
      <c r="D1904" s="1" t="n">
        <v>45736</v>
      </c>
      <c r="E1904" s="1" t="n">
        <v>46312</v>
      </c>
      <c r="F1904" t="inlineStr">
        <is>
          <t>SKÅNE LÄN</t>
        </is>
      </c>
      <c r="G1904" t="inlineStr">
        <is>
          <t>HÄSSLEHOLM</t>
        </is>
      </c>
      <c r="I1904" t="n">
        <v>0.9</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3875-2023</t>
        </is>
      </c>
      <c r="B1905" t="inlineStr">
        <is>
          <t>avverkningsanmälan</t>
        </is>
      </c>
      <c r="C1905" t="inlineStr">
        <is>
          <t>Föryngringsavverkning</t>
        </is>
      </c>
      <c r="D1905" s="1" t="n">
        <v>44951</v>
      </c>
      <c r="E1905" s="1" t="n">
        <v>46312</v>
      </c>
      <c r="F1905" t="inlineStr">
        <is>
          <t>SKÅNE LÄN</t>
        </is>
      </c>
      <c r="G1905" t="inlineStr">
        <is>
          <t>OSBY</t>
        </is>
      </c>
      <c r="I1905" t="n">
        <v>0.6</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19883-2024</t>
        </is>
      </c>
      <c r="B1906" t="inlineStr">
        <is>
          <t>avverkningsanmälan</t>
        </is>
      </c>
      <c r="C1906" t="inlineStr">
        <is>
          <t>Föryngringsavverkning</t>
        </is>
      </c>
      <c r="D1906" s="1" t="n">
        <v>45433</v>
      </c>
      <c r="E1906" s="1" t="n">
        <v>46312</v>
      </c>
      <c r="F1906" t="inlineStr">
        <is>
          <t>SKÅNE LÄN</t>
        </is>
      </c>
      <c r="G1906" t="inlineStr">
        <is>
          <t>SJÖBO</t>
        </is>
      </c>
      <c r="I1906" t="n">
        <v>4.4</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19888-2024</t>
        </is>
      </c>
      <c r="B1907" t="inlineStr">
        <is>
          <t>avverkningsanmälan</t>
        </is>
      </c>
      <c r="C1907" t="inlineStr">
        <is>
          <t>Föryngringsavverkning</t>
        </is>
      </c>
      <c r="D1907" s="1" t="n">
        <v>45433</v>
      </c>
      <c r="E1907" s="1" t="n">
        <v>46312</v>
      </c>
      <c r="F1907" t="inlineStr">
        <is>
          <t>SKÅNE LÄN</t>
        </is>
      </c>
      <c r="G1907" t="inlineStr">
        <is>
          <t>SJÖBO</t>
        </is>
      </c>
      <c r="I1907" t="n">
        <v>2.5</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39332-2025</t>
        </is>
      </c>
      <c r="B1908" t="inlineStr">
        <is>
          <t>avverkningsanmälan</t>
        </is>
      </c>
      <c r="C1908" t="inlineStr">
        <is>
          <t>Föryngringsavverkning</t>
        </is>
      </c>
      <c r="D1908" s="1" t="n">
        <v>45889</v>
      </c>
      <c r="E1908" s="1" t="n">
        <v>46312</v>
      </c>
      <c r="F1908" t="inlineStr">
        <is>
          <t>SKÅNE LÄN</t>
        </is>
      </c>
      <c r="G1908" t="inlineStr">
        <is>
          <t>KRISTIANSTAD</t>
        </is>
      </c>
      <c r="I1908" t="n">
        <v>1</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35150-2023</t>
        </is>
      </c>
      <c r="B1909" t="inlineStr">
        <is>
          <t>avverkningsanmälan</t>
        </is>
      </c>
      <c r="C1909" t="inlineStr">
        <is>
          <t>Föryngringsavverkning</t>
        </is>
      </c>
      <c r="D1909" s="1" t="n">
        <v>45145</v>
      </c>
      <c r="E1909" s="1" t="n">
        <v>46312</v>
      </c>
      <c r="F1909" t="inlineStr">
        <is>
          <t>SKÅNE LÄN</t>
        </is>
      </c>
      <c r="G1909" t="inlineStr">
        <is>
          <t>HÄSSLEHOLM</t>
        </is>
      </c>
      <c r="I1909" t="n">
        <v>4.9</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1427-2025</t>
        </is>
      </c>
      <c r="B1910" t="inlineStr">
        <is>
          <t>avverkningsanmälan</t>
        </is>
      </c>
      <c r="C1910" t="inlineStr">
        <is>
          <t>Föryngringsavverkning</t>
        </is>
      </c>
      <c r="D1910" s="1" t="n">
        <v>45668</v>
      </c>
      <c r="E1910" s="1" t="n">
        <v>46312</v>
      </c>
      <c r="F1910" t="inlineStr">
        <is>
          <t>SKÅNE LÄN</t>
        </is>
      </c>
      <c r="G1910" t="inlineStr">
        <is>
          <t>KRISTIANSTAD</t>
        </is>
      </c>
      <c r="I1910" t="n">
        <v>2.2</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10711-2024</t>
        </is>
      </c>
      <c r="B1911" t="inlineStr">
        <is>
          <t>avverkningsanmälan</t>
        </is>
      </c>
      <c r="C1911" t="inlineStr">
        <is>
          <t>Föryngringsavverkning</t>
        </is>
      </c>
      <c r="D1911" s="1" t="n">
        <v>45369</v>
      </c>
      <c r="E1911" s="1" t="n">
        <v>46312</v>
      </c>
      <c r="F1911" t="inlineStr">
        <is>
          <t>SKÅNE LÄN</t>
        </is>
      </c>
      <c r="G1911" t="inlineStr">
        <is>
          <t>OSBY</t>
        </is>
      </c>
      <c r="I1911" t="n">
        <v>0.7</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28097-2025</t>
        </is>
      </c>
      <c r="B1912" t="inlineStr">
        <is>
          <t>avverkningsanmälan</t>
        </is>
      </c>
      <c r="C1912" t="inlineStr">
        <is>
          <t>Föryngringsavverkning</t>
        </is>
      </c>
      <c r="D1912" s="1" t="n">
        <v>45817</v>
      </c>
      <c r="E1912" s="1" t="n">
        <v>46312</v>
      </c>
      <c r="F1912" t="inlineStr">
        <is>
          <t>SKÅNE LÄN</t>
        </is>
      </c>
      <c r="G1912" t="inlineStr">
        <is>
          <t>PERSTORP</t>
        </is>
      </c>
      <c r="I1912" t="n">
        <v>6.4</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30667-2023</t>
        </is>
      </c>
      <c r="B1913" t="inlineStr">
        <is>
          <t>avverkningsanmälan</t>
        </is>
      </c>
      <c r="C1913" t="inlineStr">
        <is>
          <t>Föryngringsavverkning</t>
        </is>
      </c>
      <c r="D1913" s="1" t="n">
        <v>45112</v>
      </c>
      <c r="E1913" s="1" t="n">
        <v>46312</v>
      </c>
      <c r="F1913" t="inlineStr">
        <is>
          <t>SKÅNE LÄN</t>
        </is>
      </c>
      <c r="G1913" t="inlineStr">
        <is>
          <t>SIMRISHAMN</t>
        </is>
      </c>
      <c r="H1913" t="inlineStr">
        <is>
          <t>Övriga Aktiebolag</t>
        </is>
      </c>
      <c r="I1913" t="n">
        <v>1</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47289-2025</t>
        </is>
      </c>
      <c r="B1914" t="inlineStr">
        <is>
          <t>avverkningsanmälan</t>
        </is>
      </c>
      <c r="C1914" t="inlineStr">
        <is>
          <t>Föryngringsavverkning</t>
        </is>
      </c>
      <c r="D1914" s="1" t="n">
        <v>45930</v>
      </c>
      <c r="E1914" s="1" t="n">
        <v>46312</v>
      </c>
      <c r="F1914" t="inlineStr">
        <is>
          <t>SKÅNE LÄN</t>
        </is>
      </c>
      <c r="G1914" t="inlineStr">
        <is>
          <t>PERSTORP</t>
        </is>
      </c>
      <c r="I1914" t="n">
        <v>3.7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24776-2025</t>
        </is>
      </c>
      <c r="B1915" t="inlineStr">
        <is>
          <t>avverkningsanmälan</t>
        </is>
      </c>
      <c r="C1915" t="inlineStr">
        <is>
          <t>Föryngringsavverkning</t>
        </is>
      </c>
      <c r="D1915" s="1" t="n">
        <v>45799</v>
      </c>
      <c r="E1915" s="1" t="n">
        <v>46312</v>
      </c>
      <c r="F1915" t="inlineStr">
        <is>
          <t>SKÅNE LÄN</t>
        </is>
      </c>
      <c r="G1915" t="inlineStr">
        <is>
          <t>HÄSSLEHOLM</t>
        </is>
      </c>
      <c r="I1915" t="n">
        <v>5.4</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39453-2025</t>
        </is>
      </c>
      <c r="B1916" t="inlineStr">
        <is>
          <t>avverkningsanmälan</t>
        </is>
      </c>
      <c r="C1916" t="inlineStr">
        <is>
          <t>Föryngringsavverkning</t>
        </is>
      </c>
      <c r="D1916" s="1" t="n">
        <v>45889</v>
      </c>
      <c r="E1916" s="1" t="n">
        <v>46312</v>
      </c>
      <c r="F1916" t="inlineStr">
        <is>
          <t>SKÅNE LÄN</t>
        </is>
      </c>
      <c r="G1916" t="inlineStr">
        <is>
          <t>HÄSSLEHOLM</t>
        </is>
      </c>
      <c r="I1916" t="n">
        <v>2.5</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6760-2024</t>
        </is>
      </c>
      <c r="B1917" t="inlineStr">
        <is>
          <t>avverkningsanmälan</t>
        </is>
      </c>
      <c r="C1917" t="inlineStr">
        <is>
          <t>Föryngringsavverkning</t>
        </is>
      </c>
      <c r="D1917" s="1" t="n">
        <v>45342</v>
      </c>
      <c r="E1917" s="1" t="n">
        <v>46312</v>
      </c>
      <c r="F1917" t="inlineStr">
        <is>
          <t>SKÅNE LÄN</t>
        </is>
      </c>
      <c r="G1917" t="inlineStr">
        <is>
          <t>HÖÖR</t>
        </is>
      </c>
      <c r="I1917" t="n">
        <v>4.1</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48693-2022</t>
        </is>
      </c>
      <c r="B1918" t="inlineStr">
        <is>
          <t>avverkningsanmälan</t>
        </is>
      </c>
      <c r="C1918" t="inlineStr">
        <is>
          <t>Föryngringsavverkning</t>
        </is>
      </c>
      <c r="D1918" s="1" t="n">
        <v>44855</v>
      </c>
      <c r="E1918" s="1" t="n">
        <v>46312</v>
      </c>
      <c r="F1918" t="inlineStr">
        <is>
          <t>SKÅNE LÄN</t>
        </is>
      </c>
      <c r="G1918" t="inlineStr">
        <is>
          <t>KRISTIANSTAD</t>
        </is>
      </c>
      <c r="I1918" t="n">
        <v>6.4</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38080-2024</t>
        </is>
      </c>
      <c r="B1919" t="inlineStr">
        <is>
          <t>avverkningsanmälan</t>
        </is>
      </c>
      <c r="C1919" t="inlineStr">
        <is>
          <t>Föryngringsavverkning</t>
        </is>
      </c>
      <c r="D1919" s="1" t="n">
        <v>45545</v>
      </c>
      <c r="E1919" s="1" t="n">
        <v>46312</v>
      </c>
      <c r="F1919" t="inlineStr">
        <is>
          <t>SKÅNE LÄN</t>
        </is>
      </c>
      <c r="G1919" t="inlineStr">
        <is>
          <t>HÖRBY</t>
        </is>
      </c>
      <c r="I1919" t="n">
        <v>0.7</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18041-2023</t>
        </is>
      </c>
      <c r="B1920" t="inlineStr">
        <is>
          <t>avverkningsanmälan</t>
        </is>
      </c>
      <c r="C1920" t="inlineStr">
        <is>
          <t>Föryngringsavverkning</t>
        </is>
      </c>
      <c r="D1920" s="1" t="n">
        <v>45040</v>
      </c>
      <c r="E1920" s="1" t="n">
        <v>46312</v>
      </c>
      <c r="F1920" t="inlineStr">
        <is>
          <t>SKÅNE LÄN</t>
        </is>
      </c>
      <c r="G1920" t="inlineStr">
        <is>
          <t>HÄSSLEHOLM</t>
        </is>
      </c>
      <c r="I1920" t="n">
        <v>0.6</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39937-2025</t>
        </is>
      </c>
      <c r="B1921" t="inlineStr">
        <is>
          <t>avverkningsanmälan</t>
        </is>
      </c>
      <c r="C1921" t="inlineStr">
        <is>
          <t>Föryngringsavverkning</t>
        </is>
      </c>
      <c r="D1921" s="1" t="n">
        <v>45891</v>
      </c>
      <c r="E1921" s="1" t="n">
        <v>46312</v>
      </c>
      <c r="F1921" t="inlineStr">
        <is>
          <t>SKÅNE LÄN</t>
        </is>
      </c>
      <c r="G1921" t="inlineStr">
        <is>
          <t>HÄSSLEHOLM</t>
        </is>
      </c>
      <c r="I1921" t="n">
        <v>4.5</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1068-2025</t>
        </is>
      </c>
      <c r="B1922" t="inlineStr">
        <is>
          <t>avverkningsanmälan</t>
        </is>
      </c>
      <c r="C1922" t="inlineStr">
        <is>
          <t>Föryngringsavverkning</t>
        </is>
      </c>
      <c r="D1922" s="1" t="n">
        <v>45666</v>
      </c>
      <c r="E1922" s="1" t="n">
        <v>46312</v>
      </c>
      <c r="F1922" t="inlineStr">
        <is>
          <t>SKÅNE LÄN</t>
        </is>
      </c>
      <c r="G1922" t="inlineStr">
        <is>
          <t>OSBY</t>
        </is>
      </c>
      <c r="I1922" t="n">
        <v>1.3</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61060-2025</t>
        </is>
      </c>
      <c r="B1923" t="inlineStr">
        <is>
          <t>avverkningsanmälan</t>
        </is>
      </c>
      <c r="C1923" t="inlineStr">
        <is>
          <t>Föryngringsavverkning</t>
        </is>
      </c>
      <c r="D1923" s="1" t="n">
        <v>46000</v>
      </c>
      <c r="E1923" s="1" t="n">
        <v>46312</v>
      </c>
      <c r="F1923" t="inlineStr">
        <is>
          <t>SKÅNE LÄN</t>
        </is>
      </c>
      <c r="G1923" t="inlineStr">
        <is>
          <t>KLIPPAN</t>
        </is>
      </c>
      <c r="H1923" t="inlineStr">
        <is>
          <t>Sveaskog</t>
        </is>
      </c>
      <c r="I1923" t="n">
        <v>1</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46279-2024</t>
        </is>
      </c>
      <c r="B1924" t="inlineStr">
        <is>
          <t>avverkningsanmälan</t>
        </is>
      </c>
      <c r="C1924" t="inlineStr">
        <is>
          <t>Avverkning för att bevara och utveckla /försöksver</t>
        </is>
      </c>
      <c r="D1924" s="1" t="n">
        <v>45581</v>
      </c>
      <c r="E1924" s="1" t="n">
        <v>46312</v>
      </c>
      <c r="F1924" t="inlineStr">
        <is>
          <t>SKÅNE LÄN</t>
        </is>
      </c>
      <c r="G1924" t="inlineStr">
        <is>
          <t>ÖSTRA GÖINGE</t>
        </is>
      </c>
      <c r="H1924" t="inlineStr">
        <is>
          <t>Sveaskog</t>
        </is>
      </c>
      <c r="I1924" t="n">
        <v>0.5</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49250-2022</t>
        </is>
      </c>
      <c r="B1925" t="inlineStr">
        <is>
          <t>avverkningsanmälan</t>
        </is>
      </c>
      <c r="C1925" t="inlineStr">
        <is>
          <t>Föryngringsavverkning</t>
        </is>
      </c>
      <c r="D1925" s="1" t="n">
        <v>44858</v>
      </c>
      <c r="E1925" s="1" t="n">
        <v>46312</v>
      </c>
      <c r="F1925" t="inlineStr">
        <is>
          <t>SKÅNE LÄN</t>
        </is>
      </c>
      <c r="G1925" t="inlineStr">
        <is>
          <t>HÄSSLEHOLM</t>
        </is>
      </c>
      <c r="H1925" t="inlineStr">
        <is>
          <t>Kyrkan</t>
        </is>
      </c>
      <c r="I1925" t="n">
        <v>1.5</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34216-2023</t>
        </is>
      </c>
      <c r="B1926" t="inlineStr">
        <is>
          <t>avverkningsanmälan</t>
        </is>
      </c>
      <c r="C1926" t="inlineStr">
        <is>
          <t>Föryngringsavverkning</t>
        </is>
      </c>
      <c r="D1926" s="1" t="n">
        <v>45126</v>
      </c>
      <c r="E1926" s="1" t="n">
        <v>46312</v>
      </c>
      <c r="F1926" t="inlineStr">
        <is>
          <t>SKÅNE LÄN</t>
        </is>
      </c>
      <c r="G1926" t="inlineStr">
        <is>
          <t>BROMÖLLA</t>
        </is>
      </c>
      <c r="H1926" t="inlineStr">
        <is>
          <t>Kyrkan</t>
        </is>
      </c>
      <c r="I1926" t="n">
        <v>0.9</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1557-2023</t>
        </is>
      </c>
      <c r="B1927" t="inlineStr">
        <is>
          <t>avverkningsanmälan</t>
        </is>
      </c>
      <c r="C1927" t="inlineStr">
        <is>
          <t>Föryngringsavverkning</t>
        </is>
      </c>
      <c r="D1927" s="1" t="n">
        <v>44937</v>
      </c>
      <c r="E1927" s="1" t="n">
        <v>46312</v>
      </c>
      <c r="F1927" t="inlineStr">
        <is>
          <t>SKÅNE LÄN</t>
        </is>
      </c>
      <c r="G1927" t="inlineStr">
        <is>
          <t>HÄSSLEHOLM</t>
        </is>
      </c>
      <c r="I1927" t="n">
        <v>1.5</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7016-2025</t>
        </is>
      </c>
      <c r="B1928" t="inlineStr">
        <is>
          <t>avverkningsanmälan</t>
        </is>
      </c>
      <c r="C1928" t="inlineStr">
        <is>
          <t>Föryngringsavverkning</t>
        </is>
      </c>
      <c r="D1928" s="1" t="n">
        <v>45701</v>
      </c>
      <c r="E1928" s="1" t="n">
        <v>46312</v>
      </c>
      <c r="F1928" t="inlineStr">
        <is>
          <t>SKÅNE LÄN</t>
        </is>
      </c>
      <c r="G1928" t="inlineStr">
        <is>
          <t>ESLÖV</t>
        </is>
      </c>
      <c r="H1928" t="inlineStr">
        <is>
          <t>Sveaskog</t>
        </is>
      </c>
      <c r="I1928" t="n">
        <v>2.3</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7492-2025</t>
        </is>
      </c>
      <c r="B1929" t="inlineStr">
        <is>
          <t>avverkningsanmälan</t>
        </is>
      </c>
      <c r="C1929" t="inlineStr">
        <is>
          <t>Föryngringsavverkning</t>
        </is>
      </c>
      <c r="D1929" s="1" t="n">
        <v>45702</v>
      </c>
      <c r="E1929" s="1" t="n">
        <v>46312</v>
      </c>
      <c r="F1929" t="inlineStr">
        <is>
          <t>SKÅNE LÄN</t>
        </is>
      </c>
      <c r="G1929" t="inlineStr">
        <is>
          <t>PERSTORP</t>
        </is>
      </c>
      <c r="H1929" t="inlineStr">
        <is>
          <t>Övriga Aktiebolag</t>
        </is>
      </c>
      <c r="I1929" t="n">
        <v>2.3</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40301-2025</t>
        </is>
      </c>
      <c r="B1930" t="inlineStr">
        <is>
          <t>avverkningsanmälan</t>
        </is>
      </c>
      <c r="C1930" t="inlineStr">
        <is>
          <t>Föryngringsavverkning</t>
        </is>
      </c>
      <c r="D1930" s="1" t="n">
        <v>45895</v>
      </c>
      <c r="E1930" s="1" t="n">
        <v>46312</v>
      </c>
      <c r="F1930" t="inlineStr">
        <is>
          <t>SKÅNE LÄN</t>
        </is>
      </c>
      <c r="G1930" t="inlineStr">
        <is>
          <t>KRISTIANSTAD</t>
        </is>
      </c>
      <c r="I1930" t="n">
        <v>0.5</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40286-2025</t>
        </is>
      </c>
      <c r="B1931" t="inlineStr">
        <is>
          <t>avverkningsanmälan</t>
        </is>
      </c>
      <c r="C1931" t="inlineStr">
        <is>
          <t>Föryngringsavverkning</t>
        </is>
      </c>
      <c r="D1931" s="1" t="n">
        <v>45895</v>
      </c>
      <c r="E1931" s="1" t="n">
        <v>46312</v>
      </c>
      <c r="F1931" t="inlineStr">
        <is>
          <t>SKÅNE LÄN</t>
        </is>
      </c>
      <c r="G1931" t="inlineStr">
        <is>
          <t>KRISTIANSTAD</t>
        </is>
      </c>
      <c r="I1931" t="n">
        <v>0.5</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39994-2025</t>
        </is>
      </c>
      <c r="B1932" t="inlineStr">
        <is>
          <t>avverkningsanmälan</t>
        </is>
      </c>
      <c r="C1932" t="inlineStr">
        <is>
          <t>Föryngringsavverkning</t>
        </is>
      </c>
      <c r="D1932" s="1" t="n">
        <v>45894</v>
      </c>
      <c r="E1932" s="1" t="n">
        <v>46312</v>
      </c>
      <c r="F1932" t="inlineStr">
        <is>
          <t>SKÅNE LÄN</t>
        </is>
      </c>
      <c r="G1932" t="inlineStr">
        <is>
          <t>KRISTIANSTAD</t>
        </is>
      </c>
      <c r="I1932" t="n">
        <v>12.8</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2554-2023</t>
        </is>
      </c>
      <c r="B1933" t="inlineStr">
        <is>
          <t>avverkningsanmälan</t>
        </is>
      </c>
      <c r="C1933" t="inlineStr">
        <is>
          <t>Föryngringsavverkning</t>
        </is>
      </c>
      <c r="D1933" s="1" t="n">
        <v>44943</v>
      </c>
      <c r="E1933" s="1" t="n">
        <v>46312</v>
      </c>
      <c r="F1933" t="inlineStr">
        <is>
          <t>SKÅNE LÄN</t>
        </is>
      </c>
      <c r="G1933" t="inlineStr">
        <is>
          <t>SIMRISHAMN</t>
        </is>
      </c>
      <c r="I1933" t="n">
        <v>0.1</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9239-2025</t>
        </is>
      </c>
      <c r="B1934" t="inlineStr">
        <is>
          <t>avverkningsanmälan</t>
        </is>
      </c>
      <c r="C1934" t="inlineStr">
        <is>
          <t>Föryngringsavverkning</t>
        </is>
      </c>
      <c r="D1934" s="1" t="n">
        <v>45714</v>
      </c>
      <c r="E1934" s="1" t="n">
        <v>46312</v>
      </c>
      <c r="F1934" t="inlineStr">
        <is>
          <t>SKÅNE LÄN</t>
        </is>
      </c>
      <c r="G1934" t="inlineStr">
        <is>
          <t>HÄSSLEHOLM</t>
        </is>
      </c>
      <c r="I1934" t="n">
        <v>1.8</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40083-2025</t>
        </is>
      </c>
      <c r="B1935" t="inlineStr">
        <is>
          <t>avverkningsanmälan</t>
        </is>
      </c>
      <c r="C1935" t="inlineStr">
        <is>
          <t>Föryngringsavverkning</t>
        </is>
      </c>
      <c r="D1935" s="1" t="n">
        <v>45894</v>
      </c>
      <c r="E1935" s="1" t="n">
        <v>46312</v>
      </c>
      <c r="F1935" t="inlineStr">
        <is>
          <t>SKÅNE LÄN</t>
        </is>
      </c>
      <c r="G1935" t="inlineStr">
        <is>
          <t>HÖÖR</t>
        </is>
      </c>
      <c r="I1935" t="n">
        <v>2.1</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27948-2023</t>
        </is>
      </c>
      <c r="B1936" t="inlineStr">
        <is>
          <t>avverkningsanmälan</t>
        </is>
      </c>
      <c r="C1936" t="inlineStr">
        <is>
          <t>Föryngringsavverkning</t>
        </is>
      </c>
      <c r="D1936" s="1" t="n">
        <v>45098</v>
      </c>
      <c r="E1936" s="1" t="n">
        <v>46312</v>
      </c>
      <c r="F1936" t="inlineStr">
        <is>
          <t>SKÅNE LÄN</t>
        </is>
      </c>
      <c r="G1936" t="inlineStr">
        <is>
          <t>KRISTIANSTAD</t>
        </is>
      </c>
      <c r="I1936" t="n">
        <v>1.1</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20088-2026</t>
        </is>
      </c>
      <c r="B1937" t="inlineStr">
        <is>
          <t>avverkningsanmälan</t>
        </is>
      </c>
      <c r="C1937" t="inlineStr">
        <is>
          <t>Föryngringsavverkning</t>
        </is>
      </c>
      <c r="D1937" s="1" t="n">
        <v>46136</v>
      </c>
      <c r="E1937" s="1" t="n">
        <v>46312</v>
      </c>
      <c r="F1937" t="inlineStr">
        <is>
          <t>SKÅNE LÄN</t>
        </is>
      </c>
      <c r="G1937" t="inlineStr">
        <is>
          <t>KLIPPAN</t>
        </is>
      </c>
      <c r="H1937" t="inlineStr">
        <is>
          <t>Sveaskog</t>
        </is>
      </c>
      <c r="I1937" t="n">
        <v>6.6</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40287-2025</t>
        </is>
      </c>
      <c r="B1938" t="inlineStr">
        <is>
          <t>avverkningsanmälan</t>
        </is>
      </c>
      <c r="C1938" t="inlineStr">
        <is>
          <t>Föryngringsavverkning</t>
        </is>
      </c>
      <c r="D1938" s="1" t="n">
        <v>45895</v>
      </c>
      <c r="E1938" s="1" t="n">
        <v>46312</v>
      </c>
      <c r="F1938" t="inlineStr">
        <is>
          <t>SKÅNE LÄN</t>
        </is>
      </c>
      <c r="G1938" t="inlineStr">
        <is>
          <t>ÄNGELHOLM</t>
        </is>
      </c>
      <c r="I1938" t="n">
        <v>0.5</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45222-2023</t>
        </is>
      </c>
      <c r="B1939" t="inlineStr">
        <is>
          <t>avverkningsanmälan</t>
        </is>
      </c>
      <c r="C1939" t="inlineStr">
        <is>
          <t>Avverkning för annat ändamål</t>
        </is>
      </c>
      <c r="D1939" s="1" t="n">
        <v>45191</v>
      </c>
      <c r="E1939" s="1" t="n">
        <v>46312</v>
      </c>
      <c r="F1939" t="inlineStr">
        <is>
          <t>SKÅNE LÄN</t>
        </is>
      </c>
      <c r="G1939" t="inlineStr">
        <is>
          <t>HÄSSLEHOLM</t>
        </is>
      </c>
      <c r="I1939" t="n">
        <v>1.5</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35798-2023</t>
        </is>
      </c>
      <c r="B1940" t="inlineStr">
        <is>
          <t>avverkningsanmälan</t>
        </is>
      </c>
      <c r="C1940" t="inlineStr">
        <is>
          <t>Föryngringsavverkning</t>
        </is>
      </c>
      <c r="D1940" s="1" t="n">
        <v>45148</v>
      </c>
      <c r="E1940" s="1" t="n">
        <v>46312</v>
      </c>
      <c r="F1940" t="inlineStr">
        <is>
          <t>SKÅNE LÄN</t>
        </is>
      </c>
      <c r="G1940" t="inlineStr">
        <is>
          <t>BROMÖLLA</t>
        </is>
      </c>
      <c r="I1940" t="n">
        <v>0.4</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40090-2025</t>
        </is>
      </c>
      <c r="B1941" t="inlineStr">
        <is>
          <t>avverkningsanmälan</t>
        </is>
      </c>
      <c r="C1941" t="inlineStr">
        <is>
          <t>Föryngringsavverkning</t>
        </is>
      </c>
      <c r="D1941" s="1" t="n">
        <v>45894</v>
      </c>
      <c r="E1941" s="1" t="n">
        <v>46312</v>
      </c>
      <c r="F1941" t="inlineStr">
        <is>
          <t>SKÅNE LÄN</t>
        </is>
      </c>
      <c r="G1941" t="inlineStr">
        <is>
          <t>HÖÖR</t>
        </is>
      </c>
      <c r="I1941" t="n">
        <v>1.5</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33879-2025</t>
        </is>
      </c>
      <c r="B1942" t="inlineStr">
        <is>
          <t>avverkningsanmälan</t>
        </is>
      </c>
      <c r="C1942" t="inlineStr">
        <is>
          <t>Föryngringsavverkning</t>
        </is>
      </c>
      <c r="D1942" s="1" t="n">
        <v>45842</v>
      </c>
      <c r="E1942" s="1" t="n">
        <v>46312</v>
      </c>
      <c r="F1942" t="inlineStr">
        <is>
          <t>SKÅNE LÄN</t>
        </is>
      </c>
      <c r="G1942" t="inlineStr">
        <is>
          <t>HÄSSLEHOLM</t>
        </is>
      </c>
      <c r="I1942" t="n">
        <v>6.1</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35890-2023</t>
        </is>
      </c>
      <c r="B1943" t="inlineStr">
        <is>
          <t>avverkningsanmälan</t>
        </is>
      </c>
      <c r="C1943" t="inlineStr">
        <is>
          <t>Föryngringsavverkning</t>
        </is>
      </c>
      <c r="D1943" s="1" t="n">
        <v>45148</v>
      </c>
      <c r="E1943" s="1" t="n">
        <v>46312</v>
      </c>
      <c r="F1943" t="inlineStr">
        <is>
          <t>SKÅNE LÄN</t>
        </is>
      </c>
      <c r="G1943" t="inlineStr">
        <is>
          <t>HÄSSLEHOLM</t>
        </is>
      </c>
      <c r="I1943" t="n">
        <v>2</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35895-2023</t>
        </is>
      </c>
      <c r="B1944" t="inlineStr">
        <is>
          <t>avverkningsanmälan</t>
        </is>
      </c>
      <c r="C1944" t="inlineStr">
        <is>
          <t>Föryngringsavverkning</t>
        </is>
      </c>
      <c r="D1944" s="1" t="n">
        <v>45148</v>
      </c>
      <c r="E1944" s="1" t="n">
        <v>46312</v>
      </c>
      <c r="F1944" t="inlineStr">
        <is>
          <t>SKÅNE LÄN</t>
        </is>
      </c>
      <c r="G1944" t="inlineStr">
        <is>
          <t>HÄSSLEHOLM</t>
        </is>
      </c>
      <c r="I1944" t="n">
        <v>0.4</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61569-2023</t>
        </is>
      </c>
      <c r="B1945" t="inlineStr">
        <is>
          <t>avverkningsanmälan</t>
        </is>
      </c>
      <c r="C1945" t="inlineStr">
        <is>
          <t>Föryngringsavverkning</t>
        </is>
      </c>
      <c r="D1945" s="1" t="n">
        <v>45265</v>
      </c>
      <c r="E1945" s="1" t="n">
        <v>46312</v>
      </c>
      <c r="F1945" t="inlineStr">
        <is>
          <t>SKÅNE LÄN</t>
        </is>
      </c>
      <c r="G1945" t="inlineStr">
        <is>
          <t>HÄSSLEHOLM</t>
        </is>
      </c>
      <c r="I1945" t="n">
        <v>0.8</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41529-2023</t>
        </is>
      </c>
      <c r="B1946" t="inlineStr">
        <is>
          <t>avverkningsanmälan</t>
        </is>
      </c>
      <c r="C1946" t="inlineStr">
        <is>
          <t>Föryngringsavverkning</t>
        </is>
      </c>
      <c r="D1946" s="1" t="n">
        <v>45175</v>
      </c>
      <c r="E1946" s="1" t="n">
        <v>46312</v>
      </c>
      <c r="F1946" t="inlineStr">
        <is>
          <t>SKÅNE LÄN</t>
        </is>
      </c>
      <c r="G1946" t="inlineStr">
        <is>
          <t>OSBY</t>
        </is>
      </c>
      <c r="I1946" t="n">
        <v>1.1</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42177-2023</t>
        </is>
      </c>
      <c r="B1947" t="inlineStr">
        <is>
          <t>avverkningsanmälan</t>
        </is>
      </c>
      <c r="C1947" t="inlineStr">
        <is>
          <t>Föryngringsavverkning</t>
        </is>
      </c>
      <c r="D1947" s="1" t="n">
        <v>45178</v>
      </c>
      <c r="E1947" s="1" t="n">
        <v>46312</v>
      </c>
      <c r="F1947" t="inlineStr">
        <is>
          <t>SKÅNE LÄN</t>
        </is>
      </c>
      <c r="G1947" t="inlineStr">
        <is>
          <t>ÖRKELLJUNGA</t>
        </is>
      </c>
      <c r="I1947" t="n">
        <v>0.5</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42231-2023</t>
        </is>
      </c>
      <c r="B1948" t="inlineStr">
        <is>
          <t>avverkningsanmälan</t>
        </is>
      </c>
      <c r="C1948" t="inlineStr">
        <is>
          <t>Föryngringsavverkning</t>
        </is>
      </c>
      <c r="D1948" s="1" t="n">
        <v>45180</v>
      </c>
      <c r="E1948" s="1" t="n">
        <v>46312</v>
      </c>
      <c r="F1948" t="inlineStr">
        <is>
          <t>SKÅNE LÄN</t>
        </is>
      </c>
      <c r="G1948" t="inlineStr">
        <is>
          <t>SIMRISHAMN</t>
        </is>
      </c>
      <c r="I1948" t="n">
        <v>2.4</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36358-2023</t>
        </is>
      </c>
      <c r="B1949" t="inlineStr">
        <is>
          <t>avverkningsanmälan</t>
        </is>
      </c>
      <c r="C1949" t="inlineStr">
        <is>
          <t>Föryngringsavverkning</t>
        </is>
      </c>
      <c r="D1949" s="1" t="n">
        <v>45166</v>
      </c>
      <c r="E1949" s="1" t="n">
        <v>46312</v>
      </c>
      <c r="F1949" t="inlineStr">
        <is>
          <t>SKÅNE LÄN</t>
        </is>
      </c>
      <c r="G1949" t="inlineStr">
        <is>
          <t>KRISTIANSTAD</t>
        </is>
      </c>
      <c r="I1949" t="n">
        <v>1.6</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39898-2023</t>
        </is>
      </c>
      <c r="B1950" t="inlineStr">
        <is>
          <t>avverkningsanmälan</t>
        </is>
      </c>
      <c r="C1950" t="inlineStr">
        <is>
          <t>Föryngringsavverkning</t>
        </is>
      </c>
      <c r="D1950" s="1" t="n">
        <v>45166</v>
      </c>
      <c r="E1950" s="1" t="n">
        <v>46312</v>
      </c>
      <c r="F1950" t="inlineStr">
        <is>
          <t>SKÅNE LÄN</t>
        </is>
      </c>
      <c r="G1950" t="inlineStr">
        <is>
          <t>KRISTIANSTAD</t>
        </is>
      </c>
      <c r="I1950" t="n">
        <v>0.9</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60031-2024</t>
        </is>
      </c>
      <c r="B1951" t="inlineStr">
        <is>
          <t>avverkningsanmälan</t>
        </is>
      </c>
      <c r="C1951" t="inlineStr">
        <is>
          <t>Föryngringsavverkning</t>
        </is>
      </c>
      <c r="D1951" s="1" t="n">
        <v>45642</v>
      </c>
      <c r="E1951" s="1" t="n">
        <v>46312</v>
      </c>
      <c r="F1951" t="inlineStr">
        <is>
          <t>SKÅNE LÄN</t>
        </is>
      </c>
      <c r="G1951" t="inlineStr">
        <is>
          <t>OSBY</t>
        </is>
      </c>
      <c r="I1951" t="n">
        <v>5</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32488-2025</t>
        </is>
      </c>
      <c r="B1952" t="inlineStr">
        <is>
          <t>avverkningsanmälan</t>
        </is>
      </c>
      <c r="C1952" t="inlineStr">
        <is>
          <t>Föryngringsavverkning</t>
        </is>
      </c>
      <c r="D1952" s="1" t="n">
        <v>45838</v>
      </c>
      <c r="E1952" s="1" t="n">
        <v>46312</v>
      </c>
      <c r="F1952" t="inlineStr">
        <is>
          <t>SKÅNE LÄN</t>
        </is>
      </c>
      <c r="G1952" t="inlineStr">
        <is>
          <t>SIMRISHAMN</t>
        </is>
      </c>
      <c r="I1952" t="n">
        <v>4.7</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6174-2025</t>
        </is>
      </c>
      <c r="B1953" t="inlineStr">
        <is>
          <t>avverkningsanmälan</t>
        </is>
      </c>
      <c r="C1953" t="inlineStr">
        <is>
          <t>Föryngringsavverkning</t>
        </is>
      </c>
      <c r="D1953" s="1" t="n">
        <v>45698</v>
      </c>
      <c r="E1953" s="1" t="n">
        <v>46312</v>
      </c>
      <c r="F1953" t="inlineStr">
        <is>
          <t>SKÅNE LÄN</t>
        </is>
      </c>
      <c r="G1953" t="inlineStr">
        <is>
          <t>HÖÖR</t>
        </is>
      </c>
      <c r="I1953" t="n">
        <v>2.6</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40500-2025</t>
        </is>
      </c>
      <c r="B1954" t="inlineStr">
        <is>
          <t>avverkningsanmälan</t>
        </is>
      </c>
      <c r="C1954" t="inlineStr">
        <is>
          <t>Avverkning för annat ändamål</t>
        </is>
      </c>
      <c r="D1954" s="1" t="n">
        <v>45896</v>
      </c>
      <c r="E1954" s="1" t="n">
        <v>46312</v>
      </c>
      <c r="F1954" t="inlineStr">
        <is>
          <t>SKÅNE LÄN</t>
        </is>
      </c>
      <c r="G1954" t="inlineStr">
        <is>
          <t>KRISTIANSTAD</t>
        </is>
      </c>
      <c r="I1954" t="n">
        <v>1.3</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60460-2023</t>
        </is>
      </c>
      <c r="B1955" t="inlineStr">
        <is>
          <t>avverkningsanmälan</t>
        </is>
      </c>
      <c r="C1955" t="inlineStr">
        <is>
          <t>Föryngringsavverkning</t>
        </is>
      </c>
      <c r="D1955" s="1" t="n">
        <v>45258</v>
      </c>
      <c r="E1955" s="1" t="n">
        <v>46312</v>
      </c>
      <c r="F1955" t="inlineStr">
        <is>
          <t>SKÅNE LÄN</t>
        </is>
      </c>
      <c r="G1955" t="inlineStr">
        <is>
          <t>KRISTIANSTAD</t>
        </is>
      </c>
      <c r="I1955" t="n">
        <v>4.5</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43855-2022</t>
        </is>
      </c>
      <c r="B1956" t="inlineStr">
        <is>
          <t>avverkningsanmälan</t>
        </is>
      </c>
      <c r="C1956" t="inlineStr">
        <is>
          <t>Föryngringsavverkning</t>
        </is>
      </c>
      <c r="D1956" s="1" t="n">
        <v>44838</v>
      </c>
      <c r="E1956" s="1" t="n">
        <v>46312</v>
      </c>
      <c r="F1956" t="inlineStr">
        <is>
          <t>SKÅNE LÄN</t>
        </is>
      </c>
      <c r="G1956" t="inlineStr">
        <is>
          <t>KLIPPAN</t>
        </is>
      </c>
      <c r="H1956" t="inlineStr">
        <is>
          <t>Sveaskog</t>
        </is>
      </c>
      <c r="I1956" t="n">
        <v>1.3</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55410-2022</t>
        </is>
      </c>
      <c r="B1957" t="inlineStr">
        <is>
          <t>avverkningsanmälan</t>
        </is>
      </c>
      <c r="C1957" t="inlineStr">
        <is>
          <t>Föryngringsavverkning</t>
        </is>
      </c>
      <c r="D1957" s="1" t="n">
        <v>44882</v>
      </c>
      <c r="E1957" s="1" t="n">
        <v>46312</v>
      </c>
      <c r="F1957" t="inlineStr">
        <is>
          <t>SKÅNE LÄN</t>
        </is>
      </c>
      <c r="G1957" t="inlineStr">
        <is>
          <t>PERSTORP</t>
        </is>
      </c>
      <c r="H1957" t="inlineStr">
        <is>
          <t>Övriga Aktiebolag</t>
        </is>
      </c>
      <c r="I1957" t="n">
        <v>0.5</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40621-2025</t>
        </is>
      </c>
      <c r="B1958" t="inlineStr">
        <is>
          <t>avverkningsanmälan</t>
        </is>
      </c>
      <c r="C1958" t="inlineStr">
        <is>
          <t>Föryngringsavverkning</t>
        </is>
      </c>
      <c r="D1958" s="1" t="n">
        <v>45896</v>
      </c>
      <c r="E1958" s="1" t="n">
        <v>46312</v>
      </c>
      <c r="F1958" t="inlineStr">
        <is>
          <t>SKÅNE LÄN</t>
        </is>
      </c>
      <c r="G1958" t="inlineStr">
        <is>
          <t>ÖSTRA GÖINGE</t>
        </is>
      </c>
      <c r="H1958" t="inlineStr">
        <is>
          <t>Kyrkan</t>
        </is>
      </c>
      <c r="I1958" t="n">
        <v>3</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5590-2022</t>
        </is>
      </c>
      <c r="B1959" t="inlineStr">
        <is>
          <t>avverkningsanmälan</t>
        </is>
      </c>
      <c r="C1959" t="inlineStr">
        <is>
          <t>Föryngringsavverkning</t>
        </is>
      </c>
      <c r="D1959" s="1" t="n">
        <v>44595</v>
      </c>
      <c r="E1959" s="1" t="n">
        <v>46312</v>
      </c>
      <c r="F1959" t="inlineStr">
        <is>
          <t>SKÅNE LÄN</t>
        </is>
      </c>
      <c r="G1959" t="inlineStr">
        <is>
          <t>KRISTIANSTAD</t>
        </is>
      </c>
      <c r="I1959" t="n">
        <v>1.1</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26907-2024</t>
        </is>
      </c>
      <c r="B1960" t="inlineStr">
        <is>
          <t>avverkningsanmälan</t>
        </is>
      </c>
      <c r="C1960" t="inlineStr">
        <is>
          <t>Föryngringsavverkning</t>
        </is>
      </c>
      <c r="D1960" s="1" t="n">
        <v>45470</v>
      </c>
      <c r="E1960" s="1" t="n">
        <v>46312</v>
      </c>
      <c r="F1960" t="inlineStr">
        <is>
          <t>SKÅNE LÄN</t>
        </is>
      </c>
      <c r="G1960" t="inlineStr">
        <is>
          <t>KRISTIANSTAD</t>
        </is>
      </c>
      <c r="I1960" t="n">
        <v>0.9</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54471-2023</t>
        </is>
      </c>
      <c r="B1961" t="inlineStr">
        <is>
          <t>avverkningsanmälan</t>
        </is>
      </c>
      <c r="C1961" t="inlineStr">
        <is>
          <t>Föryngringsavverkning</t>
        </is>
      </c>
      <c r="D1961" s="1" t="n">
        <v>45233</v>
      </c>
      <c r="E1961" s="1" t="n">
        <v>46312</v>
      </c>
      <c r="F1961" t="inlineStr">
        <is>
          <t>SKÅNE LÄN</t>
        </is>
      </c>
      <c r="G1961" t="inlineStr">
        <is>
          <t>HÄSSLEHOLM</t>
        </is>
      </c>
      <c r="I1961" t="n">
        <v>1.4</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13596-2024</t>
        </is>
      </c>
      <c r="B1962" t="inlineStr">
        <is>
          <t>avverkningsanmälan</t>
        </is>
      </c>
      <c r="C1962" t="inlineStr">
        <is>
          <t>Föryngringsavverkning</t>
        </is>
      </c>
      <c r="D1962" s="1" t="n">
        <v>45390</v>
      </c>
      <c r="E1962" s="1" t="n">
        <v>46312</v>
      </c>
      <c r="F1962" t="inlineStr">
        <is>
          <t>SKÅNE LÄN</t>
        </is>
      </c>
      <c r="G1962" t="inlineStr">
        <is>
          <t>OSBY</t>
        </is>
      </c>
      <c r="H1962" t="inlineStr">
        <is>
          <t>Sveaskog</t>
        </is>
      </c>
      <c r="I1962" t="n">
        <v>0.6</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40618-2025</t>
        </is>
      </c>
      <c r="B1963" t="inlineStr">
        <is>
          <t>avverkningsanmälan</t>
        </is>
      </c>
      <c r="C1963" t="inlineStr">
        <is>
          <t>Föryngringsavverkning</t>
        </is>
      </c>
      <c r="D1963" s="1" t="n">
        <v>45896</v>
      </c>
      <c r="E1963" s="1" t="n">
        <v>46312</v>
      </c>
      <c r="F1963" t="inlineStr">
        <is>
          <t>SKÅNE LÄN</t>
        </is>
      </c>
      <c r="G1963" t="inlineStr">
        <is>
          <t>ÖSTRA GÖINGE</t>
        </is>
      </c>
      <c r="H1963" t="inlineStr">
        <is>
          <t>Kyrkan</t>
        </is>
      </c>
      <c r="I1963" t="n">
        <v>2.4</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29199-2024</t>
        </is>
      </c>
      <c r="B1964" t="inlineStr">
        <is>
          <t>avverkningsanmälan</t>
        </is>
      </c>
      <c r="C1964" t="inlineStr">
        <is>
          <t>Föryngringsavverkning</t>
        </is>
      </c>
      <c r="D1964" s="1" t="n">
        <v>45482</v>
      </c>
      <c r="E1964" s="1" t="n">
        <v>46312</v>
      </c>
      <c r="F1964" t="inlineStr">
        <is>
          <t>SKÅNE LÄN</t>
        </is>
      </c>
      <c r="G1964" t="inlineStr">
        <is>
          <t>KRISTIANSTAD</t>
        </is>
      </c>
      <c r="I1964" t="n">
        <v>1.4</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54348-2022</t>
        </is>
      </c>
      <c r="B1965" t="inlineStr">
        <is>
          <t>avverkningsanmälan</t>
        </is>
      </c>
      <c r="C1965" t="inlineStr">
        <is>
          <t>Föryngringsavverkning</t>
        </is>
      </c>
      <c r="D1965" s="1" t="n">
        <v>44882</v>
      </c>
      <c r="E1965" s="1" t="n">
        <v>46312</v>
      </c>
      <c r="F1965" t="inlineStr">
        <is>
          <t>SKÅNE LÄN</t>
        </is>
      </c>
      <c r="G1965" t="inlineStr">
        <is>
          <t>KLIPPAN</t>
        </is>
      </c>
      <c r="I1965" t="n">
        <v>7.8</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13633-2024</t>
        </is>
      </c>
      <c r="B1966" t="inlineStr">
        <is>
          <t>avverkningsanmälan</t>
        </is>
      </c>
      <c r="C1966" t="inlineStr">
        <is>
          <t>Föryngringsavverkning</t>
        </is>
      </c>
      <c r="D1966" s="1" t="n">
        <v>45390</v>
      </c>
      <c r="E1966" s="1" t="n">
        <v>46312</v>
      </c>
      <c r="F1966" t="inlineStr">
        <is>
          <t>SKÅNE LÄN</t>
        </is>
      </c>
      <c r="G1966" t="inlineStr">
        <is>
          <t>HÖRBY</t>
        </is>
      </c>
      <c r="I1966" t="n">
        <v>1.1</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38779-2025</t>
        </is>
      </c>
      <c r="B1967" t="inlineStr">
        <is>
          <t>avverkningsanmälan</t>
        </is>
      </c>
      <c r="C1967" t="inlineStr">
        <is>
          <t>Föryngringsavverkning</t>
        </is>
      </c>
      <c r="D1967" s="1" t="n">
        <v>45887</v>
      </c>
      <c r="E1967" s="1" t="n">
        <v>46312</v>
      </c>
      <c r="F1967" t="inlineStr">
        <is>
          <t>SKÅNE LÄN</t>
        </is>
      </c>
      <c r="G1967" t="inlineStr">
        <is>
          <t>KRISTIANSTAD</t>
        </is>
      </c>
      <c r="I1967" t="n">
        <v>2.6</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38781-2025</t>
        </is>
      </c>
      <c r="B1968" t="inlineStr">
        <is>
          <t>avverkningsanmälan</t>
        </is>
      </c>
      <c r="C1968" t="inlineStr">
        <is>
          <t>Föryngringsavverkning</t>
        </is>
      </c>
      <c r="D1968" s="1" t="n">
        <v>45887</v>
      </c>
      <c r="E1968" s="1" t="n">
        <v>46312</v>
      </c>
      <c r="F1968" t="inlineStr">
        <is>
          <t>SKÅNE LÄN</t>
        </is>
      </c>
      <c r="G1968" t="inlineStr">
        <is>
          <t>KRISTIANSTAD</t>
        </is>
      </c>
      <c r="I1968" t="n">
        <v>3.1</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26403-2024</t>
        </is>
      </c>
      <c r="B1969" t="inlineStr">
        <is>
          <t>avverkningsanmälan</t>
        </is>
      </c>
      <c r="C1969" t="inlineStr">
        <is>
          <t>Föryngringsavverkning</t>
        </is>
      </c>
      <c r="D1969" s="1" t="n">
        <v>45469</v>
      </c>
      <c r="E1969" s="1" t="n">
        <v>46312</v>
      </c>
      <c r="F1969" t="inlineStr">
        <is>
          <t>SKÅNE LÄN</t>
        </is>
      </c>
      <c r="G1969" t="inlineStr">
        <is>
          <t>HÄSSLEHOLM</t>
        </is>
      </c>
      <c r="I1969" t="n">
        <v>2.6</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26403-2024</t>
        </is>
      </c>
      <c r="B1970" t="inlineStr">
        <is>
          <t>avverkningsanmälan</t>
        </is>
      </c>
      <c r="C1970" t="inlineStr">
        <is>
          <t>Föryngringsavverkning</t>
        </is>
      </c>
      <c r="D1970" s="1" t="n">
        <v>45469</v>
      </c>
      <c r="E1970" s="1" t="n">
        <v>46312</v>
      </c>
      <c r="F1970" t="inlineStr">
        <is>
          <t>SKÅNE LÄN</t>
        </is>
      </c>
      <c r="G1970" t="inlineStr">
        <is>
          <t>HÄSSLEHOLM</t>
        </is>
      </c>
      <c r="I1970" t="n">
        <v>2.6</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41245-2025</t>
        </is>
      </c>
      <c r="B1971" t="inlineStr">
        <is>
          <t>avverkningsanmälan</t>
        </is>
      </c>
      <c r="C1971" t="inlineStr">
        <is>
          <t>Föryngringsavverkning</t>
        </is>
      </c>
      <c r="D1971" s="1" t="n">
        <v>45898</v>
      </c>
      <c r="E1971" s="1" t="n">
        <v>46312</v>
      </c>
      <c r="F1971" t="inlineStr">
        <is>
          <t>SKÅNE LÄN</t>
        </is>
      </c>
      <c r="G1971" t="inlineStr">
        <is>
          <t>KRISTIANSTAD</t>
        </is>
      </c>
      <c r="I1971" t="n">
        <v>1.9</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44816-2023</t>
        </is>
      </c>
      <c r="B1972" t="inlineStr">
        <is>
          <t>avverkningsanmälan</t>
        </is>
      </c>
      <c r="C1972" t="inlineStr">
        <is>
          <t>Föryngringsavverkning</t>
        </is>
      </c>
      <c r="D1972" s="1" t="n">
        <v>45190</v>
      </c>
      <c r="E1972" s="1" t="n">
        <v>46312</v>
      </c>
      <c r="F1972" t="inlineStr">
        <is>
          <t>SKÅNE LÄN</t>
        </is>
      </c>
      <c r="G1972" t="inlineStr">
        <is>
          <t>HÖRBY</t>
        </is>
      </c>
      <c r="I1972" t="n">
        <v>1</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41357-2025</t>
        </is>
      </c>
      <c r="B1973" t="inlineStr">
        <is>
          <t>avverkningsanmälan</t>
        </is>
      </c>
      <c r="C1973" t="inlineStr">
        <is>
          <t>Föryngringsavverkning</t>
        </is>
      </c>
      <c r="D1973" s="1" t="n">
        <v>45900</v>
      </c>
      <c r="E1973" s="1" t="n">
        <v>46312</v>
      </c>
      <c r="F1973" t="inlineStr">
        <is>
          <t>SKÅNE LÄN</t>
        </is>
      </c>
      <c r="G1973" t="inlineStr">
        <is>
          <t>KRISTIANSTAD</t>
        </is>
      </c>
      <c r="I1973" t="n">
        <v>4.8</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41362-2025</t>
        </is>
      </c>
      <c r="B1974" t="inlineStr">
        <is>
          <t>avverkningsanmälan</t>
        </is>
      </c>
      <c r="C1974" t="inlineStr">
        <is>
          <t>Föryngringsavverkning</t>
        </is>
      </c>
      <c r="D1974" s="1" t="n">
        <v>45900</v>
      </c>
      <c r="E1974" s="1" t="n">
        <v>46312</v>
      </c>
      <c r="F1974" t="inlineStr">
        <is>
          <t>SKÅNE LÄN</t>
        </is>
      </c>
      <c r="G1974" t="inlineStr">
        <is>
          <t>KRISTIANSTAD</t>
        </is>
      </c>
      <c r="I1974" t="n">
        <v>2.7</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5079-2026</t>
        </is>
      </c>
      <c r="B1975" t="inlineStr">
        <is>
          <t>avverkningsanmälan</t>
        </is>
      </c>
      <c r="C1975" t="inlineStr">
        <is>
          <t>Föryngringsavverkning</t>
        </is>
      </c>
      <c r="D1975" s="1" t="n">
        <v>46049</v>
      </c>
      <c r="E1975" s="1" t="n">
        <v>46312</v>
      </c>
      <c r="F1975" t="inlineStr">
        <is>
          <t>SKÅNE LÄN</t>
        </is>
      </c>
      <c r="G1975" t="inlineStr">
        <is>
          <t>HÖRBY</t>
        </is>
      </c>
      <c r="I1975" t="n">
        <v>1.3</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45777-2025</t>
        </is>
      </c>
      <c r="B1976" t="inlineStr">
        <is>
          <t>avverkningsanmälan</t>
        </is>
      </c>
      <c r="C1976" t="inlineStr">
        <is>
          <t>Föryngringsavverkning</t>
        </is>
      </c>
      <c r="D1976" s="1" t="n">
        <v>45923</v>
      </c>
      <c r="E1976" s="1" t="n">
        <v>46312</v>
      </c>
      <c r="F1976" t="inlineStr">
        <is>
          <t>SKÅNE LÄN</t>
        </is>
      </c>
      <c r="G1976" t="inlineStr">
        <is>
          <t>ÖSTRA GÖINGE</t>
        </is>
      </c>
      <c r="I1976" t="n">
        <v>2.8</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38682-2025</t>
        </is>
      </c>
      <c r="B1977" t="inlineStr">
        <is>
          <t>avverkningsanmälan</t>
        </is>
      </c>
      <c r="C1977" t="inlineStr">
        <is>
          <t>Föryngringsavverkning</t>
        </is>
      </c>
      <c r="D1977" s="1" t="n">
        <v>45884</v>
      </c>
      <c r="E1977" s="1" t="n">
        <v>46312</v>
      </c>
      <c r="F1977" t="inlineStr">
        <is>
          <t>SKÅNE LÄN</t>
        </is>
      </c>
      <c r="G1977" t="inlineStr">
        <is>
          <t>OSBY</t>
        </is>
      </c>
      <c r="I1977" t="n">
        <v>1.7</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28397-2023</t>
        </is>
      </c>
      <c r="B1978" t="inlineStr">
        <is>
          <t>avverkningsanmälan</t>
        </is>
      </c>
      <c r="C1978" t="inlineStr">
        <is>
          <t>Föryngringsavverkning</t>
        </is>
      </c>
      <c r="D1978" s="1" t="n">
        <v>45100</v>
      </c>
      <c r="E1978" s="1" t="n">
        <v>46312</v>
      </c>
      <c r="F1978" t="inlineStr">
        <is>
          <t>SKÅNE LÄN</t>
        </is>
      </c>
      <c r="G1978" t="inlineStr">
        <is>
          <t>OSBY</t>
        </is>
      </c>
      <c r="I1978" t="n">
        <v>2</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28493-2023</t>
        </is>
      </c>
      <c r="B1979" t="inlineStr">
        <is>
          <t>avverkningsanmälan</t>
        </is>
      </c>
      <c r="C1979" t="inlineStr">
        <is>
          <t>Föryngringsavverkning</t>
        </is>
      </c>
      <c r="D1979" s="1" t="n">
        <v>45103</v>
      </c>
      <c r="E1979" s="1" t="n">
        <v>46312</v>
      </c>
      <c r="F1979" t="inlineStr">
        <is>
          <t>SKÅNE LÄN</t>
        </is>
      </c>
      <c r="G1979" t="inlineStr">
        <is>
          <t>HÖRBY</t>
        </is>
      </c>
      <c r="I1979" t="n">
        <v>0.8</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34934-2023</t>
        </is>
      </c>
      <c r="B1980" t="inlineStr">
        <is>
          <t>avverkningsanmälan</t>
        </is>
      </c>
      <c r="C1980" t="inlineStr">
        <is>
          <t>Föryngringsavverkning</t>
        </is>
      </c>
      <c r="D1980" s="1" t="n">
        <v>45141</v>
      </c>
      <c r="E1980" s="1" t="n">
        <v>46312</v>
      </c>
      <c r="F1980" t="inlineStr">
        <is>
          <t>SKÅNE LÄN</t>
        </is>
      </c>
      <c r="G1980" t="inlineStr">
        <is>
          <t>OSBY</t>
        </is>
      </c>
      <c r="I1980" t="n">
        <v>2</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22678-2025</t>
        </is>
      </c>
      <c r="B1981" t="inlineStr">
        <is>
          <t>avverkningsanmälan</t>
        </is>
      </c>
      <c r="C1981" t="inlineStr">
        <is>
          <t>Föryngringsavverkning</t>
        </is>
      </c>
      <c r="D1981" s="1" t="n">
        <v>45789</v>
      </c>
      <c r="E1981" s="1" t="n">
        <v>46312</v>
      </c>
      <c r="F1981" t="inlineStr">
        <is>
          <t>SKÅNE LÄN</t>
        </is>
      </c>
      <c r="G1981" t="inlineStr">
        <is>
          <t>HÄSSLEHOLM</t>
        </is>
      </c>
      <c r="I1981" t="n">
        <v>2.2</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16131-2023</t>
        </is>
      </c>
      <c r="B1982" t="inlineStr">
        <is>
          <t>avverkningsanmälan</t>
        </is>
      </c>
      <c r="C1982" t="inlineStr">
        <is>
          <t>Föryngringsavverkning</t>
        </is>
      </c>
      <c r="D1982" s="1" t="n">
        <v>45027</v>
      </c>
      <c r="E1982" s="1" t="n">
        <v>46312</v>
      </c>
      <c r="F1982" t="inlineStr">
        <is>
          <t>SKÅNE LÄN</t>
        </is>
      </c>
      <c r="G1982" t="inlineStr">
        <is>
          <t>KRISTIANSTAD</t>
        </is>
      </c>
      <c r="I1982" t="n">
        <v>1.9</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13109-2022</t>
        </is>
      </c>
      <c r="B1983" t="inlineStr">
        <is>
          <t>avverkningsanmälan</t>
        </is>
      </c>
      <c r="C1983" t="inlineStr">
        <is>
          <t>Föryngringsavverkning</t>
        </is>
      </c>
      <c r="D1983" s="1" t="n">
        <v>44644</v>
      </c>
      <c r="E1983" s="1" t="n">
        <v>46312</v>
      </c>
      <c r="F1983" t="inlineStr">
        <is>
          <t>SKÅNE LÄN</t>
        </is>
      </c>
      <c r="G1983" t="inlineStr">
        <is>
          <t>OSBY</t>
        </is>
      </c>
      <c r="I1983" t="n">
        <v>0.8</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48774-2025</t>
        </is>
      </c>
      <c r="B1984" t="inlineStr">
        <is>
          <t>avverkningsanmälan</t>
        </is>
      </c>
      <c r="C1984" t="inlineStr">
        <is>
          <t>Föryngringsavverkning</t>
        </is>
      </c>
      <c r="D1984" s="1" t="n">
        <v>45936</v>
      </c>
      <c r="E1984" s="1" t="n">
        <v>46312</v>
      </c>
      <c r="F1984" t="inlineStr">
        <is>
          <t>SKÅNE LÄN</t>
        </is>
      </c>
      <c r="G1984" t="inlineStr">
        <is>
          <t>OSBY</t>
        </is>
      </c>
      <c r="I1984" t="n">
        <v>3.8</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1706-2025</t>
        </is>
      </c>
      <c r="B1985" t="inlineStr">
        <is>
          <t>avverkningsanmälan</t>
        </is>
      </c>
      <c r="C1985" t="inlineStr">
        <is>
          <t>Föryngringsavverkning</t>
        </is>
      </c>
      <c r="D1985" s="1" t="n">
        <v>45670</v>
      </c>
      <c r="E1985" s="1" t="n">
        <v>46312</v>
      </c>
      <c r="F1985" t="inlineStr">
        <is>
          <t>SKÅNE LÄN</t>
        </is>
      </c>
      <c r="G1985" t="inlineStr">
        <is>
          <t>HÄSSLEHOLM</t>
        </is>
      </c>
      <c r="I1985" t="n">
        <v>5</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36919-2025</t>
        </is>
      </c>
      <c r="B1986" t="inlineStr">
        <is>
          <t>avverkningsanmälan</t>
        </is>
      </c>
      <c r="C1986" t="inlineStr">
        <is>
          <t>Föryngringsavverkning</t>
        </is>
      </c>
      <c r="D1986" s="1" t="n">
        <v>45874</v>
      </c>
      <c r="E1986" s="1" t="n">
        <v>46312</v>
      </c>
      <c r="F1986" t="inlineStr">
        <is>
          <t>SKÅNE LÄN</t>
        </is>
      </c>
      <c r="G1986" t="inlineStr">
        <is>
          <t>ÖSTRA GÖINGE</t>
        </is>
      </c>
      <c r="I1986" t="n">
        <v>1.3</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20872-2025</t>
        </is>
      </c>
      <c r="B1987" t="inlineStr">
        <is>
          <t>avverkningsanmälan</t>
        </is>
      </c>
      <c r="C1987" t="inlineStr">
        <is>
          <t>Föryngringsavverkning</t>
        </is>
      </c>
      <c r="D1987" s="1" t="n">
        <v>45777</v>
      </c>
      <c r="E1987" s="1" t="n">
        <v>46312</v>
      </c>
      <c r="F1987" t="inlineStr">
        <is>
          <t>SKÅNE LÄN</t>
        </is>
      </c>
      <c r="G1987" t="inlineStr">
        <is>
          <t>HÄSSLEHOLM</t>
        </is>
      </c>
      <c r="I1987" t="n">
        <v>1.5</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50607-2023</t>
        </is>
      </c>
      <c r="B1988" t="inlineStr">
        <is>
          <t>avverkningsanmälan</t>
        </is>
      </c>
      <c r="C1988" t="inlineStr">
        <is>
          <t>Föryngringsavverkning</t>
        </is>
      </c>
      <c r="D1988" s="1" t="n">
        <v>45210</v>
      </c>
      <c r="E1988" s="1" t="n">
        <v>46312</v>
      </c>
      <c r="F1988" t="inlineStr">
        <is>
          <t>SKÅNE LÄN</t>
        </is>
      </c>
      <c r="G1988" t="inlineStr">
        <is>
          <t>HÄSSLEHOLM</t>
        </is>
      </c>
      <c r="I1988" t="n">
        <v>1.8</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28221-2023</t>
        </is>
      </c>
      <c r="B1989" t="inlineStr">
        <is>
          <t>avverkningsanmälan</t>
        </is>
      </c>
      <c r="C1989" t="inlineStr">
        <is>
          <t>Föryngringsavverkning</t>
        </is>
      </c>
      <c r="D1989" s="1" t="n">
        <v>45099</v>
      </c>
      <c r="E1989" s="1" t="n">
        <v>46312</v>
      </c>
      <c r="F1989" t="inlineStr">
        <is>
          <t>SKÅNE LÄN</t>
        </is>
      </c>
      <c r="G1989" t="inlineStr">
        <is>
          <t>ÖRKELLJUNGA</t>
        </is>
      </c>
      <c r="I1989" t="n">
        <v>6.7</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20136-2026</t>
        </is>
      </c>
      <c r="B1990" t="inlineStr">
        <is>
          <t>avverkningsanmälan</t>
        </is>
      </c>
      <c r="C1990" t="inlineStr">
        <is>
          <t>Föryngringsavverkning</t>
        </is>
      </c>
      <c r="D1990" s="1" t="n">
        <v>46136</v>
      </c>
      <c r="E1990" s="1" t="n">
        <v>46312</v>
      </c>
      <c r="F1990" t="inlineStr">
        <is>
          <t>SKÅNE LÄN</t>
        </is>
      </c>
      <c r="G1990" t="inlineStr">
        <is>
          <t>BROMÖLLA</t>
        </is>
      </c>
      <c r="I1990" t="n">
        <v>2.1</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20277-2026</t>
        </is>
      </c>
      <c r="B1991" t="inlineStr">
        <is>
          <t>avverkningsanmälan</t>
        </is>
      </c>
      <c r="C1991" t="inlineStr">
        <is>
          <t>Föryngringsavverkning</t>
        </is>
      </c>
      <c r="D1991" s="1" t="n">
        <v>46139</v>
      </c>
      <c r="E1991" s="1" t="n">
        <v>46312</v>
      </c>
      <c r="F1991" t="inlineStr">
        <is>
          <t>SKÅNE LÄN</t>
        </is>
      </c>
      <c r="G1991" t="inlineStr">
        <is>
          <t>LUND</t>
        </is>
      </c>
      <c r="I1991" t="n">
        <v>1.6</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38148-2022</t>
        </is>
      </c>
      <c r="B1992" t="inlineStr">
        <is>
          <t>avverkningsanmälan</t>
        </is>
      </c>
      <c r="C1992" t="inlineStr">
        <is>
          <t>Föryngringsavverkning</t>
        </is>
      </c>
      <c r="D1992" s="1" t="n">
        <v>44811</v>
      </c>
      <c r="E1992" s="1" t="n">
        <v>46312</v>
      </c>
      <c r="F1992" t="inlineStr">
        <is>
          <t>SKÅNE LÄN</t>
        </is>
      </c>
      <c r="G1992" t="inlineStr">
        <is>
          <t>HÄSSLEHOLM</t>
        </is>
      </c>
      <c r="I1992" t="n">
        <v>0.5</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38156-2022</t>
        </is>
      </c>
      <c r="B1993" t="inlineStr">
        <is>
          <t>avverkningsanmälan</t>
        </is>
      </c>
      <c r="C1993" t="inlineStr">
        <is>
          <t>Föryngringsavverkning</t>
        </is>
      </c>
      <c r="D1993" s="1" t="n">
        <v>44812</v>
      </c>
      <c r="E1993" s="1" t="n">
        <v>46312</v>
      </c>
      <c r="F1993" t="inlineStr">
        <is>
          <t>SKÅNE LÄN</t>
        </is>
      </c>
      <c r="G1993" t="inlineStr">
        <is>
          <t>KLIPPAN</t>
        </is>
      </c>
      <c r="I1993" t="n">
        <v>0</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35022-2023</t>
        </is>
      </c>
      <c r="B1994" t="inlineStr">
        <is>
          <t>avverkningsanmälan</t>
        </is>
      </c>
      <c r="C1994" t="inlineStr">
        <is>
          <t>Föryngringsavverkning</t>
        </is>
      </c>
      <c r="D1994" s="1" t="n">
        <v>45144</v>
      </c>
      <c r="E1994" s="1" t="n">
        <v>46312</v>
      </c>
      <c r="F1994" t="inlineStr">
        <is>
          <t>SKÅNE LÄN</t>
        </is>
      </c>
      <c r="G1994" t="inlineStr">
        <is>
          <t>KRISTIANSTAD</t>
        </is>
      </c>
      <c r="I1994" t="n">
        <v>1.7</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35023-2023</t>
        </is>
      </c>
      <c r="B1995" t="inlineStr">
        <is>
          <t>avverkningsanmälan</t>
        </is>
      </c>
      <c r="C1995" t="inlineStr">
        <is>
          <t>Föryngringsavverkning</t>
        </is>
      </c>
      <c r="D1995" s="1" t="n">
        <v>45144</v>
      </c>
      <c r="E1995" s="1" t="n">
        <v>46312</v>
      </c>
      <c r="F1995" t="inlineStr">
        <is>
          <t>SKÅNE LÄN</t>
        </is>
      </c>
      <c r="G1995" t="inlineStr">
        <is>
          <t>KRISTIANSTAD</t>
        </is>
      </c>
      <c r="H1995" t="inlineStr">
        <is>
          <t>Övriga Aktiebolag</t>
        </is>
      </c>
      <c r="I1995" t="n">
        <v>15</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31944-2023</t>
        </is>
      </c>
      <c r="B1996" t="inlineStr">
        <is>
          <t>avverkningsanmälan</t>
        </is>
      </c>
      <c r="C1996" t="inlineStr">
        <is>
          <t>Föryngringsavverkning</t>
        </is>
      </c>
      <c r="D1996" s="1" t="n">
        <v>45119</v>
      </c>
      <c r="E1996" s="1" t="n">
        <v>46312</v>
      </c>
      <c r="F1996" t="inlineStr">
        <is>
          <t>SKÅNE LÄN</t>
        </is>
      </c>
      <c r="G1996" t="inlineStr">
        <is>
          <t>HÄSSLEHOLM</t>
        </is>
      </c>
      <c r="I1996" t="n">
        <v>0.8</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11605-2023</t>
        </is>
      </c>
      <c r="B1997" t="inlineStr">
        <is>
          <t>avverkningsanmälan</t>
        </is>
      </c>
      <c r="C1997" t="inlineStr">
        <is>
          <t>Föryngringsavverkning</t>
        </is>
      </c>
      <c r="D1997" s="1" t="n">
        <v>44994</v>
      </c>
      <c r="E1997" s="1" t="n">
        <v>46312</v>
      </c>
      <c r="F1997" t="inlineStr">
        <is>
          <t>SKÅNE LÄN</t>
        </is>
      </c>
      <c r="G1997" t="inlineStr">
        <is>
          <t>ÖRKELLJUNGA</t>
        </is>
      </c>
      <c r="I1997" t="n">
        <v>1.1</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6314-2022</t>
        </is>
      </c>
      <c r="B1998" t="inlineStr">
        <is>
          <t>avverkningsanmälan</t>
        </is>
      </c>
      <c r="C1998" t="inlineStr">
        <is>
          <t>Föryngringsavverkning</t>
        </is>
      </c>
      <c r="D1998" s="1" t="n">
        <v>44600</v>
      </c>
      <c r="E1998" s="1" t="n">
        <v>46312</v>
      </c>
      <c r="F1998" t="inlineStr">
        <is>
          <t>SKÅNE LÄN</t>
        </is>
      </c>
      <c r="G1998" t="inlineStr">
        <is>
          <t>TRELLEBORG</t>
        </is>
      </c>
      <c r="I1998" t="n">
        <v>3</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5374-2024</t>
        </is>
      </c>
      <c r="B1999" t="inlineStr">
        <is>
          <t>avverkningsanmälan</t>
        </is>
      </c>
      <c r="C1999" t="inlineStr">
        <is>
          <t>Föryngringsavverkning</t>
        </is>
      </c>
      <c r="D1999" s="1" t="n">
        <v>45331</v>
      </c>
      <c r="E1999" s="1" t="n">
        <v>46312</v>
      </c>
      <c r="F1999" t="inlineStr">
        <is>
          <t>SKÅNE LÄN</t>
        </is>
      </c>
      <c r="G1999" t="inlineStr">
        <is>
          <t>ÖSTRA GÖINGE</t>
        </is>
      </c>
      <c r="I1999" t="n">
        <v>1</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5400-2024</t>
        </is>
      </c>
      <c r="B2000" t="inlineStr">
        <is>
          <t>avverkningsanmälan</t>
        </is>
      </c>
      <c r="C2000" t="inlineStr">
        <is>
          <t>Föryngringsavverkning</t>
        </is>
      </c>
      <c r="D2000" s="1" t="n">
        <v>45331</v>
      </c>
      <c r="E2000" s="1" t="n">
        <v>46312</v>
      </c>
      <c r="F2000" t="inlineStr">
        <is>
          <t>SKÅNE LÄN</t>
        </is>
      </c>
      <c r="G2000" t="inlineStr">
        <is>
          <t>KRISTIANSTAD</t>
        </is>
      </c>
      <c r="I2000" t="n">
        <v>2.5</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23693-2023</t>
        </is>
      </c>
      <c r="B2001" t="inlineStr">
        <is>
          <t>avverkningsanmälan</t>
        </is>
      </c>
      <c r="C2001" t="inlineStr">
        <is>
          <t>Föryngringsavverkning</t>
        </is>
      </c>
      <c r="D2001" s="1" t="n">
        <v>45077</v>
      </c>
      <c r="E2001" s="1" t="n">
        <v>46312</v>
      </c>
      <c r="F2001" t="inlineStr">
        <is>
          <t>SKÅNE LÄN</t>
        </is>
      </c>
      <c r="G2001" t="inlineStr">
        <is>
          <t>ÖRKELLJUNGA</t>
        </is>
      </c>
      <c r="I2001" t="n">
        <v>4.5</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41400-2025</t>
        </is>
      </c>
      <c r="B2002" t="inlineStr">
        <is>
          <t>avverkningsanmälan</t>
        </is>
      </c>
      <c r="C2002" t="inlineStr">
        <is>
          <t>Avverkning för annat ändamål</t>
        </is>
      </c>
      <c r="D2002" s="1" t="n">
        <v>45901</v>
      </c>
      <c r="E2002" s="1" t="n">
        <v>46312</v>
      </c>
      <c r="F2002" t="inlineStr">
        <is>
          <t>SKÅNE LÄN</t>
        </is>
      </c>
      <c r="G2002" t="inlineStr">
        <is>
          <t>HÄSSLEHOLM</t>
        </is>
      </c>
      <c r="I2002" t="n">
        <v>0.5</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41359-2025</t>
        </is>
      </c>
      <c r="B2003" t="inlineStr">
        <is>
          <t>avverkningsanmälan</t>
        </is>
      </c>
      <c r="C2003" t="inlineStr">
        <is>
          <t>Föryngringsavverkning</t>
        </is>
      </c>
      <c r="D2003" s="1" t="n">
        <v>45900</v>
      </c>
      <c r="E2003" s="1" t="n">
        <v>46312</v>
      </c>
      <c r="F2003" t="inlineStr">
        <is>
          <t>SKÅNE LÄN</t>
        </is>
      </c>
      <c r="G2003" t="inlineStr">
        <is>
          <t>KRISTIANSTAD</t>
        </is>
      </c>
      <c r="I2003" t="n">
        <v>2</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6259-2024</t>
        </is>
      </c>
      <c r="B2004" t="inlineStr">
        <is>
          <t>avverkningsanmälan</t>
        </is>
      </c>
      <c r="C2004" t="inlineStr">
        <is>
          <t>Föryngringsavverkning</t>
        </is>
      </c>
      <c r="D2004" s="1" t="n">
        <v>45337</v>
      </c>
      <c r="E2004" s="1" t="n">
        <v>46312</v>
      </c>
      <c r="F2004" t="inlineStr">
        <is>
          <t>SKÅNE LÄN</t>
        </is>
      </c>
      <c r="G2004" t="inlineStr">
        <is>
          <t>TOMELILLA</t>
        </is>
      </c>
      <c r="I2004" t="n">
        <v>5</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41401-2025</t>
        </is>
      </c>
      <c r="B2005" t="inlineStr">
        <is>
          <t>avverkningsanmälan</t>
        </is>
      </c>
      <c r="C2005" t="inlineStr">
        <is>
          <t>Avverkning för annat ändamål</t>
        </is>
      </c>
      <c r="D2005" s="1" t="n">
        <v>45901</v>
      </c>
      <c r="E2005" s="1" t="n">
        <v>46312</v>
      </c>
      <c r="F2005" t="inlineStr">
        <is>
          <t>SKÅNE LÄN</t>
        </is>
      </c>
      <c r="G2005" t="inlineStr">
        <is>
          <t>HÄSSLEHOLM</t>
        </is>
      </c>
      <c r="I2005" t="n">
        <v>0.4</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13932-2023</t>
        </is>
      </c>
      <c r="B2006" t="inlineStr">
        <is>
          <t>avverkningsanmälan</t>
        </is>
      </c>
      <c r="C2006" t="inlineStr">
        <is>
          <t>Föryngringsavverkning</t>
        </is>
      </c>
      <c r="D2006" s="1" t="n">
        <v>45008</v>
      </c>
      <c r="E2006" s="1" t="n">
        <v>46312</v>
      </c>
      <c r="F2006" t="inlineStr">
        <is>
          <t>SKÅNE LÄN</t>
        </is>
      </c>
      <c r="G2006" t="inlineStr">
        <is>
          <t>HÄSSLEHOLM</t>
        </is>
      </c>
      <c r="I2006" t="n">
        <v>3.3</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20651-2026</t>
        </is>
      </c>
      <c r="B2007" t="inlineStr">
        <is>
          <t>avverkningsanmälan</t>
        </is>
      </c>
      <c r="C2007" t="inlineStr">
        <is>
          <t>Avverkning för att bevara och utveckla /försöksver</t>
        </is>
      </c>
      <c r="D2007" s="1" t="n">
        <v>46141</v>
      </c>
      <c r="E2007" s="1" t="n">
        <v>46312</v>
      </c>
      <c r="F2007" t="inlineStr">
        <is>
          <t>SKÅNE LÄN</t>
        </is>
      </c>
      <c r="G2007" t="inlineStr">
        <is>
          <t>KRISTIANSTAD</t>
        </is>
      </c>
      <c r="H2007" t="inlineStr">
        <is>
          <t>Sveaskog</t>
        </is>
      </c>
      <c r="I2007" t="n">
        <v>2.1</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47405-2022</t>
        </is>
      </c>
      <c r="B2008" t="inlineStr">
        <is>
          <t>avverkningsanmälan</t>
        </is>
      </c>
      <c r="C2008" t="inlineStr">
        <is>
          <t>Föryngringsavverkning</t>
        </is>
      </c>
      <c r="D2008" s="1" t="n">
        <v>44853</v>
      </c>
      <c r="E2008" s="1" t="n">
        <v>46312</v>
      </c>
      <c r="F2008" t="inlineStr">
        <is>
          <t>SKÅNE LÄN</t>
        </is>
      </c>
      <c r="G2008" t="inlineStr">
        <is>
          <t>ÖSTRA GÖINGE</t>
        </is>
      </c>
      <c r="I2008" t="n">
        <v>0.6</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5792-2024</t>
        </is>
      </c>
      <c r="B2009" t="inlineStr">
        <is>
          <t>avverkningsanmälan</t>
        </is>
      </c>
      <c r="C2009" t="inlineStr">
        <is>
          <t>Föryngringsavverkning</t>
        </is>
      </c>
      <c r="D2009" s="1" t="n">
        <v>45335</v>
      </c>
      <c r="E2009" s="1" t="n">
        <v>46312</v>
      </c>
      <c r="F2009" t="inlineStr">
        <is>
          <t>SKÅNE LÄN</t>
        </is>
      </c>
      <c r="G2009" t="inlineStr">
        <is>
          <t>HELSINGBORG</t>
        </is>
      </c>
      <c r="I2009" t="n">
        <v>5.6</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6852-2026</t>
        </is>
      </c>
      <c r="B2010" t="inlineStr">
        <is>
          <t>avverkningsanmälan</t>
        </is>
      </c>
      <c r="C2010" t="inlineStr">
        <is>
          <t>Föryngringsavverkning</t>
        </is>
      </c>
      <c r="D2010" s="1" t="n">
        <v>46057</v>
      </c>
      <c r="E2010" s="1" t="n">
        <v>46312</v>
      </c>
      <c r="F2010" t="inlineStr">
        <is>
          <t>SKÅNE LÄN</t>
        </is>
      </c>
      <c r="G2010" t="inlineStr">
        <is>
          <t>TOMELILLA</t>
        </is>
      </c>
      <c r="H2010" t="inlineStr">
        <is>
          <t>Övriga Aktiebolag</t>
        </is>
      </c>
      <c r="I2010" t="n">
        <v>4.8</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22081-2023</t>
        </is>
      </c>
      <c r="B2011" t="inlineStr">
        <is>
          <t>avverkningsanmälan</t>
        </is>
      </c>
      <c r="C2011" t="inlineStr">
        <is>
          <t>Föryngringsavverkning</t>
        </is>
      </c>
      <c r="D2011" s="1" t="n">
        <v>45069</v>
      </c>
      <c r="E2011" s="1" t="n">
        <v>46312</v>
      </c>
      <c r="F2011" t="inlineStr">
        <is>
          <t>SKÅNE LÄN</t>
        </is>
      </c>
      <c r="G2011" t="inlineStr">
        <is>
          <t>ÖSTRA GÖINGE</t>
        </is>
      </c>
      <c r="I2011" t="n">
        <v>0.5</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20671-2026</t>
        </is>
      </c>
      <c r="B2012" t="inlineStr">
        <is>
          <t>avverkningsanmälan</t>
        </is>
      </c>
      <c r="C2012" t="inlineStr">
        <is>
          <t>Föryngringsavverkning</t>
        </is>
      </c>
      <c r="D2012" s="1" t="n">
        <v>46141</v>
      </c>
      <c r="E2012" s="1" t="n">
        <v>46312</v>
      </c>
      <c r="F2012" t="inlineStr">
        <is>
          <t>SKÅNE LÄN</t>
        </is>
      </c>
      <c r="G2012" t="inlineStr">
        <is>
          <t>ÖRKELLJUNGA</t>
        </is>
      </c>
      <c r="I2012" t="n">
        <v>1.6</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5497-2026</t>
        </is>
      </c>
      <c r="B2013" t="inlineStr">
        <is>
          <t>avverkningsanmälan</t>
        </is>
      </c>
      <c r="C2013" t="inlineStr">
        <is>
          <t>Föryngringsavverkning</t>
        </is>
      </c>
      <c r="D2013" s="1" t="n">
        <v>46050</v>
      </c>
      <c r="E2013" s="1" t="n">
        <v>46312</v>
      </c>
      <c r="F2013" t="inlineStr">
        <is>
          <t>SKÅNE LÄN</t>
        </is>
      </c>
      <c r="G2013" t="inlineStr">
        <is>
          <t>HÄSSLEHOLM</t>
        </is>
      </c>
      <c r="I2013" t="n">
        <v>1</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20627-2026</t>
        </is>
      </c>
      <c r="B2014" t="inlineStr">
        <is>
          <t>avverkningsanmälan</t>
        </is>
      </c>
      <c r="C2014" t="inlineStr">
        <is>
          <t>Föryngringsavverkning</t>
        </is>
      </c>
      <c r="D2014" s="1" t="n">
        <v>46141</v>
      </c>
      <c r="E2014" s="1" t="n">
        <v>46312</v>
      </c>
      <c r="F2014" t="inlineStr">
        <is>
          <t>SKÅNE LÄN</t>
        </is>
      </c>
      <c r="G2014" t="inlineStr">
        <is>
          <t>KLIPPAN</t>
        </is>
      </c>
      <c r="I2014" t="n">
        <v>0.8</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20629-2026</t>
        </is>
      </c>
      <c r="B2015" t="inlineStr">
        <is>
          <t>avverkningsanmälan</t>
        </is>
      </c>
      <c r="C2015" t="inlineStr">
        <is>
          <t>Föryngringsavverkning</t>
        </is>
      </c>
      <c r="D2015" s="1" t="n">
        <v>46141</v>
      </c>
      <c r="E2015" s="1" t="n">
        <v>46312</v>
      </c>
      <c r="F2015" t="inlineStr">
        <is>
          <t>SKÅNE LÄN</t>
        </is>
      </c>
      <c r="G2015" t="inlineStr">
        <is>
          <t>KLIPPAN</t>
        </is>
      </c>
      <c r="I2015" t="n">
        <v>0.7</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35168-2025</t>
        </is>
      </c>
      <c r="B2016" t="inlineStr">
        <is>
          <t>avverkningsanmälan</t>
        </is>
      </c>
      <c r="C2016" t="inlineStr">
        <is>
          <t>Föryngringsavverkning</t>
        </is>
      </c>
      <c r="D2016" s="1" t="n">
        <v>45852</v>
      </c>
      <c r="E2016" s="1" t="n">
        <v>46312</v>
      </c>
      <c r="F2016" t="inlineStr">
        <is>
          <t>SKÅNE LÄN</t>
        </is>
      </c>
      <c r="G2016" t="inlineStr">
        <is>
          <t>ÖRKELLJUNGA</t>
        </is>
      </c>
      <c r="I2016" t="n">
        <v>5.2</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6307-2024</t>
        </is>
      </c>
      <c r="B2017" t="inlineStr">
        <is>
          <t>avverkningsanmälan</t>
        </is>
      </c>
      <c r="C2017" t="inlineStr">
        <is>
          <t>Föryngringsavverkning</t>
        </is>
      </c>
      <c r="D2017" s="1" t="n">
        <v>45338</v>
      </c>
      <c r="E2017" s="1" t="n">
        <v>46312</v>
      </c>
      <c r="F2017" t="inlineStr">
        <is>
          <t>SKÅNE LÄN</t>
        </is>
      </c>
      <c r="G2017" t="inlineStr">
        <is>
          <t>KRISTIANSTAD</t>
        </is>
      </c>
      <c r="H2017" t="inlineStr">
        <is>
          <t>Övriga Aktiebolag</t>
        </is>
      </c>
      <c r="I2017" t="n">
        <v>4.7</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45191-2024</t>
        </is>
      </c>
      <c r="B2018" t="inlineStr">
        <is>
          <t>avverkningsanmälan</t>
        </is>
      </c>
      <c r="C2018" t="inlineStr">
        <is>
          <t>Föryngringsavverkning</t>
        </is>
      </c>
      <c r="D2018" s="1" t="n">
        <v>45575</v>
      </c>
      <c r="E2018" s="1" t="n">
        <v>46312</v>
      </c>
      <c r="F2018" t="inlineStr">
        <is>
          <t>SKÅNE LÄN</t>
        </is>
      </c>
      <c r="G2018" t="inlineStr">
        <is>
          <t>OSBY</t>
        </is>
      </c>
      <c r="I2018" t="n">
        <v>6.4</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6316-2024</t>
        </is>
      </c>
      <c r="B2019" t="inlineStr">
        <is>
          <t>avverkningsanmälan</t>
        </is>
      </c>
      <c r="C2019" t="inlineStr">
        <is>
          <t>Föryngringsavverkning</t>
        </is>
      </c>
      <c r="D2019" s="1" t="n">
        <v>45338</v>
      </c>
      <c r="E2019" s="1" t="n">
        <v>46312</v>
      </c>
      <c r="F2019" t="inlineStr">
        <is>
          <t>SKÅNE LÄN</t>
        </is>
      </c>
      <c r="G2019" t="inlineStr">
        <is>
          <t>TOMELILLA</t>
        </is>
      </c>
      <c r="H2019" t="inlineStr">
        <is>
          <t>Övriga Aktiebolag</t>
        </is>
      </c>
      <c r="I2019" t="n">
        <v>28.6</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7083-2024</t>
        </is>
      </c>
      <c r="B2020" t="inlineStr">
        <is>
          <t>avverkningsanmälan</t>
        </is>
      </c>
      <c r="C2020" t="inlineStr">
        <is>
          <t>Föryngringsavverkning</t>
        </is>
      </c>
      <c r="D2020" s="1" t="n">
        <v>45343</v>
      </c>
      <c r="E2020" s="1" t="n">
        <v>46312</v>
      </c>
      <c r="F2020" t="inlineStr">
        <is>
          <t>SKÅNE LÄN</t>
        </is>
      </c>
      <c r="G2020" t="inlineStr">
        <is>
          <t>SIMRISHAMN</t>
        </is>
      </c>
      <c r="H2020" t="inlineStr">
        <is>
          <t>Övriga Aktiebolag</t>
        </is>
      </c>
      <c r="I2020" t="n">
        <v>10.6</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41361-2025</t>
        </is>
      </c>
      <c r="B2021" t="inlineStr">
        <is>
          <t>avverkningsanmälan</t>
        </is>
      </c>
      <c r="C2021" t="inlineStr">
        <is>
          <t>Föryngringsavverkning</t>
        </is>
      </c>
      <c r="D2021" s="1" t="n">
        <v>45900</v>
      </c>
      <c r="E2021" s="1" t="n">
        <v>46312</v>
      </c>
      <c r="F2021" t="inlineStr">
        <is>
          <t>SKÅNE LÄN</t>
        </is>
      </c>
      <c r="G2021" t="inlineStr">
        <is>
          <t>KRISTIANSTAD</t>
        </is>
      </c>
      <c r="I2021" t="n">
        <v>0.4</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41363-2025</t>
        </is>
      </c>
      <c r="B2022" t="inlineStr">
        <is>
          <t>avverkningsanmälan</t>
        </is>
      </c>
      <c r="C2022" t="inlineStr">
        <is>
          <t>Föryngringsavverkning</t>
        </is>
      </c>
      <c r="D2022" s="1" t="n">
        <v>45900</v>
      </c>
      <c r="E2022" s="1" t="n">
        <v>46312</v>
      </c>
      <c r="F2022" t="inlineStr">
        <is>
          <t>SKÅNE LÄN</t>
        </is>
      </c>
      <c r="G2022" t="inlineStr">
        <is>
          <t>KRISTIANSTAD</t>
        </is>
      </c>
      <c r="I2022" t="n">
        <v>3</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45192-2022</t>
        </is>
      </c>
      <c r="B2023" t="inlineStr">
        <is>
          <t>avverkningsanmälan</t>
        </is>
      </c>
      <c r="C2023" t="inlineStr">
        <is>
          <t>Föryngringsavverkning</t>
        </is>
      </c>
      <c r="D2023" s="1" t="n">
        <v>44844</v>
      </c>
      <c r="E2023" s="1" t="n">
        <v>46312</v>
      </c>
      <c r="F2023" t="inlineStr">
        <is>
          <t>SKÅNE LÄN</t>
        </is>
      </c>
      <c r="G2023" t="inlineStr">
        <is>
          <t>ÖRKELLJUNGA</t>
        </is>
      </c>
      <c r="I2023" t="n">
        <v>0.8</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41912-2025</t>
        </is>
      </c>
      <c r="B2024" t="inlineStr">
        <is>
          <t>avverkningsanmälan</t>
        </is>
      </c>
      <c r="C2024" t="inlineStr">
        <is>
          <t>Föryngringsavverkning</t>
        </is>
      </c>
      <c r="D2024" s="1" t="n">
        <v>45903</v>
      </c>
      <c r="E2024" s="1" t="n">
        <v>46312</v>
      </c>
      <c r="F2024" t="inlineStr">
        <is>
          <t>SKÅNE LÄN</t>
        </is>
      </c>
      <c r="G2024" t="inlineStr">
        <is>
          <t>ÖRKELLJUNGA</t>
        </is>
      </c>
      <c r="I2024" t="n">
        <v>0.5</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7811-2023</t>
        </is>
      </c>
      <c r="B2025" t="inlineStr">
        <is>
          <t>avverkningsanmälan</t>
        </is>
      </c>
      <c r="C2025" t="inlineStr">
        <is>
          <t>Föryngringsavverkning</t>
        </is>
      </c>
      <c r="D2025" s="1" t="n">
        <v>44973</v>
      </c>
      <c r="E2025" s="1" t="n">
        <v>46312</v>
      </c>
      <c r="F2025" t="inlineStr">
        <is>
          <t>SKÅNE LÄN</t>
        </is>
      </c>
      <c r="G2025" t="inlineStr">
        <is>
          <t>ÄNGELHOLM</t>
        </is>
      </c>
      <c r="I2025" t="n">
        <v>0.9</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62546-2023</t>
        </is>
      </c>
      <c r="B2026" t="inlineStr">
        <is>
          <t>avverkningsanmälan</t>
        </is>
      </c>
      <c r="C2026" t="inlineStr">
        <is>
          <t>Föryngringsavverkning</t>
        </is>
      </c>
      <c r="D2026" s="1" t="n">
        <v>45268</v>
      </c>
      <c r="E2026" s="1" t="n">
        <v>46312</v>
      </c>
      <c r="F2026" t="inlineStr">
        <is>
          <t>SKÅNE LÄN</t>
        </is>
      </c>
      <c r="G2026" t="inlineStr">
        <is>
          <t>ÖSTRA GÖINGE</t>
        </is>
      </c>
      <c r="I2026" t="n">
        <v>0.5</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58137-2022</t>
        </is>
      </c>
      <c r="B2027" t="inlineStr">
        <is>
          <t>avverkningsanmälan</t>
        </is>
      </c>
      <c r="C2027" t="inlineStr">
        <is>
          <t>Föryngringsavverkning</t>
        </is>
      </c>
      <c r="D2027" s="1" t="n">
        <v>44900</v>
      </c>
      <c r="E2027" s="1" t="n">
        <v>46312</v>
      </c>
      <c r="F2027" t="inlineStr">
        <is>
          <t>SKÅNE LÄN</t>
        </is>
      </c>
      <c r="G2027" t="inlineStr">
        <is>
          <t>ÄNGELHOLM</t>
        </is>
      </c>
      <c r="I2027" t="n">
        <v>0.9</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52740-2024</t>
        </is>
      </c>
      <c r="B2028" t="inlineStr">
        <is>
          <t>avverkningsanmälan</t>
        </is>
      </c>
      <c r="C2028" t="inlineStr">
        <is>
          <t>Föryngringsavverkning</t>
        </is>
      </c>
      <c r="D2028" s="1" t="n">
        <v>45610</v>
      </c>
      <c r="E2028" s="1" t="n">
        <v>46312</v>
      </c>
      <c r="F2028" t="inlineStr">
        <is>
          <t>SKÅNE LÄN</t>
        </is>
      </c>
      <c r="G2028" t="inlineStr">
        <is>
          <t>PERSTORP</t>
        </is>
      </c>
      <c r="I2028" t="n">
        <v>1.4</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41926-2025</t>
        </is>
      </c>
      <c r="B2029" t="inlineStr">
        <is>
          <t>avverkningsanmälan</t>
        </is>
      </c>
      <c r="C2029" t="inlineStr">
        <is>
          <t>Föryngringsavverkning</t>
        </is>
      </c>
      <c r="D2029" s="1" t="n">
        <v>45903</v>
      </c>
      <c r="E2029" s="1" t="n">
        <v>46312</v>
      </c>
      <c r="F2029" t="inlineStr">
        <is>
          <t>SKÅNE LÄN</t>
        </is>
      </c>
      <c r="G2029" t="inlineStr">
        <is>
          <t>ÖRKELLJUNGA</t>
        </is>
      </c>
      <c r="I2029" t="n">
        <v>0.5</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41654-2025</t>
        </is>
      </c>
      <c r="B2030" t="inlineStr">
        <is>
          <t>avverkningsanmälan</t>
        </is>
      </c>
      <c r="C2030" t="inlineStr">
        <is>
          <t>Föryngringsavverkning</t>
        </is>
      </c>
      <c r="D2030" s="1" t="n">
        <v>45902</v>
      </c>
      <c r="E2030" s="1" t="n">
        <v>46312</v>
      </c>
      <c r="F2030" t="inlineStr">
        <is>
          <t>SKÅNE LÄN</t>
        </is>
      </c>
      <c r="G2030" t="inlineStr">
        <is>
          <t>OSBY</t>
        </is>
      </c>
      <c r="I2030" t="n">
        <v>3</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8704-2024</t>
        </is>
      </c>
      <c r="B2031" t="inlineStr">
        <is>
          <t>avverkningsanmälan</t>
        </is>
      </c>
      <c r="C2031" t="inlineStr">
        <is>
          <t>Föryngringsavverkning</t>
        </is>
      </c>
      <c r="D2031" s="1" t="n">
        <v>45356</v>
      </c>
      <c r="E2031" s="1" t="n">
        <v>46312</v>
      </c>
      <c r="F2031" t="inlineStr">
        <is>
          <t>SKÅNE LÄN</t>
        </is>
      </c>
      <c r="G2031" t="inlineStr">
        <is>
          <t>PERSTORP</t>
        </is>
      </c>
      <c r="I2031" t="n">
        <v>0.4</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8755-2024</t>
        </is>
      </c>
      <c r="B2032" t="inlineStr">
        <is>
          <t>avverkningsanmälan</t>
        </is>
      </c>
      <c r="C2032" t="inlineStr">
        <is>
          <t>Föryngringsavverkning</t>
        </is>
      </c>
      <c r="D2032" s="1" t="n">
        <v>45356</v>
      </c>
      <c r="E2032" s="1" t="n">
        <v>46312</v>
      </c>
      <c r="F2032" t="inlineStr">
        <is>
          <t>SKÅNE LÄN</t>
        </is>
      </c>
      <c r="G2032" t="inlineStr">
        <is>
          <t>HÄSSLEHOLM</t>
        </is>
      </c>
      <c r="I2032" t="n">
        <v>1.4</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6874-2024</t>
        </is>
      </c>
      <c r="B2033" t="inlineStr">
        <is>
          <t>avverkningsanmälan</t>
        </is>
      </c>
      <c r="C2033" t="inlineStr">
        <is>
          <t>Föryngringsavverkning</t>
        </is>
      </c>
      <c r="D2033" s="1" t="n">
        <v>45342</v>
      </c>
      <c r="E2033" s="1" t="n">
        <v>46312</v>
      </c>
      <c r="F2033" t="inlineStr">
        <is>
          <t>SKÅNE LÄN</t>
        </is>
      </c>
      <c r="G2033" t="inlineStr">
        <is>
          <t>OSBY</t>
        </is>
      </c>
      <c r="I2033" t="n">
        <v>0.6</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20643-2024</t>
        </is>
      </c>
      <c r="B2034" t="inlineStr">
        <is>
          <t>avverkningsanmälan</t>
        </is>
      </c>
      <c r="C2034" t="inlineStr">
        <is>
          <t>Föryngringsavverkning</t>
        </is>
      </c>
      <c r="D2034" s="1" t="n">
        <v>45436</v>
      </c>
      <c r="E2034" s="1" t="n">
        <v>46312</v>
      </c>
      <c r="F2034" t="inlineStr">
        <is>
          <t>SKÅNE LÄN</t>
        </is>
      </c>
      <c r="G2034" t="inlineStr">
        <is>
          <t>OSBY</t>
        </is>
      </c>
      <c r="I2034" t="n">
        <v>1.5</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17024-2025</t>
        </is>
      </c>
      <c r="B2035" t="inlineStr">
        <is>
          <t>avverkningsanmälan</t>
        </is>
      </c>
      <c r="C2035" t="inlineStr">
        <is>
          <t>Föryngringsavverkning</t>
        </is>
      </c>
      <c r="D2035" s="1" t="n">
        <v>45755</v>
      </c>
      <c r="E2035" s="1" t="n">
        <v>46312</v>
      </c>
      <c r="F2035" t="inlineStr">
        <is>
          <t>SKÅNE LÄN</t>
        </is>
      </c>
      <c r="G2035" t="inlineStr">
        <is>
          <t>KRISTIANSTAD</t>
        </is>
      </c>
      <c r="I2035" t="n">
        <v>1.8</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42520-2025</t>
        </is>
      </c>
      <c r="B2036" t="inlineStr">
        <is>
          <t>avverkningsanmälan</t>
        </is>
      </c>
      <c r="C2036" t="inlineStr">
        <is>
          <t>Föryngringsavverkning</t>
        </is>
      </c>
      <c r="D2036" s="1" t="n">
        <v>45905</v>
      </c>
      <c r="E2036" s="1" t="n">
        <v>46312</v>
      </c>
      <c r="F2036" t="inlineStr">
        <is>
          <t>SKÅNE LÄN</t>
        </is>
      </c>
      <c r="G2036" t="inlineStr">
        <is>
          <t>HÄSSLEHOLM</t>
        </is>
      </c>
      <c r="I2036" t="n">
        <v>2.5</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33257-2024</t>
        </is>
      </c>
      <c r="B2037" t="inlineStr">
        <is>
          <t>avverkningsanmälan</t>
        </is>
      </c>
      <c r="C2037" t="inlineStr">
        <is>
          <t>Föryngringsavverkning</t>
        </is>
      </c>
      <c r="D2037" s="1" t="n">
        <v>45518</v>
      </c>
      <c r="E2037" s="1" t="n">
        <v>46312</v>
      </c>
      <c r="F2037" t="inlineStr">
        <is>
          <t>SKÅNE LÄN</t>
        </is>
      </c>
      <c r="G2037" t="inlineStr">
        <is>
          <t>HÄSSLEHOLM</t>
        </is>
      </c>
      <c r="I2037" t="n">
        <v>0.4</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5990-2025</t>
        </is>
      </c>
      <c r="B2038" t="inlineStr">
        <is>
          <t>avverkningsanmälan</t>
        </is>
      </c>
      <c r="C2038" t="inlineStr">
        <is>
          <t>Föryngringsavverkning</t>
        </is>
      </c>
      <c r="D2038" s="1" t="n">
        <v>45695</v>
      </c>
      <c r="E2038" s="1" t="n">
        <v>46312</v>
      </c>
      <c r="F2038" t="inlineStr">
        <is>
          <t>SKÅNE LÄN</t>
        </is>
      </c>
      <c r="G2038" t="inlineStr">
        <is>
          <t>OSBY</t>
        </is>
      </c>
      <c r="I2038" t="n">
        <v>19</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24526-2023</t>
        </is>
      </c>
      <c r="B2039" t="inlineStr">
        <is>
          <t>avverkningsanmälan</t>
        </is>
      </c>
      <c r="C2039" t="inlineStr">
        <is>
          <t>Föryngringsavverkning</t>
        </is>
      </c>
      <c r="D2039" s="1" t="n">
        <v>45082</v>
      </c>
      <c r="E2039" s="1" t="n">
        <v>46312</v>
      </c>
      <c r="F2039" t="inlineStr">
        <is>
          <t>SKÅNE LÄN</t>
        </is>
      </c>
      <c r="G2039" t="inlineStr">
        <is>
          <t>ÖSTRA GÖINGE</t>
        </is>
      </c>
      <c r="I2039" t="n">
        <v>2.4</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15158-2025</t>
        </is>
      </c>
      <c r="B2040" t="inlineStr">
        <is>
          <t>avverkningsanmälan</t>
        </is>
      </c>
      <c r="C2040" t="inlineStr">
        <is>
          <t>Föryngringsavverkning</t>
        </is>
      </c>
      <c r="D2040" s="1" t="n">
        <v>45744</v>
      </c>
      <c r="E2040" s="1" t="n">
        <v>46312</v>
      </c>
      <c r="F2040" t="inlineStr">
        <is>
          <t>SKÅNE LÄN</t>
        </is>
      </c>
      <c r="G2040" t="inlineStr">
        <is>
          <t>TOMELILLA</t>
        </is>
      </c>
      <c r="I2040" t="n">
        <v>1.8</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42313-2024</t>
        </is>
      </c>
      <c r="B2041" t="inlineStr">
        <is>
          <t>avverkningsanmälan</t>
        </is>
      </c>
      <c r="C2041" t="inlineStr">
        <is>
          <t>Föryngringsavverkning</t>
        </is>
      </c>
      <c r="D2041" s="1" t="n">
        <v>45562</v>
      </c>
      <c r="E2041" s="1" t="n">
        <v>46312</v>
      </c>
      <c r="F2041" t="inlineStr">
        <is>
          <t>SKÅNE LÄN</t>
        </is>
      </c>
      <c r="G2041" t="inlineStr">
        <is>
          <t>ÖSTRA GÖINGE</t>
        </is>
      </c>
      <c r="H2041" t="inlineStr">
        <is>
          <t>Sveaskog</t>
        </is>
      </c>
      <c r="I2041" t="n">
        <v>0.6</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24583-2023</t>
        </is>
      </c>
      <c r="B2042" t="inlineStr">
        <is>
          <t>avverkningsanmälan</t>
        </is>
      </c>
      <c r="C2042" t="inlineStr">
        <is>
          <t>Föryngringsavverkning</t>
        </is>
      </c>
      <c r="D2042" s="1" t="n">
        <v>45083</v>
      </c>
      <c r="E2042" s="1" t="n">
        <v>46312</v>
      </c>
      <c r="F2042" t="inlineStr">
        <is>
          <t>SKÅNE LÄN</t>
        </is>
      </c>
      <c r="G2042" t="inlineStr">
        <is>
          <t>KRISTIANSTAD</t>
        </is>
      </c>
      <c r="H2042" t="inlineStr">
        <is>
          <t>Övriga Aktiebolag</t>
        </is>
      </c>
      <c r="I2042" t="n">
        <v>3.2</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42565-2025</t>
        </is>
      </c>
      <c r="B2043" t="inlineStr">
        <is>
          <t>avverkningsanmälan</t>
        </is>
      </c>
      <c r="C2043" t="inlineStr">
        <is>
          <t>Föryngringsavverkning</t>
        </is>
      </c>
      <c r="D2043" s="1" t="n">
        <v>45905</v>
      </c>
      <c r="E2043" s="1" t="n">
        <v>46312</v>
      </c>
      <c r="F2043" t="inlineStr">
        <is>
          <t>SKÅNE LÄN</t>
        </is>
      </c>
      <c r="G2043" t="inlineStr">
        <is>
          <t>OSBY</t>
        </is>
      </c>
      <c r="I2043" t="n">
        <v>3.1</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41358-2025</t>
        </is>
      </c>
      <c r="B2044" t="inlineStr">
        <is>
          <t>avverkningsanmälan</t>
        </is>
      </c>
      <c r="C2044" t="inlineStr">
        <is>
          <t>Föryngringsavverkning</t>
        </is>
      </c>
      <c r="D2044" s="1" t="n">
        <v>45900</v>
      </c>
      <c r="E2044" s="1" t="n">
        <v>46312</v>
      </c>
      <c r="F2044" t="inlineStr">
        <is>
          <t>SKÅNE LÄN</t>
        </is>
      </c>
      <c r="G2044" t="inlineStr">
        <is>
          <t>KRISTIANSTAD</t>
        </is>
      </c>
      <c r="I2044" t="n">
        <v>3.2</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57539-2022</t>
        </is>
      </c>
      <c r="B2045" t="inlineStr">
        <is>
          <t>avverkningsanmälan</t>
        </is>
      </c>
      <c r="C2045" t="inlineStr">
        <is>
          <t>Föryngringsavverkning</t>
        </is>
      </c>
      <c r="D2045" s="1" t="n">
        <v>44896</v>
      </c>
      <c r="E2045" s="1" t="n">
        <v>46312</v>
      </c>
      <c r="F2045" t="inlineStr">
        <is>
          <t>SKÅNE LÄN</t>
        </is>
      </c>
      <c r="G2045" t="inlineStr">
        <is>
          <t>ÖSTRA GÖINGE</t>
        </is>
      </c>
      <c r="I2045" t="n">
        <v>0.3</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57547-2022</t>
        </is>
      </c>
      <c r="B2046" t="inlineStr">
        <is>
          <t>avverkningsanmälan</t>
        </is>
      </c>
      <c r="C2046" t="inlineStr">
        <is>
          <t>Föryngringsavverkning</t>
        </is>
      </c>
      <c r="D2046" s="1" t="n">
        <v>44896</v>
      </c>
      <c r="E2046" s="1" t="n">
        <v>46312</v>
      </c>
      <c r="F2046" t="inlineStr">
        <is>
          <t>SKÅNE LÄN</t>
        </is>
      </c>
      <c r="G2046" t="inlineStr">
        <is>
          <t>ÖSTRA GÖINGE</t>
        </is>
      </c>
      <c r="I2046" t="n">
        <v>1.8</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58154-2024</t>
        </is>
      </c>
      <c r="B2047" t="inlineStr">
        <is>
          <t>avverkningsanmälan</t>
        </is>
      </c>
      <c r="C2047" t="inlineStr">
        <is>
          <t>Föryngringsavverkning</t>
        </is>
      </c>
      <c r="D2047" s="1" t="n">
        <v>45632</v>
      </c>
      <c r="E2047" s="1" t="n">
        <v>46312</v>
      </c>
      <c r="F2047" t="inlineStr">
        <is>
          <t>SKÅNE LÄN</t>
        </is>
      </c>
      <c r="G2047" t="inlineStr">
        <is>
          <t>OSBY</t>
        </is>
      </c>
      <c r="I2047" t="n">
        <v>4.9</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47584-2023</t>
        </is>
      </c>
      <c r="B2048" t="inlineStr">
        <is>
          <t>avverkningsanmälan</t>
        </is>
      </c>
      <c r="C2048" t="inlineStr">
        <is>
          <t>Föryngringsavverkning</t>
        </is>
      </c>
      <c r="D2048" s="1" t="n">
        <v>45203</v>
      </c>
      <c r="E2048" s="1" t="n">
        <v>46312</v>
      </c>
      <c r="F2048" t="inlineStr">
        <is>
          <t>SKÅNE LÄN</t>
        </is>
      </c>
      <c r="G2048" t="inlineStr">
        <is>
          <t>ÖSTRA GÖINGE</t>
        </is>
      </c>
      <c r="I2048" t="n">
        <v>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17043-2024</t>
        </is>
      </c>
      <c r="B2049" t="inlineStr">
        <is>
          <t>avverkningsanmälan</t>
        </is>
      </c>
      <c r="C2049" t="inlineStr">
        <is>
          <t>Föryngringsavverkning</t>
        </is>
      </c>
      <c r="D2049" s="1" t="n">
        <v>45412</v>
      </c>
      <c r="E2049" s="1" t="n">
        <v>46312</v>
      </c>
      <c r="F2049" t="inlineStr">
        <is>
          <t>SKÅNE LÄN</t>
        </is>
      </c>
      <c r="G2049" t="inlineStr">
        <is>
          <t>KRISTIANSTAD</t>
        </is>
      </c>
      <c r="I2049" t="n">
        <v>5.6</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42627-2025</t>
        </is>
      </c>
      <c r="B2050" t="inlineStr">
        <is>
          <t>avverkningsanmälan</t>
        </is>
      </c>
      <c r="C2050" t="inlineStr">
        <is>
          <t>Föryngringsavverkning</t>
        </is>
      </c>
      <c r="D2050" s="1" t="n">
        <v>45905</v>
      </c>
      <c r="E2050" s="1" t="n">
        <v>46312</v>
      </c>
      <c r="F2050" t="inlineStr">
        <is>
          <t>SKÅNE LÄN</t>
        </is>
      </c>
      <c r="G2050" t="inlineStr">
        <is>
          <t>KLIPPAN</t>
        </is>
      </c>
      <c r="I2050" t="n">
        <v>1.8</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42105-2022</t>
        </is>
      </c>
      <c r="B2051" t="inlineStr">
        <is>
          <t>avverkningsanmälan</t>
        </is>
      </c>
      <c r="C2051" t="inlineStr">
        <is>
          <t>Föryngringsavverkning</t>
        </is>
      </c>
      <c r="D2051" s="1" t="n">
        <v>44830</v>
      </c>
      <c r="E2051" s="1" t="n">
        <v>46312</v>
      </c>
      <c r="F2051" t="inlineStr">
        <is>
          <t>SKÅNE LÄN</t>
        </is>
      </c>
      <c r="G2051" t="inlineStr">
        <is>
          <t>ÄNGELHOLM</t>
        </is>
      </c>
      <c r="I2051" t="n">
        <v>1</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43660-2024</t>
        </is>
      </c>
      <c r="B2052" t="inlineStr">
        <is>
          <t>avverkningsanmälan</t>
        </is>
      </c>
      <c r="C2052" t="inlineStr">
        <is>
          <t>Föryngringsavverkning</t>
        </is>
      </c>
      <c r="D2052" s="1" t="n">
        <v>45569</v>
      </c>
      <c r="E2052" s="1" t="n">
        <v>46312</v>
      </c>
      <c r="F2052" t="inlineStr">
        <is>
          <t>SKÅNE LÄN</t>
        </is>
      </c>
      <c r="G2052" t="inlineStr">
        <is>
          <t>ÖSTRA GÖINGE</t>
        </is>
      </c>
      <c r="I2052" t="n">
        <v>1.8</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42826-2025</t>
        </is>
      </c>
      <c r="B2053" t="inlineStr">
        <is>
          <t>avverkningsanmälan</t>
        </is>
      </c>
      <c r="C2053" t="inlineStr">
        <is>
          <t>Föryngringsavverkning</t>
        </is>
      </c>
      <c r="D2053" s="1" t="n">
        <v>45908</v>
      </c>
      <c r="E2053" s="1" t="n">
        <v>46312</v>
      </c>
      <c r="F2053" t="inlineStr">
        <is>
          <t>SKÅNE LÄN</t>
        </is>
      </c>
      <c r="G2053" t="inlineStr">
        <is>
          <t>ÄNGELHOLM</t>
        </is>
      </c>
      <c r="I2053" t="n">
        <v>2.1</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13891-2025</t>
        </is>
      </c>
      <c r="B2054" t="inlineStr">
        <is>
          <t>avverkningsanmälan</t>
        </is>
      </c>
      <c r="C2054" t="inlineStr">
        <is>
          <t>Föryngringsavverkning</t>
        </is>
      </c>
      <c r="D2054" s="1" t="n">
        <v>45737</v>
      </c>
      <c r="E2054" s="1" t="n">
        <v>46312</v>
      </c>
      <c r="F2054" t="inlineStr">
        <is>
          <t>SKÅNE LÄN</t>
        </is>
      </c>
      <c r="G2054" t="inlineStr">
        <is>
          <t>KRISTIANSTAD</t>
        </is>
      </c>
      <c r="I2054" t="n">
        <v>6.8</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43879-2023</t>
        </is>
      </c>
      <c r="B2055" t="inlineStr">
        <is>
          <t>avverkningsanmälan</t>
        </is>
      </c>
      <c r="C2055" t="inlineStr">
        <is>
          <t>Föryngringsavverkning</t>
        </is>
      </c>
      <c r="D2055" s="1" t="n">
        <v>45187</v>
      </c>
      <c r="E2055" s="1" t="n">
        <v>46312</v>
      </c>
      <c r="F2055" t="inlineStr">
        <is>
          <t>SKÅNE LÄN</t>
        </is>
      </c>
      <c r="G2055" t="inlineStr">
        <is>
          <t>HÖRBY</t>
        </is>
      </c>
      <c r="H2055" t="inlineStr">
        <is>
          <t>Sveaskog</t>
        </is>
      </c>
      <c r="I2055" t="n">
        <v>1.1</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42798-2025</t>
        </is>
      </c>
      <c r="B2056" t="inlineStr">
        <is>
          <t>avverkningsanmälan</t>
        </is>
      </c>
      <c r="C2056" t="inlineStr">
        <is>
          <t>Föryngringsavverkning</t>
        </is>
      </c>
      <c r="D2056" s="1" t="n">
        <v>45908</v>
      </c>
      <c r="E2056" s="1" t="n">
        <v>46312</v>
      </c>
      <c r="F2056" t="inlineStr">
        <is>
          <t>SKÅNE LÄN</t>
        </is>
      </c>
      <c r="G2056" t="inlineStr">
        <is>
          <t>OSBY</t>
        </is>
      </c>
      <c r="I2056" t="n">
        <v>1</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43063-2025</t>
        </is>
      </c>
      <c r="B2057" t="inlineStr">
        <is>
          <t>avverkningsanmälan</t>
        </is>
      </c>
      <c r="C2057" t="inlineStr">
        <is>
          <t>Föryngringsavverkning</t>
        </is>
      </c>
      <c r="D2057" s="1" t="n">
        <v>45909</v>
      </c>
      <c r="E2057" s="1" t="n">
        <v>46312</v>
      </c>
      <c r="F2057" t="inlineStr">
        <is>
          <t>SKÅNE LÄN</t>
        </is>
      </c>
      <c r="G2057" t="inlineStr">
        <is>
          <t>ÖSTRA GÖINGE</t>
        </is>
      </c>
      <c r="I2057" t="n">
        <v>0.4</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46709-2024</t>
        </is>
      </c>
      <c r="B2058" t="inlineStr">
        <is>
          <t>avverkningsanmälan</t>
        </is>
      </c>
      <c r="C2058" t="inlineStr">
        <is>
          <t>Föryngringsavverkning</t>
        </is>
      </c>
      <c r="D2058" s="1" t="n">
        <v>45583</v>
      </c>
      <c r="E2058" s="1" t="n">
        <v>46312</v>
      </c>
      <c r="F2058" t="inlineStr">
        <is>
          <t>SKÅNE LÄN</t>
        </is>
      </c>
      <c r="G2058" t="inlineStr">
        <is>
          <t>ÖSTRA GÖINGE</t>
        </is>
      </c>
      <c r="I2058" t="n">
        <v>2.3</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17400-2023</t>
        </is>
      </c>
      <c r="B2059" t="inlineStr">
        <is>
          <t>avverkningsanmälan</t>
        </is>
      </c>
      <c r="C2059" t="inlineStr">
        <is>
          <t>Föryngringsavverkning</t>
        </is>
      </c>
      <c r="D2059" s="1" t="n">
        <v>45035</v>
      </c>
      <c r="E2059" s="1" t="n">
        <v>46312</v>
      </c>
      <c r="F2059" t="inlineStr">
        <is>
          <t>SKÅNE LÄN</t>
        </is>
      </c>
      <c r="G2059" t="inlineStr">
        <is>
          <t>KRISTIANSTAD</t>
        </is>
      </c>
      <c r="I2059" t="n">
        <v>3.2</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51250-2024</t>
        </is>
      </c>
      <c r="B2060" t="inlineStr">
        <is>
          <t>avverkningsanmälan</t>
        </is>
      </c>
      <c r="C2060" t="inlineStr">
        <is>
          <t>Föryngringsavverkning</t>
        </is>
      </c>
      <c r="D2060" s="1" t="n">
        <v>45602</v>
      </c>
      <c r="E2060" s="1" t="n">
        <v>46312</v>
      </c>
      <c r="F2060" t="inlineStr">
        <is>
          <t>SKÅNE LÄN</t>
        </is>
      </c>
      <c r="G2060" t="inlineStr">
        <is>
          <t>PERSTORP</t>
        </is>
      </c>
      <c r="I2060" t="n">
        <v>0.5</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36229-2024</t>
        </is>
      </c>
      <c r="B2061" t="inlineStr">
        <is>
          <t>avverkningsanmälan</t>
        </is>
      </c>
      <c r="C2061" t="inlineStr">
        <is>
          <t>Föryngringsavverkning</t>
        </is>
      </c>
      <c r="D2061" s="1" t="n">
        <v>45534</v>
      </c>
      <c r="E2061" s="1" t="n">
        <v>46312</v>
      </c>
      <c r="F2061" t="inlineStr">
        <is>
          <t>SKÅNE LÄN</t>
        </is>
      </c>
      <c r="G2061" t="inlineStr">
        <is>
          <t>OSBY</t>
        </is>
      </c>
      <c r="I2061" t="n">
        <v>1.1</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36232-2024</t>
        </is>
      </c>
      <c r="B2062" t="inlineStr">
        <is>
          <t>avverkningsanmälan</t>
        </is>
      </c>
      <c r="C2062" t="inlineStr">
        <is>
          <t>Föryngringsavverkning</t>
        </is>
      </c>
      <c r="D2062" s="1" t="n">
        <v>45534</v>
      </c>
      <c r="E2062" s="1" t="n">
        <v>46312</v>
      </c>
      <c r="F2062" t="inlineStr">
        <is>
          <t>SKÅNE LÄN</t>
        </is>
      </c>
      <c r="G2062" t="inlineStr">
        <is>
          <t>OSBY</t>
        </is>
      </c>
      <c r="I2062" t="n">
        <v>1.5</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42708-2025</t>
        </is>
      </c>
      <c r="B2063" t="inlineStr">
        <is>
          <t>avverkningsanmälan</t>
        </is>
      </c>
      <c r="C2063" t="inlineStr">
        <is>
          <t>Föryngringsavverkning</t>
        </is>
      </c>
      <c r="D2063" s="1" t="n">
        <v>45908</v>
      </c>
      <c r="E2063" s="1" t="n">
        <v>46312</v>
      </c>
      <c r="F2063" t="inlineStr">
        <is>
          <t>SKÅNE LÄN</t>
        </is>
      </c>
      <c r="G2063" t="inlineStr">
        <is>
          <t>ÖRKELLJUNGA</t>
        </is>
      </c>
      <c r="I2063" t="n">
        <v>0.3</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60997-2024</t>
        </is>
      </c>
      <c r="B2064" t="inlineStr">
        <is>
          <t>avverkningsanmälan</t>
        </is>
      </c>
      <c r="C2064" t="inlineStr">
        <is>
          <t>Föryngringsavverkning</t>
        </is>
      </c>
      <c r="D2064" s="1" t="n">
        <v>45644</v>
      </c>
      <c r="E2064" s="1" t="n">
        <v>46312</v>
      </c>
      <c r="F2064" t="inlineStr">
        <is>
          <t>SKÅNE LÄN</t>
        </is>
      </c>
      <c r="G2064" t="inlineStr">
        <is>
          <t>KRISTIANSTAD</t>
        </is>
      </c>
      <c r="I2064" t="n">
        <v>1.9</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43072-2025</t>
        </is>
      </c>
      <c r="B2065" t="inlineStr">
        <is>
          <t>avverkningsanmälan</t>
        </is>
      </c>
      <c r="C2065" t="inlineStr">
        <is>
          <t>Föryngringsavverkning</t>
        </is>
      </c>
      <c r="D2065" s="1" t="n">
        <v>45909</v>
      </c>
      <c r="E2065" s="1" t="n">
        <v>46312</v>
      </c>
      <c r="F2065" t="inlineStr">
        <is>
          <t>SKÅNE LÄN</t>
        </is>
      </c>
      <c r="G2065" t="inlineStr">
        <is>
          <t>OSBY</t>
        </is>
      </c>
      <c r="I2065" t="n">
        <v>1</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42728-2025</t>
        </is>
      </c>
      <c r="B2066" t="inlineStr">
        <is>
          <t>avverkningsanmälan</t>
        </is>
      </c>
      <c r="C2066" t="inlineStr">
        <is>
          <t>Föryngringsavverkning</t>
        </is>
      </c>
      <c r="D2066" s="1" t="n">
        <v>45908</v>
      </c>
      <c r="E2066" s="1" t="n">
        <v>46312</v>
      </c>
      <c r="F2066" t="inlineStr">
        <is>
          <t>SKÅNE LÄN</t>
        </is>
      </c>
      <c r="G2066" t="inlineStr">
        <is>
          <t>ÖRKELLJUNGA</t>
        </is>
      </c>
      <c r="I2066" t="n">
        <v>0.9</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40710-2023</t>
        </is>
      </c>
      <c r="B2067" t="inlineStr">
        <is>
          <t>avverkningsanmälan</t>
        </is>
      </c>
      <c r="C2067" t="inlineStr">
        <is>
          <t>Föryngringsavverkning</t>
        </is>
      </c>
      <c r="D2067" s="1" t="n">
        <v>45170</v>
      </c>
      <c r="E2067" s="1" t="n">
        <v>46312</v>
      </c>
      <c r="F2067" t="inlineStr">
        <is>
          <t>SKÅNE LÄN</t>
        </is>
      </c>
      <c r="G2067" t="inlineStr">
        <is>
          <t>KLIPPAN</t>
        </is>
      </c>
      <c r="I2067" t="n">
        <v>2.5</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34966-2023</t>
        </is>
      </c>
      <c r="B2068" t="inlineStr">
        <is>
          <t>avverkningsanmälan</t>
        </is>
      </c>
      <c r="C2068" t="inlineStr">
        <is>
          <t>Föryngringsavverkning</t>
        </is>
      </c>
      <c r="D2068" s="1" t="n">
        <v>45141</v>
      </c>
      <c r="E2068" s="1" t="n">
        <v>46312</v>
      </c>
      <c r="F2068" t="inlineStr">
        <is>
          <t>SKÅNE LÄN</t>
        </is>
      </c>
      <c r="G2068" t="inlineStr">
        <is>
          <t>OSBY</t>
        </is>
      </c>
      <c r="I2068" t="n">
        <v>1.7</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50652-2023</t>
        </is>
      </c>
      <c r="B2069" t="inlineStr">
        <is>
          <t>avverkningsanmälan</t>
        </is>
      </c>
      <c r="C2069" t="inlineStr">
        <is>
          <t>Föryngringsavverkning</t>
        </is>
      </c>
      <c r="D2069" s="1" t="n">
        <v>45210</v>
      </c>
      <c r="E2069" s="1" t="n">
        <v>46312</v>
      </c>
      <c r="F2069" t="inlineStr">
        <is>
          <t>SKÅNE LÄN</t>
        </is>
      </c>
      <c r="G2069" t="inlineStr">
        <is>
          <t>ÄNGELHOLM</t>
        </is>
      </c>
      <c r="I2069" t="n">
        <v>2.4</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42706-2025</t>
        </is>
      </c>
      <c r="B2070" t="inlineStr">
        <is>
          <t>avverkningsanmälan</t>
        </is>
      </c>
      <c r="C2070" t="inlineStr">
        <is>
          <t>Föryngringsavverkning</t>
        </is>
      </c>
      <c r="D2070" s="1" t="n">
        <v>45908</v>
      </c>
      <c r="E2070" s="1" t="n">
        <v>46312</v>
      </c>
      <c r="F2070" t="inlineStr">
        <is>
          <t>SKÅNE LÄN</t>
        </is>
      </c>
      <c r="G2070" t="inlineStr">
        <is>
          <t>SVALÖV</t>
        </is>
      </c>
      <c r="I2070" t="n">
        <v>0.5</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38021-2023</t>
        </is>
      </c>
      <c r="B2071" t="inlineStr">
        <is>
          <t>avverkningsanmälan</t>
        </is>
      </c>
      <c r="C2071" t="inlineStr">
        <is>
          <t>Avverkning för annat ändamål</t>
        </is>
      </c>
      <c r="D2071" s="1" t="n">
        <v>45159</v>
      </c>
      <c r="E2071" s="1" t="n">
        <v>46312</v>
      </c>
      <c r="F2071" t="inlineStr">
        <is>
          <t>SKÅNE LÄN</t>
        </is>
      </c>
      <c r="G2071" t="inlineStr">
        <is>
          <t>KRISTIANSTAD</t>
        </is>
      </c>
      <c r="I2071" t="n">
        <v>1.1</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24865-2024</t>
        </is>
      </c>
      <c r="B2072" t="inlineStr">
        <is>
          <t>avverkningsanmälan</t>
        </is>
      </c>
      <c r="C2072" t="inlineStr">
        <is>
          <t>Föryngringsavverkning</t>
        </is>
      </c>
      <c r="D2072" s="1" t="n">
        <v>45461</v>
      </c>
      <c r="E2072" s="1" t="n">
        <v>46312</v>
      </c>
      <c r="F2072" t="inlineStr">
        <is>
          <t>SKÅNE LÄN</t>
        </is>
      </c>
      <c r="G2072" t="inlineStr">
        <is>
          <t>HÄSSLEHOLM</t>
        </is>
      </c>
      <c r="I2072" t="n">
        <v>0.9</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43559-2025</t>
        </is>
      </c>
      <c r="B2073" t="inlineStr">
        <is>
          <t>avverkningsanmälan</t>
        </is>
      </c>
      <c r="C2073" t="inlineStr">
        <is>
          <t>Föryngringsavverkning</t>
        </is>
      </c>
      <c r="D2073" s="1" t="n">
        <v>45911</v>
      </c>
      <c r="E2073" s="1" t="n">
        <v>46312</v>
      </c>
      <c r="F2073" t="inlineStr">
        <is>
          <t>SKÅNE LÄN</t>
        </is>
      </c>
      <c r="G2073" t="inlineStr">
        <is>
          <t>OSBY</t>
        </is>
      </c>
      <c r="I2073" t="n">
        <v>7.1</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28923-2023</t>
        </is>
      </c>
      <c r="B2074" t="inlineStr">
        <is>
          <t>avverkningsanmälan</t>
        </is>
      </c>
      <c r="C2074" t="inlineStr">
        <is>
          <t>Avverkning för annat ändamål</t>
        </is>
      </c>
      <c r="D2074" s="1" t="n">
        <v>45104</v>
      </c>
      <c r="E2074" s="1" t="n">
        <v>46312</v>
      </c>
      <c r="F2074" t="inlineStr">
        <is>
          <t>SKÅNE LÄN</t>
        </is>
      </c>
      <c r="G2074" t="inlineStr">
        <is>
          <t>SJÖBO</t>
        </is>
      </c>
      <c r="I2074" t="n">
        <v>1.7</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43556-2025</t>
        </is>
      </c>
      <c r="B2075" t="inlineStr">
        <is>
          <t>avverkningsanmälan</t>
        </is>
      </c>
      <c r="C2075" t="inlineStr">
        <is>
          <t>Föryngringsavverkning</t>
        </is>
      </c>
      <c r="D2075" s="1" t="n">
        <v>45911</v>
      </c>
      <c r="E2075" s="1" t="n">
        <v>46312</v>
      </c>
      <c r="F2075" t="inlineStr">
        <is>
          <t>SKÅNE LÄN</t>
        </is>
      </c>
      <c r="G2075" t="inlineStr">
        <is>
          <t>OSBY</t>
        </is>
      </c>
      <c r="I2075" t="n">
        <v>2.8</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43562-2025</t>
        </is>
      </c>
      <c r="B2076" t="inlineStr">
        <is>
          <t>avverkningsanmälan</t>
        </is>
      </c>
      <c r="C2076" t="inlineStr">
        <is>
          <t>Föryngringsavverkning</t>
        </is>
      </c>
      <c r="D2076" s="1" t="n">
        <v>45911</v>
      </c>
      <c r="E2076" s="1" t="n">
        <v>46312</v>
      </c>
      <c r="F2076" t="inlineStr">
        <is>
          <t>SKÅNE LÄN</t>
        </is>
      </c>
      <c r="G2076" t="inlineStr">
        <is>
          <t>OSBY</t>
        </is>
      </c>
      <c r="I2076" t="n">
        <v>2.5</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34479-2025</t>
        </is>
      </c>
      <c r="B2077" t="inlineStr">
        <is>
          <t>avverkningsanmälan</t>
        </is>
      </c>
      <c r="C2077" t="inlineStr">
        <is>
          <t>Föryngringsavverkning</t>
        </is>
      </c>
      <c r="D2077" s="1" t="n">
        <v>45847</v>
      </c>
      <c r="E2077" s="1" t="n">
        <v>46312</v>
      </c>
      <c r="F2077" t="inlineStr">
        <is>
          <t>SKÅNE LÄN</t>
        </is>
      </c>
      <c r="G2077" t="inlineStr">
        <is>
          <t>KLIPPAN</t>
        </is>
      </c>
      <c r="I2077" t="n">
        <v>1.6</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42794-2024</t>
        </is>
      </c>
      <c r="B2078" t="inlineStr">
        <is>
          <t>avverkningsanmälan</t>
        </is>
      </c>
      <c r="C2078" t="inlineStr">
        <is>
          <t>Föryngringsavverkning</t>
        </is>
      </c>
      <c r="D2078" s="1" t="n">
        <v>45566</v>
      </c>
      <c r="E2078" s="1" t="n">
        <v>46312</v>
      </c>
      <c r="F2078" t="inlineStr">
        <is>
          <t>SKÅNE LÄN</t>
        </is>
      </c>
      <c r="G2078" t="inlineStr">
        <is>
          <t>TOMELILLA</t>
        </is>
      </c>
      <c r="I2078" t="n">
        <v>1.9</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24855-2024</t>
        </is>
      </c>
      <c r="B2079" t="inlineStr">
        <is>
          <t>avverkningsanmälan</t>
        </is>
      </c>
      <c r="C2079" t="inlineStr">
        <is>
          <t>Föryngringsavverkning</t>
        </is>
      </c>
      <c r="D2079" s="1" t="n">
        <v>45461</v>
      </c>
      <c r="E2079" s="1" t="n">
        <v>46312</v>
      </c>
      <c r="F2079" t="inlineStr">
        <is>
          <t>SKÅNE LÄN</t>
        </is>
      </c>
      <c r="G2079" t="inlineStr">
        <is>
          <t>ÄNGELHOLM</t>
        </is>
      </c>
      <c r="I2079" t="n">
        <v>2.4</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4185-2025</t>
        </is>
      </c>
      <c r="B2080" t="inlineStr">
        <is>
          <t>avverkningsanmälan</t>
        </is>
      </c>
      <c r="C2080" t="inlineStr">
        <is>
          <t>Föryngringsavverkning</t>
        </is>
      </c>
      <c r="D2080" s="1" t="n">
        <v>45685</v>
      </c>
      <c r="E2080" s="1" t="n">
        <v>46312</v>
      </c>
      <c r="F2080" t="inlineStr">
        <is>
          <t>SKÅNE LÄN</t>
        </is>
      </c>
      <c r="G2080" t="inlineStr">
        <is>
          <t>ÖSTRA GÖINGE</t>
        </is>
      </c>
      <c r="I2080" t="n">
        <v>0.6</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43306-2025</t>
        </is>
      </c>
      <c r="B2081" t="inlineStr">
        <is>
          <t>avverkningsanmälan</t>
        </is>
      </c>
      <c r="C2081" t="inlineStr">
        <is>
          <t>Föryngringsavverkning</t>
        </is>
      </c>
      <c r="D2081" s="1" t="n">
        <v>45910</v>
      </c>
      <c r="E2081" s="1" t="n">
        <v>46312</v>
      </c>
      <c r="F2081" t="inlineStr">
        <is>
          <t>SKÅNE LÄN</t>
        </is>
      </c>
      <c r="G2081" t="inlineStr">
        <is>
          <t>TOMELILLA</t>
        </is>
      </c>
      <c r="I2081" t="n">
        <v>1.3</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43551-2025</t>
        </is>
      </c>
      <c r="B2082" t="inlineStr">
        <is>
          <t>avverkningsanmälan</t>
        </is>
      </c>
      <c r="C2082" t="inlineStr">
        <is>
          <t>Föryngringsavverkning</t>
        </is>
      </c>
      <c r="D2082" s="1" t="n">
        <v>45911</v>
      </c>
      <c r="E2082" s="1" t="n">
        <v>46312</v>
      </c>
      <c r="F2082" t="inlineStr">
        <is>
          <t>SKÅNE LÄN</t>
        </is>
      </c>
      <c r="G2082" t="inlineStr">
        <is>
          <t>OSBY</t>
        </is>
      </c>
      <c r="I2082" t="n">
        <v>5.1</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40417-2022</t>
        </is>
      </c>
      <c r="B2083" t="inlineStr">
        <is>
          <t>avverkningsanmälan</t>
        </is>
      </c>
      <c r="C2083" t="inlineStr">
        <is>
          <t>Föryngringsavverkning</t>
        </is>
      </c>
      <c r="D2083" s="1" t="n">
        <v>44823</v>
      </c>
      <c r="E2083" s="1" t="n">
        <v>46312</v>
      </c>
      <c r="F2083" t="inlineStr">
        <is>
          <t>SKÅNE LÄN</t>
        </is>
      </c>
      <c r="G2083" t="inlineStr">
        <is>
          <t>YSTAD</t>
        </is>
      </c>
      <c r="I2083" t="n">
        <v>2.3</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55833-2023</t>
        </is>
      </c>
      <c r="B2084" t="inlineStr">
        <is>
          <t>avverkningsanmälan</t>
        </is>
      </c>
      <c r="C2084" t="inlineStr">
        <is>
          <t>Avverkning för annat ändamål</t>
        </is>
      </c>
      <c r="D2084" s="1" t="n">
        <v>45239</v>
      </c>
      <c r="E2084" s="1" t="n">
        <v>46312</v>
      </c>
      <c r="F2084" t="inlineStr">
        <is>
          <t>SKÅNE LÄN</t>
        </is>
      </c>
      <c r="G2084" t="inlineStr">
        <is>
          <t>KLIPPAN</t>
        </is>
      </c>
      <c r="I2084" t="n">
        <v>1.1</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45650-2022</t>
        </is>
      </c>
      <c r="B2085" t="inlineStr">
        <is>
          <t>avverkningsanmälan</t>
        </is>
      </c>
      <c r="C2085" t="inlineStr">
        <is>
          <t>Föryngringsavverkning</t>
        </is>
      </c>
      <c r="D2085" s="1" t="n">
        <v>44845</v>
      </c>
      <c r="E2085" s="1" t="n">
        <v>46312</v>
      </c>
      <c r="F2085" t="inlineStr">
        <is>
          <t>SKÅNE LÄN</t>
        </is>
      </c>
      <c r="G2085" t="inlineStr">
        <is>
          <t>OSBY</t>
        </is>
      </c>
      <c r="I2085" t="n">
        <v>3.8</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20933-2026</t>
        </is>
      </c>
      <c r="B2086" t="inlineStr">
        <is>
          <t>avverkningsanmälan</t>
        </is>
      </c>
      <c r="C2086" t="inlineStr">
        <is>
          <t>Föryngringsavverkning</t>
        </is>
      </c>
      <c r="D2086" s="1" t="n">
        <v>46142</v>
      </c>
      <c r="E2086" s="1" t="n">
        <v>46312</v>
      </c>
      <c r="F2086" t="inlineStr">
        <is>
          <t>SKÅNE LÄN</t>
        </is>
      </c>
      <c r="G2086" t="inlineStr">
        <is>
          <t>ÖSTRA GÖINGE</t>
        </is>
      </c>
      <c r="I2086" t="n">
        <v>1.2</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43425-2025</t>
        </is>
      </c>
      <c r="B2087" t="inlineStr">
        <is>
          <t>avverkningsanmälan</t>
        </is>
      </c>
      <c r="C2087" t="inlineStr">
        <is>
          <t>Föryngringsavverkning</t>
        </is>
      </c>
      <c r="D2087" s="1" t="n">
        <v>45911</v>
      </c>
      <c r="E2087" s="1" t="n">
        <v>46312</v>
      </c>
      <c r="F2087" t="inlineStr">
        <is>
          <t>SKÅNE LÄN</t>
        </is>
      </c>
      <c r="G2087" t="inlineStr">
        <is>
          <t>SVALÖV</t>
        </is>
      </c>
      <c r="I2087" t="n">
        <v>2.1</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18580-2023</t>
        </is>
      </c>
      <c r="B2088" t="inlineStr">
        <is>
          <t>avverkningsanmälan</t>
        </is>
      </c>
      <c r="C2088" t="inlineStr">
        <is>
          <t>Föryngringsavverkning</t>
        </is>
      </c>
      <c r="D2088" s="1" t="n">
        <v>45043</v>
      </c>
      <c r="E2088" s="1" t="n">
        <v>46312</v>
      </c>
      <c r="F2088" t="inlineStr">
        <is>
          <t>SKÅNE LÄN</t>
        </is>
      </c>
      <c r="G2088" t="inlineStr">
        <is>
          <t>HÄSSLEHOLM</t>
        </is>
      </c>
      <c r="I2088" t="n">
        <v>1.5</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45832-2023</t>
        </is>
      </c>
      <c r="B2089" t="inlineStr">
        <is>
          <t>avverkningsanmälan</t>
        </is>
      </c>
      <c r="C2089" t="inlineStr">
        <is>
          <t>Föryngringsavverkning</t>
        </is>
      </c>
      <c r="D2089" s="1" t="n">
        <v>45195</v>
      </c>
      <c r="E2089" s="1" t="n">
        <v>46312</v>
      </c>
      <c r="F2089" t="inlineStr">
        <is>
          <t>SKÅNE LÄN</t>
        </is>
      </c>
      <c r="G2089" t="inlineStr">
        <is>
          <t>HELSINGBORG</t>
        </is>
      </c>
      <c r="I2089" t="n">
        <v>2.3</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47450-2025</t>
        </is>
      </c>
      <c r="B2090" t="inlineStr">
        <is>
          <t>avverkningsanmälan</t>
        </is>
      </c>
      <c r="C2090" t="inlineStr">
        <is>
          <t>Föryngringsavverkning</t>
        </is>
      </c>
      <c r="D2090" s="1" t="n">
        <v>45930</v>
      </c>
      <c r="E2090" s="1" t="n">
        <v>46312</v>
      </c>
      <c r="F2090" t="inlineStr">
        <is>
          <t>SKÅNE LÄN</t>
        </is>
      </c>
      <c r="G2090" t="inlineStr">
        <is>
          <t>HÄSSLEHOLM</t>
        </is>
      </c>
      <c r="I2090" t="n">
        <v>3.2</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13797-2025</t>
        </is>
      </c>
      <c r="B2091" t="inlineStr">
        <is>
          <t>avverkningsanmälan</t>
        </is>
      </c>
      <c r="C2091" t="inlineStr">
        <is>
          <t>Föryngringsavverkning</t>
        </is>
      </c>
      <c r="D2091" s="1" t="n">
        <v>45737</v>
      </c>
      <c r="E2091" s="1" t="n">
        <v>46312</v>
      </c>
      <c r="F2091" t="inlineStr">
        <is>
          <t>SKÅNE LÄN</t>
        </is>
      </c>
      <c r="G2091" t="inlineStr">
        <is>
          <t>ÖRKELLJUNGA</t>
        </is>
      </c>
      <c r="I2091" t="n">
        <v>1.3</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9573-2025</t>
        </is>
      </c>
      <c r="B2092" t="inlineStr">
        <is>
          <t>avverkningsanmälan</t>
        </is>
      </c>
      <c r="C2092" t="inlineStr">
        <is>
          <t>Föryngringsavverkning</t>
        </is>
      </c>
      <c r="D2092" s="1" t="n">
        <v>45715</v>
      </c>
      <c r="E2092" s="1" t="n">
        <v>46312</v>
      </c>
      <c r="F2092" t="inlineStr">
        <is>
          <t>SKÅNE LÄN</t>
        </is>
      </c>
      <c r="G2092" t="inlineStr">
        <is>
          <t>ÖRKELLJUNGA</t>
        </is>
      </c>
      <c r="I2092" t="n">
        <v>1.2</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43869-2025</t>
        </is>
      </c>
      <c r="B2093" t="inlineStr">
        <is>
          <t>avverkningsanmälan</t>
        </is>
      </c>
      <c r="C2093" t="inlineStr">
        <is>
          <t>Föryngringsavverkning</t>
        </is>
      </c>
      <c r="D2093" s="1" t="n">
        <v>45912</v>
      </c>
      <c r="E2093" s="1" t="n">
        <v>46312</v>
      </c>
      <c r="F2093" t="inlineStr">
        <is>
          <t>SKÅNE LÄN</t>
        </is>
      </c>
      <c r="G2093" t="inlineStr">
        <is>
          <t>HÄSSLEHOLM</t>
        </is>
      </c>
      <c r="I2093" t="n">
        <v>0.7</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1846-2025</t>
        </is>
      </c>
      <c r="B2094" t="inlineStr">
        <is>
          <t>avverkningsanmälan</t>
        </is>
      </c>
      <c r="C2094" t="inlineStr">
        <is>
          <t>Föryngringsavverkning</t>
        </is>
      </c>
      <c r="D2094" s="1" t="n">
        <v>45671</v>
      </c>
      <c r="E2094" s="1" t="n">
        <v>46312</v>
      </c>
      <c r="F2094" t="inlineStr">
        <is>
          <t>SKÅNE LÄN</t>
        </is>
      </c>
      <c r="G2094" t="inlineStr">
        <is>
          <t>SJÖBO</t>
        </is>
      </c>
      <c r="I2094" t="n">
        <v>5.6</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24906-2022</t>
        </is>
      </c>
      <c r="B2095" t="inlineStr">
        <is>
          <t>avverkningsanmälan</t>
        </is>
      </c>
      <c r="C2095" t="inlineStr">
        <is>
          <t>Föryngringsavverkning</t>
        </is>
      </c>
      <c r="D2095" s="1" t="n">
        <v>44728</v>
      </c>
      <c r="E2095" s="1" t="n">
        <v>46312</v>
      </c>
      <c r="F2095" t="inlineStr">
        <is>
          <t>SKÅNE LÄN</t>
        </is>
      </c>
      <c r="G2095" t="inlineStr">
        <is>
          <t>HÄSSLEHOLM</t>
        </is>
      </c>
      <c r="I2095" t="n">
        <v>0.9</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43741-2025</t>
        </is>
      </c>
      <c r="B2096" t="inlineStr">
        <is>
          <t>avverkningsanmälan</t>
        </is>
      </c>
      <c r="C2096" t="inlineStr">
        <is>
          <t>Föryngringsavverkning</t>
        </is>
      </c>
      <c r="D2096" s="1" t="n">
        <v>45912</v>
      </c>
      <c r="E2096" s="1" t="n">
        <v>46312</v>
      </c>
      <c r="F2096" t="inlineStr">
        <is>
          <t>SKÅNE LÄN</t>
        </is>
      </c>
      <c r="G2096" t="inlineStr">
        <is>
          <t>HÄSSLEHOLM</t>
        </is>
      </c>
      <c r="I2096" t="n">
        <v>4.3</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3890-2024</t>
        </is>
      </c>
      <c r="B2097" t="inlineStr">
        <is>
          <t>avverkningsanmälan</t>
        </is>
      </c>
      <c r="C2097" t="inlineStr">
        <is>
          <t>Föryngringsavverkning</t>
        </is>
      </c>
      <c r="D2097" s="1" t="n">
        <v>45322</v>
      </c>
      <c r="E2097" s="1" t="n">
        <v>46312</v>
      </c>
      <c r="F2097" t="inlineStr">
        <is>
          <t>SKÅNE LÄN</t>
        </is>
      </c>
      <c r="G2097" t="inlineStr">
        <is>
          <t>HÄSSLEHOLM</t>
        </is>
      </c>
      <c r="I2097" t="n">
        <v>3</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23560-2025</t>
        </is>
      </c>
      <c r="B2098" t="inlineStr">
        <is>
          <t>avverkningsanmälan</t>
        </is>
      </c>
      <c r="C2098" t="inlineStr">
        <is>
          <t>Föryngringsavverkning</t>
        </is>
      </c>
      <c r="D2098" s="1" t="n">
        <v>45792</v>
      </c>
      <c r="E2098" s="1" t="n">
        <v>46312</v>
      </c>
      <c r="F2098" t="inlineStr">
        <is>
          <t>SKÅNE LÄN</t>
        </is>
      </c>
      <c r="G2098" t="inlineStr">
        <is>
          <t>KRISTIANSTAD</t>
        </is>
      </c>
      <c r="I2098" t="n">
        <v>0.7</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30730-2025</t>
        </is>
      </c>
      <c r="B2099" t="inlineStr">
        <is>
          <t>avverkningsanmälan</t>
        </is>
      </c>
      <c r="C2099" t="inlineStr">
        <is>
          <t>Föryngringsavverkning</t>
        </is>
      </c>
      <c r="D2099" s="1" t="n">
        <v>45831</v>
      </c>
      <c r="E2099" s="1" t="n">
        <v>46312</v>
      </c>
      <c r="F2099" t="inlineStr">
        <is>
          <t>SKÅNE LÄN</t>
        </is>
      </c>
      <c r="G2099" t="inlineStr">
        <is>
          <t>HÖÖR</t>
        </is>
      </c>
      <c r="I2099" t="n">
        <v>4.4</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47394-2025</t>
        </is>
      </c>
      <c r="B2100" t="inlineStr">
        <is>
          <t>avverkningsanmälan</t>
        </is>
      </c>
      <c r="C2100" t="inlineStr">
        <is>
          <t>Föryngringsavverkning</t>
        </is>
      </c>
      <c r="D2100" s="1" t="n">
        <v>45930</v>
      </c>
      <c r="E2100" s="1" t="n">
        <v>46312</v>
      </c>
      <c r="F2100" t="inlineStr">
        <is>
          <t>SKÅNE LÄN</t>
        </is>
      </c>
      <c r="G2100" t="inlineStr">
        <is>
          <t>HÄSSLEHOLM</t>
        </is>
      </c>
      <c r="I2100" t="n">
        <v>2.4</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16743-2024</t>
        </is>
      </c>
      <c r="B2101" t="inlineStr">
        <is>
          <t>avverkningsanmälan</t>
        </is>
      </c>
      <c r="C2101" t="inlineStr">
        <is>
          <t>Föryngringsavverkning</t>
        </is>
      </c>
      <c r="D2101" s="1" t="n">
        <v>45410</v>
      </c>
      <c r="E2101" s="1" t="n">
        <v>46312</v>
      </c>
      <c r="F2101" t="inlineStr">
        <is>
          <t>SKÅNE LÄN</t>
        </is>
      </c>
      <c r="G2101" t="inlineStr">
        <is>
          <t>ÖSTRA GÖINGE</t>
        </is>
      </c>
      <c r="I2101" t="n">
        <v>7</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44111-2025</t>
        </is>
      </c>
      <c r="B2102" t="inlineStr">
        <is>
          <t>avverkningsanmälan</t>
        </is>
      </c>
      <c r="C2102" t="inlineStr">
        <is>
          <t>Föryngringsavverkning</t>
        </is>
      </c>
      <c r="D2102" s="1" t="n">
        <v>45915</v>
      </c>
      <c r="E2102" s="1" t="n">
        <v>46312</v>
      </c>
      <c r="F2102" t="inlineStr">
        <is>
          <t>SKÅNE LÄN</t>
        </is>
      </c>
      <c r="G2102" t="inlineStr">
        <is>
          <t>KRISTIANSTAD</t>
        </is>
      </c>
      <c r="I2102" t="n">
        <v>1.1</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43990-2025</t>
        </is>
      </c>
      <c r="B2103" t="inlineStr">
        <is>
          <t>avverkningsanmälan</t>
        </is>
      </c>
      <c r="C2103" t="inlineStr">
        <is>
          <t>Föryngringsavverkning</t>
        </is>
      </c>
      <c r="D2103" s="1" t="n">
        <v>45915</v>
      </c>
      <c r="E2103" s="1" t="n">
        <v>46312</v>
      </c>
      <c r="F2103" t="inlineStr">
        <is>
          <t>SKÅNE LÄN</t>
        </is>
      </c>
      <c r="G2103" t="inlineStr">
        <is>
          <t>ÖRKELLJUNGA</t>
        </is>
      </c>
      <c r="I2103" t="n">
        <v>0.5</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43897-2025</t>
        </is>
      </c>
      <c r="B2104" t="inlineStr">
        <is>
          <t>avverkningsanmälan</t>
        </is>
      </c>
      <c r="C2104" t="inlineStr">
        <is>
          <t>Föryngringsavverkning</t>
        </is>
      </c>
      <c r="D2104" s="1" t="n">
        <v>45912</v>
      </c>
      <c r="E2104" s="1" t="n">
        <v>46312</v>
      </c>
      <c r="F2104" t="inlineStr">
        <is>
          <t>SKÅNE LÄN</t>
        </is>
      </c>
      <c r="G2104" t="inlineStr">
        <is>
          <t>OSBY</t>
        </is>
      </c>
      <c r="I2104" t="n">
        <v>0.5</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8512-2024</t>
        </is>
      </c>
      <c r="B2105" t="inlineStr">
        <is>
          <t>avverkningsanmälan</t>
        </is>
      </c>
      <c r="C2105" t="inlineStr">
        <is>
          <t>Föryngringsavverkning</t>
        </is>
      </c>
      <c r="D2105" s="1" t="n">
        <v>45355</v>
      </c>
      <c r="E2105" s="1" t="n">
        <v>46312</v>
      </c>
      <c r="F2105" t="inlineStr">
        <is>
          <t>SKÅNE LÄN</t>
        </is>
      </c>
      <c r="G2105" t="inlineStr">
        <is>
          <t>KRISTIANSTAD</t>
        </is>
      </c>
      <c r="I2105" t="n">
        <v>0.7</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43738-2025</t>
        </is>
      </c>
      <c r="B2106" t="inlineStr">
        <is>
          <t>avverkningsanmälan</t>
        </is>
      </c>
      <c r="C2106" t="inlineStr">
        <is>
          <t>Föryngringsavverkning</t>
        </is>
      </c>
      <c r="D2106" s="1" t="n">
        <v>45912</v>
      </c>
      <c r="E2106" s="1" t="n">
        <v>46312</v>
      </c>
      <c r="F2106" t="inlineStr">
        <is>
          <t>SKÅNE LÄN</t>
        </is>
      </c>
      <c r="G2106" t="inlineStr">
        <is>
          <t>HÄSSLEHOLM</t>
        </is>
      </c>
      <c r="I2106" t="n">
        <v>1.3</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43939-2025</t>
        </is>
      </c>
      <c r="B2107" t="inlineStr">
        <is>
          <t>avverkningsanmälan</t>
        </is>
      </c>
      <c r="C2107" t="inlineStr">
        <is>
          <t>Föryngringsavverkning</t>
        </is>
      </c>
      <c r="D2107" s="1" t="n">
        <v>45915</v>
      </c>
      <c r="E2107" s="1" t="n">
        <v>46312</v>
      </c>
      <c r="F2107" t="inlineStr">
        <is>
          <t>SKÅNE LÄN</t>
        </is>
      </c>
      <c r="G2107" t="inlineStr">
        <is>
          <t>KRISTIANSTAD</t>
        </is>
      </c>
      <c r="I2107" t="n">
        <v>0.6</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34154-2025</t>
        </is>
      </c>
      <c r="B2108" t="inlineStr">
        <is>
          <t>avverkningsanmälan</t>
        </is>
      </c>
      <c r="C2108" t="inlineStr">
        <is>
          <t>Föryngringsavverkning</t>
        </is>
      </c>
      <c r="D2108" s="1" t="n">
        <v>45845</v>
      </c>
      <c r="E2108" s="1" t="n">
        <v>46312</v>
      </c>
      <c r="F2108" t="inlineStr">
        <is>
          <t>SKÅNE LÄN</t>
        </is>
      </c>
      <c r="G2108" t="inlineStr">
        <is>
          <t>HÖRBY</t>
        </is>
      </c>
      <c r="I2108" t="n">
        <v>5</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47352-2025</t>
        </is>
      </c>
      <c r="B2109" t="inlineStr">
        <is>
          <t>avverkningsanmälan</t>
        </is>
      </c>
      <c r="C2109" t="inlineStr">
        <is>
          <t>Föryngringsavverkning</t>
        </is>
      </c>
      <c r="D2109" s="1" t="n">
        <v>45930</v>
      </c>
      <c r="E2109" s="1" t="n">
        <v>46312</v>
      </c>
      <c r="F2109" t="inlineStr">
        <is>
          <t>SKÅNE LÄN</t>
        </is>
      </c>
      <c r="G2109" t="inlineStr">
        <is>
          <t>HÄSSLEHOLM</t>
        </is>
      </c>
      <c r="I2109" t="n">
        <v>15.9</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47432-2025</t>
        </is>
      </c>
      <c r="B2110" t="inlineStr">
        <is>
          <t>avverkningsanmälan</t>
        </is>
      </c>
      <c r="C2110" t="inlineStr">
        <is>
          <t>Föryngringsavverkning</t>
        </is>
      </c>
      <c r="D2110" s="1" t="n">
        <v>45930</v>
      </c>
      <c r="E2110" s="1" t="n">
        <v>46312</v>
      </c>
      <c r="F2110" t="inlineStr">
        <is>
          <t>SKÅNE LÄN</t>
        </is>
      </c>
      <c r="G2110" t="inlineStr">
        <is>
          <t>HÄSSLEHOLM</t>
        </is>
      </c>
      <c r="I2110" t="n">
        <v>2.7</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24579-2023</t>
        </is>
      </c>
      <c r="B2111" t="inlineStr">
        <is>
          <t>avverkningsanmälan</t>
        </is>
      </c>
      <c r="C2111" t="inlineStr">
        <is>
          <t>Föryngringsavverkning</t>
        </is>
      </c>
      <c r="D2111" s="1" t="n">
        <v>45083</v>
      </c>
      <c r="E2111" s="1" t="n">
        <v>46312</v>
      </c>
      <c r="F2111" t="inlineStr">
        <is>
          <t>SKÅNE LÄN</t>
        </is>
      </c>
      <c r="G2111" t="inlineStr">
        <is>
          <t>KRISTIANSTAD</t>
        </is>
      </c>
      <c r="H2111" t="inlineStr">
        <is>
          <t>Övriga Aktiebolag</t>
        </is>
      </c>
      <c r="I2111" t="n">
        <v>10.5</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17253-2023</t>
        </is>
      </c>
      <c r="B2112" t="inlineStr">
        <is>
          <t>avverkningsanmälan</t>
        </is>
      </c>
      <c r="C2112" t="inlineStr">
        <is>
          <t>Föryngringsavverkning</t>
        </is>
      </c>
      <c r="D2112" s="1" t="n">
        <v>45033</v>
      </c>
      <c r="E2112" s="1" t="n">
        <v>46312</v>
      </c>
      <c r="F2112" t="inlineStr">
        <is>
          <t>SKÅNE LÄN</t>
        </is>
      </c>
      <c r="G2112" t="inlineStr">
        <is>
          <t>BROMÖLLA</t>
        </is>
      </c>
      <c r="I2112" t="n">
        <v>1.1</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44260-2025</t>
        </is>
      </c>
      <c r="B2113" t="inlineStr">
        <is>
          <t>avverkningsanmälan</t>
        </is>
      </c>
      <c r="C2113" t="inlineStr">
        <is>
          <t>Föryngringsavverkning</t>
        </is>
      </c>
      <c r="D2113" s="1" t="n">
        <v>45915</v>
      </c>
      <c r="E2113" s="1" t="n">
        <v>46312</v>
      </c>
      <c r="F2113" t="inlineStr">
        <is>
          <t>SKÅNE LÄN</t>
        </is>
      </c>
      <c r="G2113" t="inlineStr">
        <is>
          <t>KRISTIANSTAD</t>
        </is>
      </c>
      <c r="I2113" t="n">
        <v>2.2</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2911-2025</t>
        </is>
      </c>
      <c r="B2114" t="inlineStr">
        <is>
          <t>avverkningsanmälan</t>
        </is>
      </c>
      <c r="C2114" t="inlineStr">
        <is>
          <t>Föryngringsavverkning</t>
        </is>
      </c>
      <c r="D2114" s="1" t="n">
        <v>45677</v>
      </c>
      <c r="E2114" s="1" t="n">
        <v>46312</v>
      </c>
      <c r="F2114" t="inlineStr">
        <is>
          <t>SKÅNE LÄN</t>
        </is>
      </c>
      <c r="G2114" t="inlineStr">
        <is>
          <t>OSBY</t>
        </is>
      </c>
      <c r="I2114" t="n">
        <v>0.5</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47609-2023</t>
        </is>
      </c>
      <c r="B2115" t="inlineStr">
        <is>
          <t>avverkningsanmälan</t>
        </is>
      </c>
      <c r="C2115" t="inlineStr">
        <is>
          <t>Föryngringsavverkning</t>
        </is>
      </c>
      <c r="D2115" s="1" t="n">
        <v>45203</v>
      </c>
      <c r="E2115" s="1" t="n">
        <v>46312</v>
      </c>
      <c r="F2115" t="inlineStr">
        <is>
          <t>SKÅNE LÄN</t>
        </is>
      </c>
      <c r="G2115" t="inlineStr">
        <is>
          <t>HÖRBY</t>
        </is>
      </c>
      <c r="I2115" t="n">
        <v>2.4</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47652-2023</t>
        </is>
      </c>
      <c r="B2116" t="inlineStr">
        <is>
          <t>avverkningsanmälan</t>
        </is>
      </c>
      <c r="C2116" t="inlineStr">
        <is>
          <t>Avverkning för annat ändamål</t>
        </is>
      </c>
      <c r="D2116" s="1" t="n">
        <v>45198</v>
      </c>
      <c r="E2116" s="1" t="n">
        <v>46312</v>
      </c>
      <c r="F2116" t="inlineStr">
        <is>
          <t>SKÅNE LÄN</t>
        </is>
      </c>
      <c r="G2116" t="inlineStr">
        <is>
          <t>KRISTIANSTAD</t>
        </is>
      </c>
      <c r="I2116" t="n">
        <v>0.4</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72100-2021</t>
        </is>
      </c>
      <c r="B2117" t="inlineStr">
        <is>
          <t>avverkningsanmälan</t>
        </is>
      </c>
      <c r="C2117" t="inlineStr">
        <is>
          <t>Föryngringsavverkning</t>
        </is>
      </c>
      <c r="D2117" s="1" t="n">
        <v>44544</v>
      </c>
      <c r="E2117" s="1" t="n">
        <v>46312</v>
      </c>
      <c r="F2117" t="inlineStr">
        <is>
          <t>SKÅNE LÄN</t>
        </is>
      </c>
      <c r="G2117" t="inlineStr">
        <is>
          <t>KRISTIANSTAD</t>
        </is>
      </c>
      <c r="I2117" t="n">
        <v>0.6</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24115-2022</t>
        </is>
      </c>
      <c r="B2118" t="inlineStr">
        <is>
          <t>avverkningsanmälan</t>
        </is>
      </c>
      <c r="C2118" t="inlineStr">
        <is>
          <t>Föryngringsavverkning</t>
        </is>
      </c>
      <c r="D2118" s="1" t="n">
        <v>44725</v>
      </c>
      <c r="E2118" s="1" t="n">
        <v>46312</v>
      </c>
      <c r="F2118" t="inlineStr">
        <is>
          <t>SKÅNE LÄN</t>
        </is>
      </c>
      <c r="G2118" t="inlineStr">
        <is>
          <t>ESLÖV</t>
        </is>
      </c>
      <c r="I2118" t="n">
        <v>4.4</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21229-2026</t>
        </is>
      </c>
      <c r="B2119" t="inlineStr">
        <is>
          <t>avverkningsanmälan</t>
        </is>
      </c>
      <c r="C2119" t="inlineStr">
        <is>
          <t>Föryngringsavverkning</t>
        </is>
      </c>
      <c r="D2119" s="1" t="n">
        <v>46146</v>
      </c>
      <c r="E2119" s="1" t="n">
        <v>46312</v>
      </c>
      <c r="F2119" t="inlineStr">
        <is>
          <t>SKÅNE LÄN</t>
        </is>
      </c>
      <c r="G2119" t="inlineStr">
        <is>
          <t>HÖÖR</t>
        </is>
      </c>
      <c r="I2119" t="n">
        <v>1.4</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47422-2025</t>
        </is>
      </c>
      <c r="B2120" t="inlineStr">
        <is>
          <t>avverkningsanmälan</t>
        </is>
      </c>
      <c r="C2120" t="inlineStr">
        <is>
          <t>Föryngringsavverkning</t>
        </is>
      </c>
      <c r="D2120" s="1" t="n">
        <v>45930</v>
      </c>
      <c r="E2120" s="1" t="n">
        <v>46312</v>
      </c>
      <c r="F2120" t="inlineStr">
        <is>
          <t>SKÅNE LÄN</t>
        </is>
      </c>
      <c r="G2120" t="inlineStr">
        <is>
          <t>HÄSSLEHOLM</t>
        </is>
      </c>
      <c r="I2120" t="n">
        <v>2.3</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23785-2023</t>
        </is>
      </c>
      <c r="B2121" t="inlineStr">
        <is>
          <t>avverkningsanmälan</t>
        </is>
      </c>
      <c r="C2121" t="inlineStr">
        <is>
          <t>Föryngringsavverkning</t>
        </is>
      </c>
      <c r="D2121" s="1" t="n">
        <v>45078</v>
      </c>
      <c r="E2121" s="1" t="n">
        <v>46312</v>
      </c>
      <c r="F2121" t="inlineStr">
        <is>
          <t>SKÅNE LÄN</t>
        </is>
      </c>
      <c r="G2121" t="inlineStr">
        <is>
          <t>PERSTORP</t>
        </is>
      </c>
      <c r="I2121" t="n">
        <v>0.5</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44616-2025</t>
        </is>
      </c>
      <c r="B2122" t="inlineStr">
        <is>
          <t>avverkningsanmälan</t>
        </is>
      </c>
      <c r="C2122" t="inlineStr">
        <is>
          <t>Föryngringsavverkning</t>
        </is>
      </c>
      <c r="D2122" s="1" t="n">
        <v>45917</v>
      </c>
      <c r="E2122" s="1" t="n">
        <v>46312</v>
      </c>
      <c r="F2122" t="inlineStr">
        <is>
          <t>SKÅNE LÄN</t>
        </is>
      </c>
      <c r="G2122" t="inlineStr">
        <is>
          <t>HÄSSLEHOLM</t>
        </is>
      </c>
      <c r="I2122" t="n">
        <v>0.9</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32158-2024</t>
        </is>
      </c>
      <c r="B2123" t="inlineStr">
        <is>
          <t>avverkningsanmälan</t>
        </is>
      </c>
      <c r="C2123" t="inlineStr">
        <is>
          <t>Föryngringsavverkning</t>
        </is>
      </c>
      <c r="D2123" s="1" t="n">
        <v>45511</v>
      </c>
      <c r="E2123" s="1" t="n">
        <v>46312</v>
      </c>
      <c r="F2123" t="inlineStr">
        <is>
          <t>SKÅNE LÄN</t>
        </is>
      </c>
      <c r="G2123" t="inlineStr">
        <is>
          <t>KRISTIANSTAD</t>
        </is>
      </c>
      <c r="I2123" t="n">
        <v>1.2</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20128-2023</t>
        </is>
      </c>
      <c r="B2124" t="inlineStr">
        <is>
          <t>avverkningsanmälan</t>
        </is>
      </c>
      <c r="C2124" t="inlineStr">
        <is>
          <t>Föryngringsavverkning</t>
        </is>
      </c>
      <c r="D2124" s="1" t="n">
        <v>45055</v>
      </c>
      <c r="E2124" s="1" t="n">
        <v>46312</v>
      </c>
      <c r="F2124" t="inlineStr">
        <is>
          <t>SKÅNE LÄN</t>
        </is>
      </c>
      <c r="G2124" t="inlineStr">
        <is>
          <t>KLIPPAN</t>
        </is>
      </c>
      <c r="I2124" t="n">
        <v>2.9</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19884-2024</t>
        </is>
      </c>
      <c r="B2125" t="inlineStr">
        <is>
          <t>avverkningsanmälan</t>
        </is>
      </c>
      <c r="C2125" t="inlineStr">
        <is>
          <t>Föryngringsavverkning</t>
        </is>
      </c>
      <c r="D2125" s="1" t="n">
        <v>45433</v>
      </c>
      <c r="E2125" s="1" t="n">
        <v>46312</v>
      </c>
      <c r="F2125" t="inlineStr">
        <is>
          <t>SKÅNE LÄN</t>
        </is>
      </c>
      <c r="G2125" t="inlineStr">
        <is>
          <t>SJÖBO</t>
        </is>
      </c>
      <c r="I2125" t="n">
        <v>0.6</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45728-2022</t>
        </is>
      </c>
      <c r="B2126" t="inlineStr">
        <is>
          <t>avverkningsanmälan</t>
        </is>
      </c>
      <c r="C2126" t="inlineStr">
        <is>
          <t>Föryngringsavverkning</t>
        </is>
      </c>
      <c r="D2126" s="1" t="n">
        <v>44846</v>
      </c>
      <c r="E2126" s="1" t="n">
        <v>46312</v>
      </c>
      <c r="F2126" t="inlineStr">
        <is>
          <t>SKÅNE LÄN</t>
        </is>
      </c>
      <c r="G2126" t="inlineStr">
        <is>
          <t>KRISTIANSTAD</t>
        </is>
      </c>
      <c r="H2126" t="inlineStr">
        <is>
          <t>Övriga Aktiebolag</t>
        </is>
      </c>
      <c r="I2126" t="n">
        <v>2.1</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21260-2026</t>
        </is>
      </c>
      <c r="B2127" t="inlineStr">
        <is>
          <t>avverkningsanmälan</t>
        </is>
      </c>
      <c r="C2127" t="inlineStr">
        <is>
          <t>Avverkning för annat ändamål</t>
        </is>
      </c>
      <c r="D2127" s="1" t="n">
        <v>46147</v>
      </c>
      <c r="E2127" s="1" t="n">
        <v>46312</v>
      </c>
      <c r="F2127" t="inlineStr">
        <is>
          <t>SKÅNE LÄN</t>
        </is>
      </c>
      <c r="G2127" t="inlineStr">
        <is>
          <t>ÖSTRA GÖINGE</t>
        </is>
      </c>
      <c r="I2127" t="n">
        <v>0.8</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13897-2024</t>
        </is>
      </c>
      <c r="B2128" t="inlineStr">
        <is>
          <t>avverkningsanmälan</t>
        </is>
      </c>
      <c r="C2128" t="inlineStr">
        <is>
          <t>Föryngringsavverkning</t>
        </is>
      </c>
      <c r="D2128" s="1" t="n">
        <v>45391</v>
      </c>
      <c r="E2128" s="1" t="n">
        <v>46312</v>
      </c>
      <c r="F2128" t="inlineStr">
        <is>
          <t>SKÅNE LÄN</t>
        </is>
      </c>
      <c r="G2128" t="inlineStr">
        <is>
          <t>HÄSSLEHOLM</t>
        </is>
      </c>
      <c r="H2128" t="inlineStr">
        <is>
          <t>Kommuner</t>
        </is>
      </c>
      <c r="I2128" t="n">
        <v>4</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45221-2025</t>
        </is>
      </c>
      <c r="B2129" t="inlineStr">
        <is>
          <t>avverkningsanmälan</t>
        </is>
      </c>
      <c r="C2129" t="inlineStr">
        <is>
          <t>Föryngringsavverkning</t>
        </is>
      </c>
      <c r="D2129" s="1" t="n">
        <v>45919</v>
      </c>
      <c r="E2129" s="1" t="n">
        <v>46312</v>
      </c>
      <c r="F2129" t="inlineStr">
        <is>
          <t>SKÅNE LÄN</t>
        </is>
      </c>
      <c r="G2129" t="inlineStr">
        <is>
          <t>HÄSSLEHOLM</t>
        </is>
      </c>
      <c r="I2129" t="n">
        <v>1.7</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13651-2023</t>
        </is>
      </c>
      <c r="B2130" t="inlineStr">
        <is>
          <t>avverkningsanmälan</t>
        </is>
      </c>
      <c r="C2130" t="inlineStr">
        <is>
          <t>Föryngringsavverkning</t>
        </is>
      </c>
      <c r="D2130" s="1" t="n">
        <v>45006</v>
      </c>
      <c r="E2130" s="1" t="n">
        <v>46312</v>
      </c>
      <c r="F2130" t="inlineStr">
        <is>
          <t>SKÅNE LÄN</t>
        </is>
      </c>
      <c r="G2130" t="inlineStr">
        <is>
          <t>HELSINGBORG</t>
        </is>
      </c>
      <c r="I2130" t="n">
        <v>2.2</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56355-2023</t>
        </is>
      </c>
      <c r="B2131" t="inlineStr">
        <is>
          <t>avverkningsanmälan</t>
        </is>
      </c>
      <c r="C2131" t="inlineStr">
        <is>
          <t>Föryngringsavverkning</t>
        </is>
      </c>
      <c r="D2131" s="1" t="n">
        <v>45243</v>
      </c>
      <c r="E2131" s="1" t="n">
        <v>46312</v>
      </c>
      <c r="F2131" t="inlineStr">
        <is>
          <t>SKÅNE LÄN</t>
        </is>
      </c>
      <c r="G2131" t="inlineStr">
        <is>
          <t>HÄSSLEHOLM</t>
        </is>
      </c>
      <c r="I2131" t="n">
        <v>0.6</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45164-2025</t>
        </is>
      </c>
      <c r="B2132" t="inlineStr">
        <is>
          <t>avverkningsanmälan</t>
        </is>
      </c>
      <c r="C2132" t="inlineStr">
        <is>
          <t>Föryngringsavverkning</t>
        </is>
      </c>
      <c r="D2132" s="1" t="n">
        <v>45919</v>
      </c>
      <c r="E2132" s="1" t="n">
        <v>46312</v>
      </c>
      <c r="F2132" t="inlineStr">
        <is>
          <t>SKÅNE LÄN</t>
        </is>
      </c>
      <c r="G2132" t="inlineStr">
        <is>
          <t>HÖÖR</t>
        </is>
      </c>
      <c r="I2132" t="n">
        <v>1</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54798-2025</t>
        </is>
      </c>
      <c r="B2133" t="inlineStr">
        <is>
          <t>avverkningsanmälan</t>
        </is>
      </c>
      <c r="C2133" t="inlineStr">
        <is>
          <t>Föryngringsavverkning</t>
        </is>
      </c>
      <c r="D2133" s="1" t="n">
        <v>45966</v>
      </c>
      <c r="E2133" s="1" t="n">
        <v>46312</v>
      </c>
      <c r="F2133" t="inlineStr">
        <is>
          <t>SKÅNE LÄN</t>
        </is>
      </c>
      <c r="G2133" t="inlineStr">
        <is>
          <t>HÄSSLEHOLM</t>
        </is>
      </c>
      <c r="I2133" t="n">
        <v>0.7</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2252-2025</t>
        </is>
      </c>
      <c r="B2134" t="inlineStr">
        <is>
          <t>avverkningsanmälan</t>
        </is>
      </c>
      <c r="C2134" t="inlineStr">
        <is>
          <t>Föryngringsavverkning</t>
        </is>
      </c>
      <c r="D2134" s="1" t="n">
        <v>45673</v>
      </c>
      <c r="E2134" s="1" t="n">
        <v>46312</v>
      </c>
      <c r="F2134" t="inlineStr">
        <is>
          <t>SKÅNE LÄN</t>
        </is>
      </c>
      <c r="G2134" t="inlineStr">
        <is>
          <t>KLIPPAN</t>
        </is>
      </c>
      <c r="I2134" t="n">
        <v>0.3</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22029-2022</t>
        </is>
      </c>
      <c r="B2135" t="inlineStr">
        <is>
          <t>avverkningsanmälan</t>
        </is>
      </c>
      <c r="C2135" t="inlineStr">
        <is>
          <t>Föryngringsavverkning</t>
        </is>
      </c>
      <c r="D2135" s="1" t="n">
        <v>44711</v>
      </c>
      <c r="E2135" s="1" t="n">
        <v>46312</v>
      </c>
      <c r="F2135" t="inlineStr">
        <is>
          <t>SKÅNE LÄN</t>
        </is>
      </c>
      <c r="G2135" t="inlineStr">
        <is>
          <t>OSBY</t>
        </is>
      </c>
      <c r="I2135" t="n">
        <v>6.3</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67613-2021</t>
        </is>
      </c>
      <c r="B2136" t="inlineStr">
        <is>
          <t>avverkningsanmälan</t>
        </is>
      </c>
      <c r="C2136" t="inlineStr">
        <is>
          <t>Föryngringsavverkning</t>
        </is>
      </c>
      <c r="D2136" s="1" t="n">
        <v>44524</v>
      </c>
      <c r="E2136" s="1" t="n">
        <v>46312</v>
      </c>
      <c r="F2136" t="inlineStr">
        <is>
          <t>SKÅNE LÄN</t>
        </is>
      </c>
      <c r="G2136" t="inlineStr">
        <is>
          <t>OSBY</t>
        </is>
      </c>
      <c r="I2136" t="n">
        <v>1.8</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67616-2021</t>
        </is>
      </c>
      <c r="B2137" t="inlineStr">
        <is>
          <t>avverkningsanmälan</t>
        </is>
      </c>
      <c r="C2137" t="inlineStr">
        <is>
          <t>Föryngringsavverkning</t>
        </is>
      </c>
      <c r="D2137" s="1" t="n">
        <v>44524</v>
      </c>
      <c r="E2137" s="1" t="n">
        <v>46312</v>
      </c>
      <c r="F2137" t="inlineStr">
        <is>
          <t>SKÅNE LÄN</t>
        </is>
      </c>
      <c r="G2137" t="inlineStr">
        <is>
          <t>OSBY</t>
        </is>
      </c>
      <c r="I2137" t="n">
        <v>2.6</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44897-2025</t>
        </is>
      </c>
      <c r="B2138" t="inlineStr">
        <is>
          <t>avverkningsanmälan</t>
        </is>
      </c>
      <c r="C2138" t="inlineStr">
        <is>
          <t>Föryngringsavverkning</t>
        </is>
      </c>
      <c r="D2138" s="1" t="n">
        <v>45918</v>
      </c>
      <c r="E2138" s="1" t="n">
        <v>46312</v>
      </c>
      <c r="F2138" t="inlineStr">
        <is>
          <t>SKÅNE LÄN</t>
        </is>
      </c>
      <c r="G2138" t="inlineStr">
        <is>
          <t>ÖRKELLJUNGA</t>
        </is>
      </c>
      <c r="I2138" t="n">
        <v>2.6</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48173-2024</t>
        </is>
      </c>
      <c r="B2139" t="inlineStr">
        <is>
          <t>avverkningsanmälan</t>
        </is>
      </c>
      <c r="C2139" t="inlineStr">
        <is>
          <t>Föryngringsavverkning</t>
        </is>
      </c>
      <c r="D2139" s="1" t="n">
        <v>45589</v>
      </c>
      <c r="E2139" s="1" t="n">
        <v>46312</v>
      </c>
      <c r="F2139" t="inlineStr">
        <is>
          <t>SKÅNE LÄN</t>
        </is>
      </c>
      <c r="G2139" t="inlineStr">
        <is>
          <t>KRISTIANSTAD</t>
        </is>
      </c>
      <c r="I2139" t="n">
        <v>0.7</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45096-2025</t>
        </is>
      </c>
      <c r="B2140" t="inlineStr">
        <is>
          <t>avverkningsanmälan</t>
        </is>
      </c>
      <c r="C2140" t="inlineStr">
        <is>
          <t>Föryngringsavverkning</t>
        </is>
      </c>
      <c r="D2140" s="1" t="n">
        <v>45919</v>
      </c>
      <c r="E2140" s="1" t="n">
        <v>46312</v>
      </c>
      <c r="F2140" t="inlineStr">
        <is>
          <t>SKÅNE LÄN</t>
        </is>
      </c>
      <c r="G2140" t="inlineStr">
        <is>
          <t>KLIPPAN</t>
        </is>
      </c>
      <c r="I2140" t="n">
        <v>2.8</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35587-2024</t>
        </is>
      </c>
      <c r="B2141" t="inlineStr">
        <is>
          <t>avverkningsanmälan</t>
        </is>
      </c>
      <c r="C2141" t="inlineStr">
        <is>
          <t>Föryngringsavverkning</t>
        </is>
      </c>
      <c r="D2141" s="1" t="n">
        <v>45531</v>
      </c>
      <c r="E2141" s="1" t="n">
        <v>46312</v>
      </c>
      <c r="F2141" t="inlineStr">
        <is>
          <t>SKÅNE LÄN</t>
        </is>
      </c>
      <c r="G2141" t="inlineStr">
        <is>
          <t>SVALÖV</t>
        </is>
      </c>
      <c r="I2141" t="n">
        <v>1.6</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44890-2025</t>
        </is>
      </c>
      <c r="B2142" t="inlineStr">
        <is>
          <t>avverkningsanmälan</t>
        </is>
      </c>
      <c r="C2142" t="inlineStr">
        <is>
          <t>Föryngringsavverkning</t>
        </is>
      </c>
      <c r="D2142" s="1" t="n">
        <v>45918</v>
      </c>
      <c r="E2142" s="1" t="n">
        <v>46312</v>
      </c>
      <c r="F2142" t="inlineStr">
        <is>
          <t>SKÅNE LÄN</t>
        </is>
      </c>
      <c r="G2142" t="inlineStr">
        <is>
          <t>ÖRKELLJUNGA</t>
        </is>
      </c>
      <c r="I2142" t="n">
        <v>4.7</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53894-2025</t>
        </is>
      </c>
      <c r="B2143" t="inlineStr">
        <is>
          <t>avverkningsanmälan</t>
        </is>
      </c>
      <c r="C2143" t="inlineStr">
        <is>
          <t>Föryngringsavverkning</t>
        </is>
      </c>
      <c r="D2143" s="1" t="n">
        <v>45961</v>
      </c>
      <c r="E2143" s="1" t="n">
        <v>46312</v>
      </c>
      <c r="F2143" t="inlineStr">
        <is>
          <t>SKÅNE LÄN</t>
        </is>
      </c>
      <c r="G2143" t="inlineStr">
        <is>
          <t>OSBY</t>
        </is>
      </c>
      <c r="I2143" t="n">
        <v>1.6</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44789-2025</t>
        </is>
      </c>
      <c r="B2144" t="inlineStr">
        <is>
          <t>avverkningsanmälan</t>
        </is>
      </c>
      <c r="C2144" t="inlineStr">
        <is>
          <t>Föryngringsavverkning</t>
        </is>
      </c>
      <c r="D2144" s="1" t="n">
        <v>45918</v>
      </c>
      <c r="E2144" s="1" t="n">
        <v>46312</v>
      </c>
      <c r="F2144" t="inlineStr">
        <is>
          <t>SKÅNE LÄN</t>
        </is>
      </c>
      <c r="G2144" t="inlineStr">
        <is>
          <t>ÖSTRA GÖINGE</t>
        </is>
      </c>
      <c r="I2144" t="n">
        <v>0.5</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60371-2023</t>
        </is>
      </c>
      <c r="B2145" t="inlineStr">
        <is>
          <t>avverkningsanmälan</t>
        </is>
      </c>
      <c r="C2145" t="inlineStr">
        <is>
          <t>Föryngringsavverkning</t>
        </is>
      </c>
      <c r="D2145" s="1" t="n">
        <v>45259</v>
      </c>
      <c r="E2145" s="1" t="n">
        <v>46312</v>
      </c>
      <c r="F2145" t="inlineStr">
        <is>
          <t>SKÅNE LÄN</t>
        </is>
      </c>
      <c r="G2145" t="inlineStr">
        <is>
          <t>SJÖBO</t>
        </is>
      </c>
      <c r="I2145" t="n">
        <v>1.3</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45494-2024</t>
        </is>
      </c>
      <c r="B2146" t="inlineStr">
        <is>
          <t>avverkningsanmälan</t>
        </is>
      </c>
      <c r="C2146" t="inlineStr">
        <is>
          <t>Föryngringsavverkning</t>
        </is>
      </c>
      <c r="D2146" s="1" t="n">
        <v>45577</v>
      </c>
      <c r="E2146" s="1" t="n">
        <v>46312</v>
      </c>
      <c r="F2146" t="inlineStr">
        <is>
          <t>SKÅNE LÄN</t>
        </is>
      </c>
      <c r="G2146" t="inlineStr">
        <is>
          <t>KRISTIANSTAD</t>
        </is>
      </c>
      <c r="I2146" t="n">
        <v>3.2</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59246-2024</t>
        </is>
      </c>
      <c r="B2147" t="inlineStr">
        <is>
          <t>avverkningsanmälan</t>
        </is>
      </c>
      <c r="C2147" t="inlineStr">
        <is>
          <t>Föryngringsavverkning</t>
        </is>
      </c>
      <c r="D2147" s="1" t="n">
        <v>45636</v>
      </c>
      <c r="E2147" s="1" t="n">
        <v>46312</v>
      </c>
      <c r="F2147" t="inlineStr">
        <is>
          <t>SKÅNE LÄN</t>
        </is>
      </c>
      <c r="G2147" t="inlineStr">
        <is>
          <t>HÄSSLEHOLM</t>
        </is>
      </c>
      <c r="I2147" t="n">
        <v>2.6</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20800-2023</t>
        </is>
      </c>
      <c r="B2148" t="inlineStr">
        <is>
          <t>avverkningsanmälan</t>
        </is>
      </c>
      <c r="C2148" t="inlineStr">
        <is>
          <t>Föryngringsavverkning</t>
        </is>
      </c>
      <c r="D2148" s="1" t="n">
        <v>45058</v>
      </c>
      <c r="E2148" s="1" t="n">
        <v>46312</v>
      </c>
      <c r="F2148" t="inlineStr">
        <is>
          <t>SKÅNE LÄN</t>
        </is>
      </c>
      <c r="G2148" t="inlineStr">
        <is>
          <t>HÄSSLEHOLM</t>
        </is>
      </c>
      <c r="I2148" t="n">
        <v>0.4</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40145-2024</t>
        </is>
      </c>
      <c r="B2149" t="inlineStr">
        <is>
          <t>avverkningsanmälan</t>
        </is>
      </c>
      <c r="C2149" t="inlineStr">
        <is>
          <t>Föryngringsavverkning</t>
        </is>
      </c>
      <c r="D2149" s="1" t="n">
        <v>45554</v>
      </c>
      <c r="E2149" s="1" t="n">
        <v>46312</v>
      </c>
      <c r="F2149" t="inlineStr">
        <is>
          <t>SKÅNE LÄN</t>
        </is>
      </c>
      <c r="G2149" t="inlineStr">
        <is>
          <t>KRISTIANSTAD</t>
        </is>
      </c>
      <c r="I2149" t="n">
        <v>7.5</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45729-2025</t>
        </is>
      </c>
      <c r="B2150" t="inlineStr">
        <is>
          <t>avverkningsanmälan</t>
        </is>
      </c>
      <c r="C2150" t="inlineStr">
        <is>
          <t>Föryngringsavverkning</t>
        </is>
      </c>
      <c r="D2150" s="1" t="n">
        <v>45923</v>
      </c>
      <c r="E2150" s="1" t="n">
        <v>46312</v>
      </c>
      <c r="F2150" t="inlineStr">
        <is>
          <t>SKÅNE LÄN</t>
        </is>
      </c>
      <c r="G2150" t="inlineStr">
        <is>
          <t>OSBY</t>
        </is>
      </c>
      <c r="I2150" t="n">
        <v>1.3</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11019-2025</t>
        </is>
      </c>
      <c r="B2151" t="inlineStr">
        <is>
          <t>avverkningsanmälan</t>
        </is>
      </c>
      <c r="C2151" t="inlineStr">
        <is>
          <t>Föryngringsavverkning</t>
        </is>
      </c>
      <c r="D2151" s="1" t="n">
        <v>45723</v>
      </c>
      <c r="E2151" s="1" t="n">
        <v>46312</v>
      </c>
      <c r="F2151" t="inlineStr">
        <is>
          <t>SKÅNE LÄN</t>
        </is>
      </c>
      <c r="G2151" t="inlineStr">
        <is>
          <t>HÄSSLEHOLM</t>
        </is>
      </c>
      <c r="I2151" t="n">
        <v>3.2</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45763-2025</t>
        </is>
      </c>
      <c r="B2152" t="inlineStr">
        <is>
          <t>avverkningsanmälan</t>
        </is>
      </c>
      <c r="C2152" t="inlineStr">
        <is>
          <t>Föryngringsavverkning</t>
        </is>
      </c>
      <c r="D2152" s="1" t="n">
        <v>45923</v>
      </c>
      <c r="E2152" s="1" t="n">
        <v>46312</v>
      </c>
      <c r="F2152" t="inlineStr">
        <is>
          <t>SKÅNE LÄN</t>
        </is>
      </c>
      <c r="G2152" t="inlineStr">
        <is>
          <t>HÄSSLEHOLM</t>
        </is>
      </c>
      <c r="I2152" t="n">
        <v>4.8</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21274-2026</t>
        </is>
      </c>
      <c r="B2153" t="inlineStr">
        <is>
          <t>avverkningsanmälan</t>
        </is>
      </c>
      <c r="C2153" t="inlineStr">
        <is>
          <t>Föryngringsavverkning</t>
        </is>
      </c>
      <c r="D2153" s="1" t="n">
        <v>46147</v>
      </c>
      <c r="E2153" s="1" t="n">
        <v>46312</v>
      </c>
      <c r="F2153" t="inlineStr">
        <is>
          <t>SKÅNE LÄN</t>
        </is>
      </c>
      <c r="G2153" t="inlineStr">
        <is>
          <t>KRISTIANSTAD</t>
        </is>
      </c>
      <c r="I2153" t="n">
        <v>3.1</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21291-2026</t>
        </is>
      </c>
      <c r="B2154" t="inlineStr">
        <is>
          <t>avverkningsanmälan</t>
        </is>
      </c>
      <c r="C2154" t="inlineStr">
        <is>
          <t>Föryngringsavverkning</t>
        </is>
      </c>
      <c r="D2154" s="1" t="n">
        <v>46147</v>
      </c>
      <c r="E2154" s="1" t="n">
        <v>46312</v>
      </c>
      <c r="F2154" t="inlineStr">
        <is>
          <t>SKÅNE LÄN</t>
        </is>
      </c>
      <c r="G2154" t="inlineStr">
        <is>
          <t>TOMELILLA</t>
        </is>
      </c>
      <c r="I2154" t="n">
        <v>3</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35948-2024</t>
        </is>
      </c>
      <c r="B2155" t="inlineStr">
        <is>
          <t>avverkningsanmälan</t>
        </is>
      </c>
      <c r="C2155" t="inlineStr">
        <is>
          <t>Föryngringsavverkning</t>
        </is>
      </c>
      <c r="D2155" s="1" t="n">
        <v>45533</v>
      </c>
      <c r="E2155" s="1" t="n">
        <v>46312</v>
      </c>
      <c r="F2155" t="inlineStr">
        <is>
          <t>SKÅNE LÄN</t>
        </is>
      </c>
      <c r="G2155" t="inlineStr">
        <is>
          <t>KRISTIANSTAD</t>
        </is>
      </c>
      <c r="I2155" t="n">
        <v>1.9</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45683-2025</t>
        </is>
      </c>
      <c r="B2156" t="inlineStr">
        <is>
          <t>avverkningsanmälan</t>
        </is>
      </c>
      <c r="C2156" t="inlineStr">
        <is>
          <t>Föryngringsavverkning</t>
        </is>
      </c>
      <c r="D2156" s="1" t="n">
        <v>45923</v>
      </c>
      <c r="E2156" s="1" t="n">
        <v>46312</v>
      </c>
      <c r="F2156" t="inlineStr">
        <is>
          <t>SKÅNE LÄN</t>
        </is>
      </c>
      <c r="G2156" t="inlineStr">
        <is>
          <t>HÄSSLEHOLM</t>
        </is>
      </c>
      <c r="I2156" t="n">
        <v>0.8</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45516-2025</t>
        </is>
      </c>
      <c r="B2157" t="inlineStr">
        <is>
          <t>avverkningsanmälan</t>
        </is>
      </c>
      <c r="C2157" t="inlineStr">
        <is>
          <t>Föryngringsavverkning</t>
        </is>
      </c>
      <c r="D2157" s="1" t="n">
        <v>45922</v>
      </c>
      <c r="E2157" s="1" t="n">
        <v>46312</v>
      </c>
      <c r="F2157" t="inlineStr">
        <is>
          <t>SKÅNE LÄN</t>
        </is>
      </c>
      <c r="G2157" t="inlineStr">
        <is>
          <t>HÄSSLEHOLM</t>
        </is>
      </c>
      <c r="I2157" t="n">
        <v>0.6</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21293-2026</t>
        </is>
      </c>
      <c r="B2158" t="inlineStr">
        <is>
          <t>avverkningsanmälan</t>
        </is>
      </c>
      <c r="C2158" t="inlineStr">
        <is>
          <t>Föryngringsavverkning</t>
        </is>
      </c>
      <c r="D2158" s="1" t="n">
        <v>46147</v>
      </c>
      <c r="E2158" s="1" t="n">
        <v>46312</v>
      </c>
      <c r="F2158" t="inlineStr">
        <is>
          <t>SKÅNE LÄN</t>
        </is>
      </c>
      <c r="G2158" t="inlineStr">
        <is>
          <t>TOMELILLA</t>
        </is>
      </c>
      <c r="I2158" t="n">
        <v>2.6</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61682-2023</t>
        </is>
      </c>
      <c r="B2159" t="inlineStr">
        <is>
          <t>avverkningsanmälan</t>
        </is>
      </c>
      <c r="C2159" t="inlineStr">
        <is>
          <t>Föryngringsavverkning</t>
        </is>
      </c>
      <c r="D2159" s="1" t="n">
        <v>45264</v>
      </c>
      <c r="E2159" s="1" t="n">
        <v>46312</v>
      </c>
      <c r="F2159" t="inlineStr">
        <is>
          <t>SKÅNE LÄN</t>
        </is>
      </c>
      <c r="G2159" t="inlineStr">
        <is>
          <t>KLIPPAN</t>
        </is>
      </c>
      <c r="I2159" t="n">
        <v>0.8</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11676-2023</t>
        </is>
      </c>
      <c r="B2160" t="inlineStr">
        <is>
          <t>avverkningsanmälan</t>
        </is>
      </c>
      <c r="C2160" t="inlineStr">
        <is>
          <t>Föryngringsavverkning</t>
        </is>
      </c>
      <c r="D2160" s="1" t="n">
        <v>44992</v>
      </c>
      <c r="E2160" s="1" t="n">
        <v>46312</v>
      </c>
      <c r="F2160" t="inlineStr">
        <is>
          <t>SKÅNE LÄN</t>
        </is>
      </c>
      <c r="G2160" t="inlineStr">
        <is>
          <t>KLIPPAN</t>
        </is>
      </c>
      <c r="H2160" t="inlineStr">
        <is>
          <t>Övriga Aktiebolag</t>
        </is>
      </c>
      <c r="I2160" t="n">
        <v>1</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11681-2023</t>
        </is>
      </c>
      <c r="B2161" t="inlineStr">
        <is>
          <t>avverkningsanmälan</t>
        </is>
      </c>
      <c r="C2161" t="inlineStr">
        <is>
          <t>Föryngringsavverkning</t>
        </is>
      </c>
      <c r="D2161" s="1" t="n">
        <v>44992</v>
      </c>
      <c r="E2161" s="1" t="n">
        <v>46312</v>
      </c>
      <c r="F2161" t="inlineStr">
        <is>
          <t>SKÅNE LÄN</t>
        </is>
      </c>
      <c r="G2161" t="inlineStr">
        <is>
          <t>HÄSSLEHOLM</t>
        </is>
      </c>
      <c r="H2161" t="inlineStr">
        <is>
          <t>Övriga Aktiebolag</t>
        </is>
      </c>
      <c r="I2161" t="n">
        <v>1.6</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11121-2023</t>
        </is>
      </c>
      <c r="B2162" t="inlineStr">
        <is>
          <t>avverkningsanmälan</t>
        </is>
      </c>
      <c r="C2162" t="inlineStr">
        <is>
          <t>Föryngringsavverkning</t>
        </is>
      </c>
      <c r="D2162" s="1" t="n">
        <v>44986</v>
      </c>
      <c r="E2162" s="1" t="n">
        <v>46312</v>
      </c>
      <c r="F2162" t="inlineStr">
        <is>
          <t>SKÅNE LÄN</t>
        </is>
      </c>
      <c r="G2162" t="inlineStr">
        <is>
          <t>HÄSSLEHOLM</t>
        </is>
      </c>
      <c r="H2162" t="inlineStr">
        <is>
          <t>Kommuner</t>
        </is>
      </c>
      <c r="I2162" t="n">
        <v>5.8</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11116-2023</t>
        </is>
      </c>
      <c r="B2163" t="inlineStr">
        <is>
          <t>avverkningsanmälan</t>
        </is>
      </c>
      <c r="C2163" t="inlineStr">
        <is>
          <t>Föryngringsavverkning</t>
        </is>
      </c>
      <c r="D2163" s="1" t="n">
        <v>44986</v>
      </c>
      <c r="E2163" s="1" t="n">
        <v>46312</v>
      </c>
      <c r="F2163" t="inlineStr">
        <is>
          <t>SKÅNE LÄN</t>
        </is>
      </c>
      <c r="G2163" t="inlineStr">
        <is>
          <t>HÄSSLEHOLM</t>
        </is>
      </c>
      <c r="H2163" t="inlineStr">
        <is>
          <t>Kommuner</t>
        </is>
      </c>
      <c r="I2163" t="n">
        <v>15.1</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51844-2023</t>
        </is>
      </c>
      <c r="B2164" t="inlineStr">
        <is>
          <t>avverkningsanmälan</t>
        </is>
      </c>
      <c r="C2164" t="inlineStr">
        <is>
          <t>Föryngringsavverkning</t>
        </is>
      </c>
      <c r="D2164" s="1" t="n">
        <v>45223</v>
      </c>
      <c r="E2164" s="1" t="n">
        <v>46312</v>
      </c>
      <c r="F2164" t="inlineStr">
        <is>
          <t>SKÅNE LÄN</t>
        </is>
      </c>
      <c r="G2164" t="inlineStr">
        <is>
          <t>KLIPPAN</t>
        </is>
      </c>
      <c r="I2164" t="n">
        <v>0.6</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3407-2024</t>
        </is>
      </c>
      <c r="B2165" t="inlineStr">
        <is>
          <t>avverkningsanmälan</t>
        </is>
      </c>
      <c r="C2165" t="inlineStr">
        <is>
          <t>Föryngringsavverkning</t>
        </is>
      </c>
      <c r="D2165" s="1" t="n">
        <v>45318</v>
      </c>
      <c r="E2165" s="1" t="n">
        <v>46312</v>
      </c>
      <c r="F2165" t="inlineStr">
        <is>
          <t>SKÅNE LÄN</t>
        </is>
      </c>
      <c r="G2165" t="inlineStr">
        <is>
          <t>HÖÖR</t>
        </is>
      </c>
      <c r="I2165" t="n">
        <v>6.5</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5116-2023</t>
        </is>
      </c>
      <c r="B2166" t="inlineStr">
        <is>
          <t>avverkningsanmälan</t>
        </is>
      </c>
      <c r="C2166" t="inlineStr">
        <is>
          <t>Föryngringsavverkning</t>
        </is>
      </c>
      <c r="D2166" s="1" t="n">
        <v>44958</v>
      </c>
      <c r="E2166" s="1" t="n">
        <v>46312</v>
      </c>
      <c r="F2166" t="inlineStr">
        <is>
          <t>SKÅNE LÄN</t>
        </is>
      </c>
      <c r="G2166" t="inlineStr">
        <is>
          <t>HÄSSLEHOLM</t>
        </is>
      </c>
      <c r="I2166" t="n">
        <v>1.7</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9668-2025</t>
        </is>
      </c>
      <c r="B2167" t="inlineStr">
        <is>
          <t>avverkningsanmälan</t>
        </is>
      </c>
      <c r="C2167" t="inlineStr">
        <is>
          <t>Föryngringsavverkning</t>
        </is>
      </c>
      <c r="D2167" s="1" t="n">
        <v>45716</v>
      </c>
      <c r="E2167" s="1" t="n">
        <v>46312</v>
      </c>
      <c r="F2167" t="inlineStr">
        <is>
          <t>SKÅNE LÄN</t>
        </is>
      </c>
      <c r="G2167" t="inlineStr">
        <is>
          <t>HÄSSLEHOLM</t>
        </is>
      </c>
      <c r="I2167" t="n">
        <v>1.2</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21479-2026</t>
        </is>
      </c>
      <c r="B2168" t="inlineStr">
        <is>
          <t>avverkningsanmälan</t>
        </is>
      </c>
      <c r="C2168" t="inlineStr">
        <is>
          <t>Avverkning för annat ändamål</t>
        </is>
      </c>
      <c r="D2168" s="1" t="n">
        <v>46148</v>
      </c>
      <c r="E2168" s="1" t="n">
        <v>46312</v>
      </c>
      <c r="F2168" t="inlineStr">
        <is>
          <t>SKÅNE LÄN</t>
        </is>
      </c>
      <c r="G2168" t="inlineStr">
        <is>
          <t>SJÖBO</t>
        </is>
      </c>
      <c r="I2168" t="n">
        <v>1.6</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46343-2025</t>
        </is>
      </c>
      <c r="B2169" t="inlineStr">
        <is>
          <t>avverkningsanmälan</t>
        </is>
      </c>
      <c r="C2169" t="inlineStr">
        <is>
          <t>Föryngringsavverkning</t>
        </is>
      </c>
      <c r="D2169" s="1" t="n">
        <v>45925</v>
      </c>
      <c r="E2169" s="1" t="n">
        <v>46312</v>
      </c>
      <c r="F2169" t="inlineStr">
        <is>
          <t>SKÅNE LÄN</t>
        </is>
      </c>
      <c r="G2169" t="inlineStr">
        <is>
          <t>KRISTIANSTAD</t>
        </is>
      </c>
      <c r="I2169" t="n">
        <v>3.8</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36523-2022</t>
        </is>
      </c>
      <c r="B2170" t="inlineStr">
        <is>
          <t>avverkningsanmälan</t>
        </is>
      </c>
      <c r="C2170" t="inlineStr">
        <is>
          <t>Avverkning för annat ändamål</t>
        </is>
      </c>
      <c r="D2170" s="1" t="n">
        <v>44804</v>
      </c>
      <c r="E2170" s="1" t="n">
        <v>46312</v>
      </c>
      <c r="F2170" t="inlineStr">
        <is>
          <t>SKÅNE LÄN</t>
        </is>
      </c>
      <c r="G2170" t="inlineStr">
        <is>
          <t>VELLINGE</t>
        </is>
      </c>
      <c r="I2170" t="n">
        <v>0.2</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9678-2025</t>
        </is>
      </c>
      <c r="B2171" t="inlineStr">
        <is>
          <t>avverkningsanmälan</t>
        </is>
      </c>
      <c r="C2171" t="inlineStr">
        <is>
          <t>Föryngringsavverkning</t>
        </is>
      </c>
      <c r="D2171" s="1" t="n">
        <v>45716</v>
      </c>
      <c r="E2171" s="1" t="n">
        <v>46312</v>
      </c>
      <c r="F2171" t="inlineStr">
        <is>
          <t>SKÅNE LÄN</t>
        </is>
      </c>
      <c r="G2171" t="inlineStr">
        <is>
          <t>HÄSSLEHOLM</t>
        </is>
      </c>
      <c r="I2171" t="n">
        <v>2.1</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46340-2025</t>
        </is>
      </c>
      <c r="B2172" t="inlineStr">
        <is>
          <t>avverkningsanmälan</t>
        </is>
      </c>
      <c r="C2172" t="inlineStr">
        <is>
          <t>Föryngringsavverkning</t>
        </is>
      </c>
      <c r="D2172" s="1" t="n">
        <v>45925</v>
      </c>
      <c r="E2172" s="1" t="n">
        <v>46312</v>
      </c>
      <c r="F2172" t="inlineStr">
        <is>
          <t>SKÅNE LÄN</t>
        </is>
      </c>
      <c r="G2172" t="inlineStr">
        <is>
          <t>KRISTIANSTAD</t>
        </is>
      </c>
      <c r="I2172" t="n">
        <v>2.8</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8924-2023</t>
        </is>
      </c>
      <c r="B2173" t="inlineStr">
        <is>
          <t>avverkningsanmälan</t>
        </is>
      </c>
      <c r="C2173" t="inlineStr">
        <is>
          <t>Föryngringsavverkning</t>
        </is>
      </c>
      <c r="D2173" s="1" t="n">
        <v>44974</v>
      </c>
      <c r="E2173" s="1" t="n">
        <v>46312</v>
      </c>
      <c r="F2173" t="inlineStr">
        <is>
          <t>SKÅNE LÄN</t>
        </is>
      </c>
      <c r="G2173" t="inlineStr">
        <is>
          <t>SVALÖV</t>
        </is>
      </c>
      <c r="I2173" t="n">
        <v>6.8</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12315-2025</t>
        </is>
      </c>
      <c r="B2174" t="inlineStr">
        <is>
          <t>avverkningsanmälan</t>
        </is>
      </c>
      <c r="C2174" t="inlineStr">
        <is>
          <t>Föryngringsavverkning</t>
        </is>
      </c>
      <c r="D2174" s="1" t="n">
        <v>45729</v>
      </c>
      <c r="E2174" s="1" t="n">
        <v>46312</v>
      </c>
      <c r="F2174" t="inlineStr">
        <is>
          <t>SKÅNE LÄN</t>
        </is>
      </c>
      <c r="G2174" t="inlineStr">
        <is>
          <t>KRISTIANSTAD</t>
        </is>
      </c>
      <c r="I2174" t="n">
        <v>3.6</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21613-2026</t>
        </is>
      </c>
      <c r="B2175" t="inlineStr">
        <is>
          <t>avverkningsanmälan</t>
        </is>
      </c>
      <c r="C2175" t="inlineStr">
        <is>
          <t>Föryngringsavverkning</t>
        </is>
      </c>
      <c r="D2175" s="1" t="n">
        <v>46149</v>
      </c>
      <c r="E2175" s="1" t="n">
        <v>46312</v>
      </c>
      <c r="F2175" t="inlineStr">
        <is>
          <t>SKÅNE LÄN</t>
        </is>
      </c>
      <c r="G2175" t="inlineStr">
        <is>
          <t>HÄSSLEHOLM</t>
        </is>
      </c>
      <c r="I2175" t="n">
        <v>0.6</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42364-2023</t>
        </is>
      </c>
      <c r="B2176" t="inlineStr">
        <is>
          <t>avverkningsanmälan</t>
        </is>
      </c>
      <c r="C2176" t="inlineStr">
        <is>
          <t>Föryngringsavverkning</t>
        </is>
      </c>
      <c r="D2176" s="1" t="n">
        <v>45180</v>
      </c>
      <c r="E2176" s="1" t="n">
        <v>46312</v>
      </c>
      <c r="F2176" t="inlineStr">
        <is>
          <t>SKÅNE LÄN</t>
        </is>
      </c>
      <c r="G2176" t="inlineStr">
        <is>
          <t>HÄSSLEHOLM</t>
        </is>
      </c>
      <c r="I2176" t="n">
        <v>1.1</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46336-2025</t>
        </is>
      </c>
      <c r="B2177" t="inlineStr">
        <is>
          <t>avverkningsanmälan</t>
        </is>
      </c>
      <c r="C2177" t="inlineStr">
        <is>
          <t>Föryngringsavverkning</t>
        </is>
      </c>
      <c r="D2177" s="1" t="n">
        <v>45925</v>
      </c>
      <c r="E2177" s="1" t="n">
        <v>46312</v>
      </c>
      <c r="F2177" t="inlineStr">
        <is>
          <t>SKÅNE LÄN</t>
        </is>
      </c>
      <c r="G2177" t="inlineStr">
        <is>
          <t>KRISTIANSTAD</t>
        </is>
      </c>
      <c r="I2177" t="n">
        <v>3.2</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61031-2022</t>
        </is>
      </c>
      <c r="B2178" t="inlineStr">
        <is>
          <t>avverkningsanmälan</t>
        </is>
      </c>
      <c r="C2178" t="inlineStr">
        <is>
          <t>Föryngringsavverkning</t>
        </is>
      </c>
      <c r="D2178" s="1" t="n">
        <v>44914</v>
      </c>
      <c r="E2178" s="1" t="n">
        <v>46312</v>
      </c>
      <c r="F2178" t="inlineStr">
        <is>
          <t>SKÅNE LÄN</t>
        </is>
      </c>
      <c r="G2178" t="inlineStr">
        <is>
          <t>SJÖBO</t>
        </is>
      </c>
      <c r="H2178" t="inlineStr">
        <is>
          <t>Övriga Aktiebolag</t>
        </is>
      </c>
      <c r="I2178" t="n">
        <v>3.3</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45725-2022</t>
        </is>
      </c>
      <c r="B2179" t="inlineStr">
        <is>
          <t>avverkningsanmälan</t>
        </is>
      </c>
      <c r="C2179" t="inlineStr">
        <is>
          <t>Föryngringsavverkning</t>
        </is>
      </c>
      <c r="D2179" s="1" t="n">
        <v>44846</v>
      </c>
      <c r="E2179" s="1" t="n">
        <v>46312</v>
      </c>
      <c r="F2179" t="inlineStr">
        <is>
          <t>SKÅNE LÄN</t>
        </is>
      </c>
      <c r="G2179" t="inlineStr">
        <is>
          <t>LUND</t>
        </is>
      </c>
      <c r="I2179" t="n">
        <v>1.2</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21733-2026</t>
        </is>
      </c>
      <c r="B2180" t="inlineStr">
        <is>
          <t>avverkningsanmälan</t>
        </is>
      </c>
      <c r="C2180" t="inlineStr">
        <is>
          <t>Föryngringsavverkning</t>
        </is>
      </c>
      <c r="D2180" s="1" t="n">
        <v>46149</v>
      </c>
      <c r="E2180" s="1" t="n">
        <v>46312</v>
      </c>
      <c r="F2180" t="inlineStr">
        <is>
          <t>SKÅNE LÄN</t>
        </is>
      </c>
      <c r="G2180" t="inlineStr">
        <is>
          <t>PERSTORP</t>
        </is>
      </c>
      <c r="I2180" t="n">
        <v>16.7</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54408-2024</t>
        </is>
      </c>
      <c r="B2181" t="inlineStr">
        <is>
          <t>avverkningsanmälan</t>
        </is>
      </c>
      <c r="C2181" t="inlineStr">
        <is>
          <t>Föryngringsavverkning</t>
        </is>
      </c>
      <c r="D2181" s="1" t="n">
        <v>45617</v>
      </c>
      <c r="E2181" s="1" t="n">
        <v>46312</v>
      </c>
      <c r="F2181" t="inlineStr">
        <is>
          <t>SKÅNE LÄN</t>
        </is>
      </c>
      <c r="G2181" t="inlineStr">
        <is>
          <t>HÄSSLEHOLM</t>
        </is>
      </c>
      <c r="I2181" t="n">
        <v>1.5</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46786-2025</t>
        </is>
      </c>
      <c r="B2182" t="inlineStr">
        <is>
          <t>avverkningsanmälan</t>
        </is>
      </c>
      <c r="C2182" t="inlineStr">
        <is>
          <t>Föryngringsavverkning</t>
        </is>
      </c>
      <c r="D2182" s="1" t="n">
        <v>45926</v>
      </c>
      <c r="E2182" s="1" t="n">
        <v>46312</v>
      </c>
      <c r="F2182" t="inlineStr">
        <is>
          <t>SKÅNE LÄN</t>
        </is>
      </c>
      <c r="G2182" t="inlineStr">
        <is>
          <t>HÄSSLEHOLM</t>
        </is>
      </c>
      <c r="I2182" t="n">
        <v>0.7</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46521-2023</t>
        </is>
      </c>
      <c r="B2183" t="inlineStr">
        <is>
          <t>avverkningsanmälan</t>
        </is>
      </c>
      <c r="C2183" t="inlineStr">
        <is>
          <t>Föryngringsavverkning</t>
        </is>
      </c>
      <c r="D2183" s="1" t="n">
        <v>45197</v>
      </c>
      <c r="E2183" s="1" t="n">
        <v>46312</v>
      </c>
      <c r="F2183" t="inlineStr">
        <is>
          <t>SKÅNE LÄN</t>
        </is>
      </c>
      <c r="G2183" t="inlineStr">
        <is>
          <t>KRISTIANSTAD</t>
        </is>
      </c>
      <c r="I2183" t="n">
        <v>10.3</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46524-2023</t>
        </is>
      </c>
      <c r="B2184" t="inlineStr">
        <is>
          <t>avverkningsanmälan</t>
        </is>
      </c>
      <c r="C2184" t="inlineStr">
        <is>
          <t>Föryngringsavverkning</t>
        </is>
      </c>
      <c r="D2184" s="1" t="n">
        <v>45197</v>
      </c>
      <c r="E2184" s="1" t="n">
        <v>46312</v>
      </c>
      <c r="F2184" t="inlineStr">
        <is>
          <t>SKÅNE LÄN</t>
        </is>
      </c>
      <c r="G2184" t="inlineStr">
        <is>
          <t>KRISTIANSTAD</t>
        </is>
      </c>
      <c r="I2184" t="n">
        <v>2.8</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28847-2023</t>
        </is>
      </c>
      <c r="B2185" t="inlineStr">
        <is>
          <t>avverkningsanmälan</t>
        </is>
      </c>
      <c r="C2185" t="inlineStr">
        <is>
          <t>Föryngringsavverkning</t>
        </is>
      </c>
      <c r="D2185" s="1" t="n">
        <v>45104</v>
      </c>
      <c r="E2185" s="1" t="n">
        <v>46312</v>
      </c>
      <c r="F2185" t="inlineStr">
        <is>
          <t>SKÅNE LÄN</t>
        </is>
      </c>
      <c r="G2185" t="inlineStr">
        <is>
          <t>KLIPPAN</t>
        </is>
      </c>
      <c r="I2185" t="n">
        <v>0.5</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21615-2026</t>
        </is>
      </c>
      <c r="B2186" t="inlineStr">
        <is>
          <t>avverkningsanmälan</t>
        </is>
      </c>
      <c r="C2186" t="inlineStr">
        <is>
          <t>Föryngringsavverkning</t>
        </is>
      </c>
      <c r="D2186" s="1" t="n">
        <v>46149</v>
      </c>
      <c r="E2186" s="1" t="n">
        <v>46312</v>
      </c>
      <c r="F2186" t="inlineStr">
        <is>
          <t>SKÅNE LÄN</t>
        </is>
      </c>
      <c r="G2186" t="inlineStr">
        <is>
          <t>HÄSSLEHOLM</t>
        </is>
      </c>
      <c r="I2186" t="n">
        <v>1.6</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5780-2024</t>
        </is>
      </c>
      <c r="B2187" t="inlineStr">
        <is>
          <t>avverkningsanmälan</t>
        </is>
      </c>
      <c r="C2187" t="inlineStr">
        <is>
          <t>Föryngringsavverkning</t>
        </is>
      </c>
      <c r="D2187" s="1" t="n">
        <v>45335</v>
      </c>
      <c r="E2187" s="1" t="n">
        <v>46312</v>
      </c>
      <c r="F2187" t="inlineStr">
        <is>
          <t>SKÅNE LÄN</t>
        </is>
      </c>
      <c r="G2187" t="inlineStr">
        <is>
          <t>HÄSSLEHOLM</t>
        </is>
      </c>
      <c r="I2187" t="n">
        <v>2.5</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47127-2025</t>
        </is>
      </c>
      <c r="B2188" t="inlineStr">
        <is>
          <t>avverkningsanmälan</t>
        </is>
      </c>
      <c r="C2188" t="inlineStr">
        <is>
          <t>Föryngringsavverkning</t>
        </is>
      </c>
      <c r="D2188" s="1" t="n">
        <v>45929</v>
      </c>
      <c r="E2188" s="1" t="n">
        <v>46312</v>
      </c>
      <c r="F2188" t="inlineStr">
        <is>
          <t>SKÅNE LÄN</t>
        </is>
      </c>
      <c r="G2188" t="inlineStr">
        <is>
          <t>HÄSSLEHOLM</t>
        </is>
      </c>
      <c r="I2188" t="n">
        <v>1.7</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21602-2026</t>
        </is>
      </c>
      <c r="B2189" t="inlineStr">
        <is>
          <t>avverkningsanmälan</t>
        </is>
      </c>
      <c r="C2189" t="inlineStr">
        <is>
          <t>Föryngringsavverkning</t>
        </is>
      </c>
      <c r="D2189" s="1" t="n">
        <v>46149</v>
      </c>
      <c r="E2189" s="1" t="n">
        <v>46312</v>
      </c>
      <c r="F2189" t="inlineStr">
        <is>
          <t>SKÅNE LÄN</t>
        </is>
      </c>
      <c r="G2189" t="inlineStr">
        <is>
          <t>KLIPPAN</t>
        </is>
      </c>
      <c r="I2189" t="n">
        <v>0.6</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21609-2026</t>
        </is>
      </c>
      <c r="B2190" t="inlineStr">
        <is>
          <t>avverkningsanmälan</t>
        </is>
      </c>
      <c r="C2190" t="inlineStr">
        <is>
          <t>Föryngringsavverkning</t>
        </is>
      </c>
      <c r="D2190" s="1" t="n">
        <v>46149</v>
      </c>
      <c r="E2190" s="1" t="n">
        <v>46312</v>
      </c>
      <c r="F2190" t="inlineStr">
        <is>
          <t>SKÅNE LÄN</t>
        </is>
      </c>
      <c r="G2190" t="inlineStr">
        <is>
          <t>KLIPPAN</t>
        </is>
      </c>
      <c r="I2190" t="n">
        <v>0.5</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7043-2025</t>
        </is>
      </c>
      <c r="B2191" t="inlineStr">
        <is>
          <t>avverkningsanmälan</t>
        </is>
      </c>
      <c r="C2191" t="inlineStr">
        <is>
          <t>Föryngringsavverkning</t>
        </is>
      </c>
      <c r="D2191" s="1" t="n">
        <v>45701</v>
      </c>
      <c r="E2191" s="1" t="n">
        <v>46312</v>
      </c>
      <c r="F2191" t="inlineStr">
        <is>
          <t>SKÅNE LÄN</t>
        </is>
      </c>
      <c r="G2191" t="inlineStr">
        <is>
          <t>PERSTORP</t>
        </is>
      </c>
      <c r="H2191" t="inlineStr">
        <is>
          <t>Övriga Aktiebolag</t>
        </is>
      </c>
      <c r="I2191" t="n">
        <v>0.5</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21673-2026</t>
        </is>
      </c>
      <c r="B2192" t="inlineStr">
        <is>
          <t>avverkningsanmälan</t>
        </is>
      </c>
      <c r="C2192" t="inlineStr">
        <is>
          <t>Föryngringsavverkning</t>
        </is>
      </c>
      <c r="D2192" s="1" t="n">
        <v>46149</v>
      </c>
      <c r="E2192" s="1" t="n">
        <v>46312</v>
      </c>
      <c r="F2192" t="inlineStr">
        <is>
          <t>SKÅNE LÄN</t>
        </is>
      </c>
      <c r="G2192" t="inlineStr">
        <is>
          <t>HÄSSLEHOLM</t>
        </is>
      </c>
      <c r="I2192" t="n">
        <v>5</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21674-2026</t>
        </is>
      </c>
      <c r="B2193" t="inlineStr">
        <is>
          <t>avverkningsanmälan</t>
        </is>
      </c>
      <c r="C2193" t="inlineStr">
        <is>
          <t>Föryngringsavverkning</t>
        </is>
      </c>
      <c r="D2193" s="1" t="n">
        <v>46149</v>
      </c>
      <c r="E2193" s="1" t="n">
        <v>46312</v>
      </c>
      <c r="F2193" t="inlineStr">
        <is>
          <t>SKÅNE LÄN</t>
        </is>
      </c>
      <c r="G2193" t="inlineStr">
        <is>
          <t>HÄSSLEHOLM</t>
        </is>
      </c>
      <c r="I2193" t="n">
        <v>0.5</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26764-2023</t>
        </is>
      </c>
      <c r="B2194" t="inlineStr">
        <is>
          <t>avverkningsanmälan</t>
        </is>
      </c>
      <c r="C2194" t="inlineStr">
        <is>
          <t>Föryngringsavverkning</t>
        </is>
      </c>
      <c r="D2194" s="1" t="n">
        <v>45093</v>
      </c>
      <c r="E2194" s="1" t="n">
        <v>46312</v>
      </c>
      <c r="F2194" t="inlineStr">
        <is>
          <t>SKÅNE LÄN</t>
        </is>
      </c>
      <c r="G2194" t="inlineStr">
        <is>
          <t>HÖÖR</t>
        </is>
      </c>
      <c r="I2194" t="n">
        <v>1.1</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28870-2023</t>
        </is>
      </c>
      <c r="B2195" t="inlineStr">
        <is>
          <t>avverkningsanmälan</t>
        </is>
      </c>
      <c r="C2195" t="inlineStr">
        <is>
          <t>Föryngringsavverkning</t>
        </is>
      </c>
      <c r="D2195" s="1" t="n">
        <v>45104</v>
      </c>
      <c r="E2195" s="1" t="n">
        <v>46312</v>
      </c>
      <c r="F2195" t="inlineStr">
        <is>
          <t>SKÅNE LÄN</t>
        </is>
      </c>
      <c r="G2195" t="inlineStr">
        <is>
          <t>BROMÖLLA</t>
        </is>
      </c>
      <c r="I2195" t="n">
        <v>0.7</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21807-2026</t>
        </is>
      </c>
      <c r="B2196" t="inlineStr">
        <is>
          <t>avverkningsanmälan</t>
        </is>
      </c>
      <c r="C2196" t="inlineStr">
        <is>
          <t>Föryngringsavverkning</t>
        </is>
      </c>
      <c r="D2196" s="1" t="n">
        <v>46148</v>
      </c>
      <c r="E2196" s="1" t="n">
        <v>46312</v>
      </c>
      <c r="F2196" t="inlineStr">
        <is>
          <t>SKÅNE LÄN</t>
        </is>
      </c>
      <c r="G2196" t="inlineStr">
        <is>
          <t>HÄSSLEHOLM</t>
        </is>
      </c>
      <c r="I2196" t="n">
        <v>5.2</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15442-2022</t>
        </is>
      </c>
      <c r="B2197" t="inlineStr">
        <is>
          <t>avverkningsanmälan</t>
        </is>
      </c>
      <c r="C2197" t="inlineStr">
        <is>
          <t>Föryngringsavverkning</t>
        </is>
      </c>
      <c r="D2197" s="1" t="n">
        <v>44659</v>
      </c>
      <c r="E2197" s="1" t="n">
        <v>46312</v>
      </c>
      <c r="F2197" t="inlineStr">
        <is>
          <t>SKÅNE LÄN</t>
        </is>
      </c>
      <c r="G2197" t="inlineStr">
        <is>
          <t>KLIPPAN</t>
        </is>
      </c>
      <c r="I2197" t="n">
        <v>3.8</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21668-2026</t>
        </is>
      </c>
      <c r="B2198" t="inlineStr">
        <is>
          <t>avverkningsanmälan</t>
        </is>
      </c>
      <c r="C2198" t="inlineStr">
        <is>
          <t>Föryngringsavverkning</t>
        </is>
      </c>
      <c r="D2198" s="1" t="n">
        <v>46149</v>
      </c>
      <c r="E2198" s="1" t="n">
        <v>46312</v>
      </c>
      <c r="F2198" t="inlineStr">
        <is>
          <t>SKÅNE LÄN</t>
        </is>
      </c>
      <c r="G2198" t="inlineStr">
        <is>
          <t>HÄSSLEHOLM</t>
        </is>
      </c>
      <c r="I2198" t="n">
        <v>1.5</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21599-2026</t>
        </is>
      </c>
      <c r="B2199" t="inlineStr">
        <is>
          <t>avverkningsanmälan</t>
        </is>
      </c>
      <c r="C2199" t="inlineStr">
        <is>
          <t>Föryngringsavverkning</t>
        </is>
      </c>
      <c r="D2199" s="1" t="n">
        <v>46149</v>
      </c>
      <c r="E2199" s="1" t="n">
        <v>46312</v>
      </c>
      <c r="F2199" t="inlineStr">
        <is>
          <t>SKÅNE LÄN</t>
        </is>
      </c>
      <c r="G2199" t="inlineStr">
        <is>
          <t>KLIPPAN</t>
        </is>
      </c>
      <c r="I2199" t="n">
        <v>1.8</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21607-2026</t>
        </is>
      </c>
      <c r="B2200" t="inlineStr">
        <is>
          <t>avverkningsanmälan</t>
        </is>
      </c>
      <c r="C2200" t="inlineStr">
        <is>
          <t>Föryngringsavverkning</t>
        </is>
      </c>
      <c r="D2200" s="1" t="n">
        <v>46149</v>
      </c>
      <c r="E2200" s="1" t="n">
        <v>46312</v>
      </c>
      <c r="F2200" t="inlineStr">
        <is>
          <t>SKÅNE LÄN</t>
        </is>
      </c>
      <c r="G2200" t="inlineStr">
        <is>
          <t>KLIPPAN</t>
        </is>
      </c>
      <c r="I2200" t="n">
        <v>3.4</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2755-2023</t>
        </is>
      </c>
      <c r="B2201" t="inlineStr">
        <is>
          <t>avverkningsanmälan</t>
        </is>
      </c>
      <c r="C2201" t="inlineStr">
        <is>
          <t>Föryngringsavverkning</t>
        </is>
      </c>
      <c r="D2201" s="1" t="n">
        <v>44944</v>
      </c>
      <c r="E2201" s="1" t="n">
        <v>46312</v>
      </c>
      <c r="F2201" t="inlineStr">
        <is>
          <t>SKÅNE LÄN</t>
        </is>
      </c>
      <c r="G2201" t="inlineStr">
        <is>
          <t>KLIPPAN</t>
        </is>
      </c>
      <c r="H2201" t="inlineStr">
        <is>
          <t>Sveaskog</t>
        </is>
      </c>
      <c r="I2201" t="n">
        <v>0.7</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43882-2023</t>
        </is>
      </c>
      <c r="B2202" t="inlineStr">
        <is>
          <t>avverkningsanmälan</t>
        </is>
      </c>
      <c r="C2202" t="inlineStr">
        <is>
          <t>Föryngringsavverkning</t>
        </is>
      </c>
      <c r="D2202" s="1" t="n">
        <v>45187</v>
      </c>
      <c r="E2202" s="1" t="n">
        <v>46312</v>
      </c>
      <c r="F2202" t="inlineStr">
        <is>
          <t>SKÅNE LÄN</t>
        </is>
      </c>
      <c r="G2202" t="inlineStr">
        <is>
          <t>HÖRBY</t>
        </is>
      </c>
      <c r="H2202" t="inlineStr">
        <is>
          <t>Sveaskog</t>
        </is>
      </c>
      <c r="I2202" t="n">
        <v>1.2</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12685-2024</t>
        </is>
      </c>
      <c r="B2203" t="inlineStr">
        <is>
          <t>avverkningsanmälan</t>
        </is>
      </c>
      <c r="C2203" t="inlineStr">
        <is>
          <t>Föryngringsavverkning</t>
        </is>
      </c>
      <c r="D2203" s="1" t="n">
        <v>45384</v>
      </c>
      <c r="E2203" s="1" t="n">
        <v>46312</v>
      </c>
      <c r="F2203" t="inlineStr">
        <is>
          <t>SKÅNE LÄN</t>
        </is>
      </c>
      <c r="G2203" t="inlineStr">
        <is>
          <t>BROMÖLLA</t>
        </is>
      </c>
      <c r="I2203" t="n">
        <v>3.7</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7481-2023</t>
        </is>
      </c>
      <c r="B2204" t="inlineStr">
        <is>
          <t>avverkningsanmälan</t>
        </is>
      </c>
      <c r="C2204" t="inlineStr">
        <is>
          <t>Föryngringsavverkning</t>
        </is>
      </c>
      <c r="D2204" s="1" t="n">
        <v>44971</v>
      </c>
      <c r="E2204" s="1" t="n">
        <v>46312</v>
      </c>
      <c r="F2204" t="inlineStr">
        <is>
          <t>SKÅNE LÄN</t>
        </is>
      </c>
      <c r="G2204" t="inlineStr">
        <is>
          <t>HÄSSLEHOLM</t>
        </is>
      </c>
      <c r="I2204" t="n">
        <v>1.4</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46605-2025</t>
        </is>
      </c>
      <c r="B2205" t="inlineStr">
        <is>
          <t>avverkningsanmälan</t>
        </is>
      </c>
      <c r="C2205" t="inlineStr">
        <is>
          <t>Föryngringsavverkning</t>
        </is>
      </c>
      <c r="D2205" s="1" t="n">
        <v>45926</v>
      </c>
      <c r="E2205" s="1" t="n">
        <v>46312</v>
      </c>
      <c r="F2205" t="inlineStr">
        <is>
          <t>SKÅNE LÄN</t>
        </is>
      </c>
      <c r="G2205" t="inlineStr">
        <is>
          <t>HÄSSLEHOLM</t>
        </is>
      </c>
      <c r="I2205" t="n">
        <v>0.4</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46998-2025</t>
        </is>
      </c>
      <c r="B2206" t="inlineStr">
        <is>
          <t>avverkningsanmälan</t>
        </is>
      </c>
      <c r="C2206" t="inlineStr">
        <is>
          <t>Föryngringsavverkning</t>
        </is>
      </c>
      <c r="D2206" s="1" t="n">
        <v>45929</v>
      </c>
      <c r="E2206" s="1" t="n">
        <v>46312</v>
      </c>
      <c r="F2206" t="inlineStr">
        <is>
          <t>SKÅNE LÄN</t>
        </is>
      </c>
      <c r="G2206" t="inlineStr">
        <is>
          <t>BJUV</t>
        </is>
      </c>
      <c r="I2206" t="n">
        <v>0.9</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22083-2026</t>
        </is>
      </c>
      <c r="B2207" t="inlineStr">
        <is>
          <t>avverkningsanmälan</t>
        </is>
      </c>
      <c r="C2207" t="inlineStr">
        <is>
          <t>Föryngringsavverkning</t>
        </is>
      </c>
      <c r="D2207" s="1" t="n">
        <v>46149</v>
      </c>
      <c r="E2207" s="1" t="n">
        <v>46312</v>
      </c>
      <c r="F2207" t="inlineStr">
        <is>
          <t>SKÅNE LÄN</t>
        </is>
      </c>
      <c r="G2207" t="inlineStr">
        <is>
          <t>KRISTIANSTAD</t>
        </is>
      </c>
      <c r="I2207" t="n">
        <v>10.1</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49370-2023</t>
        </is>
      </c>
      <c r="B2208" t="inlineStr">
        <is>
          <t>avverkningsanmälan</t>
        </is>
      </c>
      <c r="C2208" t="inlineStr">
        <is>
          <t>Föryngringsavverkning</t>
        </is>
      </c>
      <c r="D2208" s="1" t="n">
        <v>45211</v>
      </c>
      <c r="E2208" s="1" t="n">
        <v>46312</v>
      </c>
      <c r="F2208" t="inlineStr">
        <is>
          <t>SKÅNE LÄN</t>
        </is>
      </c>
      <c r="G2208" t="inlineStr">
        <is>
          <t>KLIPPAN</t>
        </is>
      </c>
      <c r="I2208" t="n">
        <v>0.8</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47334-2025</t>
        </is>
      </c>
      <c r="B2209" t="inlineStr">
        <is>
          <t>avverkningsanmälan</t>
        </is>
      </c>
      <c r="C2209" t="inlineStr">
        <is>
          <t>Föryngringsavverkning</t>
        </is>
      </c>
      <c r="D2209" s="1" t="n">
        <v>45930</v>
      </c>
      <c r="E2209" s="1" t="n">
        <v>46312</v>
      </c>
      <c r="F2209" t="inlineStr">
        <is>
          <t>SKÅNE LÄN</t>
        </is>
      </c>
      <c r="G2209" t="inlineStr">
        <is>
          <t>OSBY</t>
        </is>
      </c>
      <c r="I2209" t="n">
        <v>2.4</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28607-2023</t>
        </is>
      </c>
      <c r="B2210" t="inlineStr">
        <is>
          <t>avverkningsanmälan</t>
        </is>
      </c>
      <c r="C2210" t="inlineStr">
        <is>
          <t>Föryngringsavverkning</t>
        </is>
      </c>
      <c r="D2210" s="1" t="n">
        <v>45103</v>
      </c>
      <c r="E2210" s="1" t="n">
        <v>46312</v>
      </c>
      <c r="F2210" t="inlineStr">
        <is>
          <t>SKÅNE LÄN</t>
        </is>
      </c>
      <c r="G2210" t="inlineStr">
        <is>
          <t>KRISTIANSTAD</t>
        </is>
      </c>
      <c r="I2210" t="n">
        <v>1.9</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47303-2025</t>
        </is>
      </c>
      <c r="B2211" t="inlineStr">
        <is>
          <t>avverkningsanmälan</t>
        </is>
      </c>
      <c r="C2211" t="inlineStr">
        <is>
          <t>Föryngringsavverkning</t>
        </is>
      </c>
      <c r="D2211" s="1" t="n">
        <v>45930</v>
      </c>
      <c r="E2211" s="1" t="n">
        <v>46312</v>
      </c>
      <c r="F2211" t="inlineStr">
        <is>
          <t>SKÅNE LÄN</t>
        </is>
      </c>
      <c r="G2211" t="inlineStr">
        <is>
          <t>KRISTIANSTAD</t>
        </is>
      </c>
      <c r="I2211" t="n">
        <v>2</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59728-2022</t>
        </is>
      </c>
      <c r="B2212" t="inlineStr">
        <is>
          <t>avverkningsanmälan</t>
        </is>
      </c>
      <c r="C2212" t="inlineStr">
        <is>
          <t>Föryngringsavverkning</t>
        </is>
      </c>
      <c r="D2212" s="1" t="n">
        <v>44900</v>
      </c>
      <c r="E2212" s="1" t="n">
        <v>46312</v>
      </c>
      <c r="F2212" t="inlineStr">
        <is>
          <t>SKÅNE LÄN</t>
        </is>
      </c>
      <c r="G2212" t="inlineStr">
        <is>
          <t>HÄSSLEHOLM</t>
        </is>
      </c>
      <c r="I2212" t="n">
        <v>0.3</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67426-2021</t>
        </is>
      </c>
      <c r="B2213" t="inlineStr">
        <is>
          <t>avverkningsanmälan</t>
        </is>
      </c>
      <c r="C2213" t="inlineStr">
        <is>
          <t>Föryngringsavverkning</t>
        </is>
      </c>
      <c r="D2213" s="1" t="n">
        <v>44523</v>
      </c>
      <c r="E2213" s="1" t="n">
        <v>46312</v>
      </c>
      <c r="F2213" t="inlineStr">
        <is>
          <t>SKÅNE LÄN</t>
        </is>
      </c>
      <c r="G2213" t="inlineStr">
        <is>
          <t>HÖRBY</t>
        </is>
      </c>
      <c r="I2213" t="n">
        <v>0.6</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31758-2022</t>
        </is>
      </c>
      <c r="B2214" t="inlineStr">
        <is>
          <t>avverkningsanmälan</t>
        </is>
      </c>
      <c r="C2214" t="inlineStr">
        <is>
          <t>Avverkning för annat ändamål</t>
        </is>
      </c>
      <c r="D2214" s="1" t="n">
        <v>44776</v>
      </c>
      <c r="E2214" s="1" t="n">
        <v>46312</v>
      </c>
      <c r="F2214" t="inlineStr">
        <is>
          <t>SKÅNE LÄN</t>
        </is>
      </c>
      <c r="G2214" t="inlineStr">
        <is>
          <t>OSBY</t>
        </is>
      </c>
      <c r="I2214" t="n">
        <v>1.3</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21992-2026</t>
        </is>
      </c>
      <c r="B2215" t="inlineStr">
        <is>
          <t>avverkningsanmälan</t>
        </is>
      </c>
      <c r="C2215" t="inlineStr">
        <is>
          <t>Föryngringsavverkning</t>
        </is>
      </c>
      <c r="D2215" s="1" t="n">
        <v>46153</v>
      </c>
      <c r="E2215" s="1" t="n">
        <v>46312</v>
      </c>
      <c r="F2215" t="inlineStr">
        <is>
          <t>SKÅNE LÄN</t>
        </is>
      </c>
      <c r="G2215" t="inlineStr">
        <is>
          <t>OSBY</t>
        </is>
      </c>
      <c r="H2215" t="inlineStr">
        <is>
          <t>Kyrkan</t>
        </is>
      </c>
      <c r="I2215" t="n">
        <v>2.9</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47356-2025</t>
        </is>
      </c>
      <c r="B2216" t="inlineStr">
        <is>
          <t>avverkningsanmälan</t>
        </is>
      </c>
      <c r="C2216" t="inlineStr">
        <is>
          <t>Föryngringsavverkning</t>
        </is>
      </c>
      <c r="D2216" s="1" t="n">
        <v>45930</v>
      </c>
      <c r="E2216" s="1" t="n">
        <v>46312</v>
      </c>
      <c r="F2216" t="inlineStr">
        <is>
          <t>SKÅNE LÄN</t>
        </is>
      </c>
      <c r="G2216" t="inlineStr">
        <is>
          <t>ESLÖV</t>
        </is>
      </c>
      <c r="I2216" t="n">
        <v>0.6</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47665-2025</t>
        </is>
      </c>
      <c r="B2217" t="inlineStr">
        <is>
          <t>avverkningsanmälan</t>
        </is>
      </c>
      <c r="C2217" t="inlineStr">
        <is>
          <t>Föryngringsavverkning</t>
        </is>
      </c>
      <c r="D2217" s="1" t="n">
        <v>45931</v>
      </c>
      <c r="E2217" s="1" t="n">
        <v>46312</v>
      </c>
      <c r="F2217" t="inlineStr">
        <is>
          <t>SKÅNE LÄN</t>
        </is>
      </c>
      <c r="G2217" t="inlineStr">
        <is>
          <t>KRISTIANSTAD</t>
        </is>
      </c>
      <c r="H2217" t="inlineStr">
        <is>
          <t>Övriga Aktiebolag</t>
        </is>
      </c>
      <c r="I2217" t="n">
        <v>0.9</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47139-2025</t>
        </is>
      </c>
      <c r="B2218" t="inlineStr">
        <is>
          <t>avverkningsanmälan</t>
        </is>
      </c>
      <c r="C2218" t="inlineStr">
        <is>
          <t>Föryngringsavverkning</t>
        </is>
      </c>
      <c r="D2218" s="1" t="n">
        <v>45929</v>
      </c>
      <c r="E2218" s="1" t="n">
        <v>46312</v>
      </c>
      <c r="F2218" t="inlineStr">
        <is>
          <t>SKÅNE LÄN</t>
        </is>
      </c>
      <c r="G2218" t="inlineStr">
        <is>
          <t>SVALÖV</t>
        </is>
      </c>
      <c r="I2218" t="n">
        <v>1.1</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48185-2025</t>
        </is>
      </c>
      <c r="B2219" t="inlineStr">
        <is>
          <t>avverkningsanmälan</t>
        </is>
      </c>
      <c r="C2219" t="inlineStr">
        <is>
          <t>Föryngringsavverkning</t>
        </is>
      </c>
      <c r="D2219" s="1" t="n">
        <v>45933</v>
      </c>
      <c r="E2219" s="1" t="n">
        <v>46312</v>
      </c>
      <c r="F2219" t="inlineStr">
        <is>
          <t>SKÅNE LÄN</t>
        </is>
      </c>
      <c r="G2219" t="inlineStr">
        <is>
          <t>HÄSSLEHOLM</t>
        </is>
      </c>
      <c r="I2219" t="n">
        <v>0.5</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7604-2024</t>
        </is>
      </c>
      <c r="B2220" t="inlineStr">
        <is>
          <t>avverkningsanmälan</t>
        </is>
      </c>
      <c r="C2220" t="inlineStr">
        <is>
          <t>Föryngringsavverkning</t>
        </is>
      </c>
      <c r="D2220" s="1" t="n">
        <v>45348</v>
      </c>
      <c r="E2220" s="1" t="n">
        <v>46312</v>
      </c>
      <c r="F2220" t="inlineStr">
        <is>
          <t>SKÅNE LÄN</t>
        </is>
      </c>
      <c r="G2220" t="inlineStr">
        <is>
          <t>HÄSSLEHOLM</t>
        </is>
      </c>
      <c r="I2220" t="n">
        <v>11.1</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21763-2026</t>
        </is>
      </c>
      <c r="B2221" t="inlineStr">
        <is>
          <t>avverkningsanmälan</t>
        </is>
      </c>
      <c r="C2221" t="inlineStr">
        <is>
          <t>Föryngringsavverkning</t>
        </is>
      </c>
      <c r="D2221" s="1" t="n">
        <v>46150</v>
      </c>
      <c r="E2221" s="1" t="n">
        <v>46312</v>
      </c>
      <c r="F2221" t="inlineStr">
        <is>
          <t>SKÅNE LÄN</t>
        </is>
      </c>
      <c r="G2221" t="inlineStr">
        <is>
          <t>OSBY</t>
        </is>
      </c>
      <c r="H2221" t="inlineStr">
        <is>
          <t>Sveaskog</t>
        </is>
      </c>
      <c r="I2221" t="n">
        <v>9</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22071-2026</t>
        </is>
      </c>
      <c r="B2222" t="inlineStr">
        <is>
          <t>avverkningsanmälan</t>
        </is>
      </c>
      <c r="C2222" t="inlineStr">
        <is>
          <t>Föryngringsavverkning</t>
        </is>
      </c>
      <c r="D2222" s="1" t="n">
        <v>46153</v>
      </c>
      <c r="E2222" s="1" t="n">
        <v>46312</v>
      </c>
      <c r="F2222" t="inlineStr">
        <is>
          <t>SKÅNE LÄN</t>
        </is>
      </c>
      <c r="G2222" t="inlineStr">
        <is>
          <t>OSBY</t>
        </is>
      </c>
      <c r="H2222" t="inlineStr">
        <is>
          <t>Sveaskog</t>
        </is>
      </c>
      <c r="I2222" t="n">
        <v>5.7</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1865-2025</t>
        </is>
      </c>
      <c r="B2223" t="inlineStr">
        <is>
          <t>avverkningsanmälan</t>
        </is>
      </c>
      <c r="C2223" t="inlineStr">
        <is>
          <t>Föryngringsavverkning</t>
        </is>
      </c>
      <c r="D2223" s="1" t="n">
        <v>45671</v>
      </c>
      <c r="E2223" s="1" t="n">
        <v>46312</v>
      </c>
      <c r="F2223" t="inlineStr">
        <is>
          <t>SKÅNE LÄN</t>
        </is>
      </c>
      <c r="G2223" t="inlineStr">
        <is>
          <t>SJÖBO</t>
        </is>
      </c>
      <c r="I2223" t="n">
        <v>1.5</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48378-2025</t>
        </is>
      </c>
      <c r="B2224" t="inlineStr">
        <is>
          <t>avverkningsanmälan</t>
        </is>
      </c>
      <c r="C2224" t="inlineStr">
        <is>
          <t>Föryngringsavverkning</t>
        </is>
      </c>
      <c r="D2224" s="1" t="n">
        <v>45933</v>
      </c>
      <c r="E2224" s="1" t="n">
        <v>46312</v>
      </c>
      <c r="F2224" t="inlineStr">
        <is>
          <t>SKÅNE LÄN</t>
        </is>
      </c>
      <c r="G2224" t="inlineStr">
        <is>
          <t>KRISTIANSTAD</t>
        </is>
      </c>
      <c r="I2224" t="n">
        <v>5.9</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57487-2023</t>
        </is>
      </c>
      <c r="B2225" t="inlineStr">
        <is>
          <t>avverkningsanmälan</t>
        </is>
      </c>
      <c r="C2225" t="inlineStr">
        <is>
          <t>Föryngringsavverkning</t>
        </is>
      </c>
      <c r="D2225" s="1" t="n">
        <v>45246</v>
      </c>
      <c r="E2225" s="1" t="n">
        <v>46312</v>
      </c>
      <c r="F2225" t="inlineStr">
        <is>
          <t>SKÅNE LÄN</t>
        </is>
      </c>
      <c r="G2225" t="inlineStr">
        <is>
          <t>ÖSTRA GÖINGE</t>
        </is>
      </c>
      <c r="I2225" t="n">
        <v>0.8</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21991-2026</t>
        </is>
      </c>
      <c r="B2226" t="inlineStr">
        <is>
          <t>avverkningsanmälan</t>
        </is>
      </c>
      <c r="C2226" t="inlineStr">
        <is>
          <t>Föryngringsavverkning</t>
        </is>
      </c>
      <c r="D2226" s="1" t="n">
        <v>46153</v>
      </c>
      <c r="E2226" s="1" t="n">
        <v>46312</v>
      </c>
      <c r="F2226" t="inlineStr">
        <is>
          <t>SKÅNE LÄN</t>
        </is>
      </c>
      <c r="G2226" t="inlineStr">
        <is>
          <t>OSBY</t>
        </is>
      </c>
      <c r="H2226" t="inlineStr">
        <is>
          <t>Kyrkan</t>
        </is>
      </c>
      <c r="I2226" t="n">
        <v>1.8</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1858-2025</t>
        </is>
      </c>
      <c r="B2227" t="inlineStr">
        <is>
          <t>avverkningsanmälan</t>
        </is>
      </c>
      <c r="C2227" t="inlineStr">
        <is>
          <t>Föryngringsavverkning</t>
        </is>
      </c>
      <c r="D2227" s="1" t="n">
        <v>45671</v>
      </c>
      <c r="E2227" s="1" t="n">
        <v>46312</v>
      </c>
      <c r="F2227" t="inlineStr">
        <is>
          <t>SKÅNE LÄN</t>
        </is>
      </c>
      <c r="G2227" t="inlineStr">
        <is>
          <t>SJÖBO</t>
        </is>
      </c>
      <c r="I2227" t="n">
        <v>0.4</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48171-2025</t>
        </is>
      </c>
      <c r="B2228" t="inlineStr">
        <is>
          <t>avverkningsanmälan</t>
        </is>
      </c>
      <c r="C2228" t="inlineStr">
        <is>
          <t>Föryngringsavverkning</t>
        </is>
      </c>
      <c r="D2228" s="1" t="n">
        <v>45933</v>
      </c>
      <c r="E2228" s="1" t="n">
        <v>46312</v>
      </c>
      <c r="F2228" t="inlineStr">
        <is>
          <t>SKÅNE LÄN</t>
        </is>
      </c>
      <c r="G2228" t="inlineStr">
        <is>
          <t>TOMELILLA</t>
        </is>
      </c>
      <c r="I2228" t="n">
        <v>1.9</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43966-2025</t>
        </is>
      </c>
      <c r="B2229" t="inlineStr">
        <is>
          <t>avverkningsanmälan</t>
        </is>
      </c>
      <c r="C2229" t="inlineStr">
        <is>
          <t>Avverkning för annat ändamål</t>
        </is>
      </c>
      <c r="D2229" s="1" t="n">
        <v>45915</v>
      </c>
      <c r="E2229" s="1" t="n">
        <v>46312</v>
      </c>
      <c r="F2229" t="inlineStr">
        <is>
          <t>SKÅNE LÄN</t>
        </is>
      </c>
      <c r="G2229" t="inlineStr">
        <is>
          <t>KRISTIANSTAD</t>
        </is>
      </c>
      <c r="I2229" t="n">
        <v>0.7</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22116-2026</t>
        </is>
      </c>
      <c r="B2230" t="inlineStr">
        <is>
          <t>avverkningsanmälan</t>
        </is>
      </c>
      <c r="C2230" t="inlineStr">
        <is>
          <t>Föryngringsavverkning</t>
        </is>
      </c>
      <c r="D2230" s="1" t="n">
        <v>46153</v>
      </c>
      <c r="E2230" s="1" t="n">
        <v>46312</v>
      </c>
      <c r="F2230" t="inlineStr">
        <is>
          <t>SKÅNE LÄN</t>
        </is>
      </c>
      <c r="G2230" t="inlineStr">
        <is>
          <t>KRISTIANSTAD</t>
        </is>
      </c>
      <c r="I2230" t="n">
        <v>3.2</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64897-2023</t>
        </is>
      </c>
      <c r="B2231" t="inlineStr">
        <is>
          <t>avverkningsanmälan</t>
        </is>
      </c>
      <c r="C2231" t="inlineStr">
        <is>
          <t>Föryngringsavverkning</t>
        </is>
      </c>
      <c r="D2231" s="1" t="n">
        <v>45282</v>
      </c>
      <c r="E2231" s="1" t="n">
        <v>46312</v>
      </c>
      <c r="F2231" t="inlineStr">
        <is>
          <t>SKÅNE LÄN</t>
        </is>
      </c>
      <c r="G2231" t="inlineStr">
        <is>
          <t>OSBY</t>
        </is>
      </c>
      <c r="I2231" t="n">
        <v>1.5</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48707-2025</t>
        </is>
      </c>
      <c r="B2232" t="inlineStr">
        <is>
          <t>avverkningsanmälan</t>
        </is>
      </c>
      <c r="C2232" t="inlineStr">
        <is>
          <t>Föryngringsavverkning</t>
        </is>
      </c>
      <c r="D2232" s="1" t="n">
        <v>45935</v>
      </c>
      <c r="E2232" s="1" t="n">
        <v>46312</v>
      </c>
      <c r="F2232" t="inlineStr">
        <is>
          <t>SKÅNE LÄN</t>
        </is>
      </c>
      <c r="G2232" t="inlineStr">
        <is>
          <t>ÖSTRA GÖINGE</t>
        </is>
      </c>
      <c r="I2232" t="n">
        <v>3.7</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62417-2025</t>
        </is>
      </c>
      <c r="B2233" t="inlineStr">
        <is>
          <t>avverkningsanmälan</t>
        </is>
      </c>
      <c r="C2233" t="inlineStr">
        <is>
          <t>Föryngringsavverkning</t>
        </is>
      </c>
      <c r="D2233" s="1" t="n">
        <v>46007</v>
      </c>
      <c r="E2233" s="1" t="n">
        <v>46312</v>
      </c>
      <c r="F2233" t="inlineStr">
        <is>
          <t>SKÅNE LÄN</t>
        </is>
      </c>
      <c r="G2233" t="inlineStr">
        <is>
          <t>HÄSSLEHOLM</t>
        </is>
      </c>
      <c r="I2233" t="n">
        <v>2</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22043-2026</t>
        </is>
      </c>
      <c r="B2234" t="inlineStr">
        <is>
          <t>avverkningsanmälan</t>
        </is>
      </c>
      <c r="C2234" t="inlineStr">
        <is>
          <t>Föryngringsavverkning</t>
        </is>
      </c>
      <c r="D2234" s="1" t="n">
        <v>46153</v>
      </c>
      <c r="E2234" s="1" t="n">
        <v>46312</v>
      </c>
      <c r="F2234" t="inlineStr">
        <is>
          <t>SKÅNE LÄN</t>
        </is>
      </c>
      <c r="G2234" t="inlineStr">
        <is>
          <t>OSBY</t>
        </is>
      </c>
      <c r="H2234" t="inlineStr">
        <is>
          <t>Sveaskog</t>
        </is>
      </c>
      <c r="I2234" t="n">
        <v>4</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46095-2023</t>
        </is>
      </c>
      <c r="B2235" t="inlineStr">
        <is>
          <t>avverkningsanmälan</t>
        </is>
      </c>
      <c r="C2235" t="inlineStr">
        <is>
          <t>Avverkning för annat ändamål</t>
        </is>
      </c>
      <c r="D2235" s="1" t="n">
        <v>45190</v>
      </c>
      <c r="E2235" s="1" t="n">
        <v>46312</v>
      </c>
      <c r="F2235" t="inlineStr">
        <is>
          <t>SKÅNE LÄN</t>
        </is>
      </c>
      <c r="G2235" t="inlineStr">
        <is>
          <t>KRISTIANSTAD</t>
        </is>
      </c>
      <c r="I2235" t="n">
        <v>2.3</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10748-2023</t>
        </is>
      </c>
      <c r="B2236" t="inlineStr">
        <is>
          <t>avverkningsanmälan</t>
        </is>
      </c>
      <c r="C2236" t="inlineStr">
        <is>
          <t>Föryngringsavverkning</t>
        </is>
      </c>
      <c r="D2236" s="1" t="n">
        <v>44984</v>
      </c>
      <c r="E2236" s="1" t="n">
        <v>46312</v>
      </c>
      <c r="F2236" t="inlineStr">
        <is>
          <t>SKÅNE LÄN</t>
        </is>
      </c>
      <c r="G2236" t="inlineStr">
        <is>
          <t>KRISTIANSTAD</t>
        </is>
      </c>
      <c r="I2236" t="n">
        <v>2</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22975-2023</t>
        </is>
      </c>
      <c r="B2237" t="inlineStr">
        <is>
          <t>avverkningsanmälan</t>
        </is>
      </c>
      <c r="C2237" t="inlineStr">
        <is>
          <t>Föryngringsavverkning</t>
        </is>
      </c>
      <c r="D2237" s="1" t="n">
        <v>45072</v>
      </c>
      <c r="E2237" s="1" t="n">
        <v>46312</v>
      </c>
      <c r="F2237" t="inlineStr">
        <is>
          <t>SKÅNE LÄN</t>
        </is>
      </c>
      <c r="G2237" t="inlineStr">
        <is>
          <t>ÖRKELLJUNGA</t>
        </is>
      </c>
      <c r="I2237" t="n">
        <v>0.6</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23683-2023</t>
        </is>
      </c>
      <c r="B2238" t="inlineStr">
        <is>
          <t>avverkningsanmälan</t>
        </is>
      </c>
      <c r="C2238" t="inlineStr">
        <is>
          <t>Avverkning för annat ändamål</t>
        </is>
      </c>
      <c r="D2238" s="1" t="n">
        <v>45077</v>
      </c>
      <c r="E2238" s="1" t="n">
        <v>46312</v>
      </c>
      <c r="F2238" t="inlineStr">
        <is>
          <t>SKÅNE LÄN</t>
        </is>
      </c>
      <c r="G2238" t="inlineStr">
        <is>
          <t>HÄSSLEHOLM</t>
        </is>
      </c>
      <c r="I2238" t="n">
        <v>0.5</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40843-2023</t>
        </is>
      </c>
      <c r="B2239" t="inlineStr">
        <is>
          <t>avverkningsanmälan</t>
        </is>
      </c>
      <c r="C2239" t="inlineStr">
        <is>
          <t>Föryngringsavverkning</t>
        </is>
      </c>
      <c r="D2239" s="1" t="n">
        <v>45172</v>
      </c>
      <c r="E2239" s="1" t="n">
        <v>46312</v>
      </c>
      <c r="F2239" t="inlineStr">
        <is>
          <t>SKÅNE LÄN</t>
        </is>
      </c>
      <c r="G2239" t="inlineStr">
        <is>
          <t>ÖSTRA GÖINGE</t>
        </is>
      </c>
      <c r="I2239" t="n">
        <v>0.7</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22134-2026</t>
        </is>
      </c>
      <c r="B2240" t="inlineStr">
        <is>
          <t>avverkningsanmälan</t>
        </is>
      </c>
      <c r="C2240" t="inlineStr">
        <is>
          <t>Föryngringsavverkning</t>
        </is>
      </c>
      <c r="D2240" s="1" t="n">
        <v>46153</v>
      </c>
      <c r="E2240" s="1" t="n">
        <v>46312</v>
      </c>
      <c r="F2240" t="inlineStr">
        <is>
          <t>SKÅNE LÄN</t>
        </is>
      </c>
      <c r="G2240" t="inlineStr">
        <is>
          <t>ESLÖV</t>
        </is>
      </c>
      <c r="I2240" t="n">
        <v>2</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21778-2026</t>
        </is>
      </c>
      <c r="B2241" t="inlineStr">
        <is>
          <t>avverkningsanmälan</t>
        </is>
      </c>
      <c r="C2241" t="inlineStr">
        <is>
          <t>Föryngringsavverkning</t>
        </is>
      </c>
      <c r="D2241" s="1" t="n">
        <v>46150</v>
      </c>
      <c r="E2241" s="1" t="n">
        <v>46312</v>
      </c>
      <c r="F2241" t="inlineStr">
        <is>
          <t>SKÅNE LÄN</t>
        </is>
      </c>
      <c r="G2241" t="inlineStr">
        <is>
          <t>KLIPPAN</t>
        </is>
      </c>
      <c r="I2241" t="n">
        <v>0.7</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3239-2023</t>
        </is>
      </c>
      <c r="B2242" t="inlineStr">
        <is>
          <t>avverkningsanmälan</t>
        </is>
      </c>
      <c r="C2242" t="inlineStr">
        <is>
          <t>Föryngringsavverkning</t>
        </is>
      </c>
      <c r="D2242" s="1" t="n">
        <v>44946</v>
      </c>
      <c r="E2242" s="1" t="n">
        <v>46312</v>
      </c>
      <c r="F2242" t="inlineStr">
        <is>
          <t>SKÅNE LÄN</t>
        </is>
      </c>
      <c r="G2242" t="inlineStr">
        <is>
          <t>HÖRBY</t>
        </is>
      </c>
      <c r="I2242" t="n">
        <v>0.4</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49239-2022</t>
        </is>
      </c>
      <c r="B2243" t="inlineStr">
        <is>
          <t>avverkningsanmälan</t>
        </is>
      </c>
      <c r="C2243" t="inlineStr">
        <is>
          <t>Föryngringsavverkning</t>
        </is>
      </c>
      <c r="D2243" s="1" t="n">
        <v>44858</v>
      </c>
      <c r="E2243" s="1" t="n">
        <v>46312</v>
      </c>
      <c r="F2243" t="inlineStr">
        <is>
          <t>SKÅNE LÄN</t>
        </is>
      </c>
      <c r="G2243" t="inlineStr">
        <is>
          <t>KRISTIANSTAD</t>
        </is>
      </c>
      <c r="I2243" t="n">
        <v>0.9</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2663-2023</t>
        </is>
      </c>
      <c r="B2244" t="inlineStr">
        <is>
          <t>avverkningsanmälan</t>
        </is>
      </c>
      <c r="C2244" t="inlineStr">
        <is>
          <t>Föryngringsavverkning</t>
        </is>
      </c>
      <c r="D2244" s="1" t="n">
        <v>44942</v>
      </c>
      <c r="E2244" s="1" t="n">
        <v>46312</v>
      </c>
      <c r="F2244" t="inlineStr">
        <is>
          <t>SKÅNE LÄN</t>
        </is>
      </c>
      <c r="G2244" t="inlineStr">
        <is>
          <t>HÄSSLEHOLM</t>
        </is>
      </c>
      <c r="H2244" t="inlineStr">
        <is>
          <t>Kyrkan</t>
        </is>
      </c>
      <c r="I2244" t="n">
        <v>0.8</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23172-2022</t>
        </is>
      </c>
      <c r="B2245" t="inlineStr">
        <is>
          <t>avverkningsanmälan</t>
        </is>
      </c>
      <c r="C2245" t="inlineStr">
        <is>
          <t>Föryngringsavverkning</t>
        </is>
      </c>
      <c r="D2245" s="1" t="n">
        <v>44719</v>
      </c>
      <c r="E2245" s="1" t="n">
        <v>46312</v>
      </c>
      <c r="F2245" t="inlineStr">
        <is>
          <t>SKÅNE LÄN</t>
        </is>
      </c>
      <c r="G2245" t="inlineStr">
        <is>
          <t>HÄSSLEHOLM</t>
        </is>
      </c>
      <c r="H2245" t="inlineStr">
        <is>
          <t>Övriga Aktiebolag</t>
        </is>
      </c>
      <c r="I2245" t="n">
        <v>0.9</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23173-2022</t>
        </is>
      </c>
      <c r="B2246" t="inlineStr">
        <is>
          <t>avverkningsanmälan</t>
        </is>
      </c>
      <c r="C2246" t="inlineStr">
        <is>
          <t>Föryngringsavverkning</t>
        </is>
      </c>
      <c r="D2246" s="1" t="n">
        <v>44719</v>
      </c>
      <c r="E2246" s="1" t="n">
        <v>46312</v>
      </c>
      <c r="F2246" t="inlineStr">
        <is>
          <t>SKÅNE LÄN</t>
        </is>
      </c>
      <c r="G2246" t="inlineStr">
        <is>
          <t>HÄSSLEHOLM</t>
        </is>
      </c>
      <c r="H2246" t="inlineStr">
        <is>
          <t>Övriga Aktiebolag</t>
        </is>
      </c>
      <c r="I2246" t="n">
        <v>0.9</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4188-2024</t>
        </is>
      </c>
      <c r="B2247" t="inlineStr">
        <is>
          <t>avverkningsanmälan</t>
        </is>
      </c>
      <c r="C2247" t="inlineStr">
        <is>
          <t>Föryngringsavverkning</t>
        </is>
      </c>
      <c r="D2247" s="1" t="n">
        <v>45324</v>
      </c>
      <c r="E2247" s="1" t="n">
        <v>46312</v>
      </c>
      <c r="F2247" t="inlineStr">
        <is>
          <t>SKÅNE LÄN</t>
        </is>
      </c>
      <c r="G2247" t="inlineStr">
        <is>
          <t>TOMELILLA</t>
        </is>
      </c>
      <c r="H2247" t="inlineStr">
        <is>
          <t>Övriga Aktiebolag</t>
        </is>
      </c>
      <c r="I2247" t="n">
        <v>9.6</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49561-2025</t>
        </is>
      </c>
      <c r="B2248" t="inlineStr">
        <is>
          <t>avverkningsanmälan</t>
        </is>
      </c>
      <c r="C2248" t="inlineStr">
        <is>
          <t>Föryngringsavverkning</t>
        </is>
      </c>
      <c r="D2248" s="1" t="n">
        <v>45939</v>
      </c>
      <c r="E2248" s="1" t="n">
        <v>46312</v>
      </c>
      <c r="F2248" t="inlineStr">
        <is>
          <t>SKÅNE LÄN</t>
        </is>
      </c>
      <c r="G2248" t="inlineStr">
        <is>
          <t>KRISTIANSTAD</t>
        </is>
      </c>
      <c r="I2248" t="n">
        <v>0.8</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21851-2026</t>
        </is>
      </c>
      <c r="B2249" t="inlineStr">
        <is>
          <t>avverkningsanmälan</t>
        </is>
      </c>
      <c r="C2249" t="inlineStr">
        <is>
          <t>Föryngringsavverkning</t>
        </is>
      </c>
      <c r="D2249" s="1" t="n">
        <v>46150</v>
      </c>
      <c r="E2249" s="1" t="n">
        <v>46312</v>
      </c>
      <c r="F2249" t="inlineStr">
        <is>
          <t>SKÅNE LÄN</t>
        </is>
      </c>
      <c r="G2249" t="inlineStr">
        <is>
          <t>KRISTIANSTAD</t>
        </is>
      </c>
      <c r="H2249" t="inlineStr">
        <is>
          <t>Kommuner</t>
        </is>
      </c>
      <c r="I2249" t="n">
        <v>0.7</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2190-2022</t>
        </is>
      </c>
      <c r="B2250" t="inlineStr">
        <is>
          <t>avverkningsanmälan</t>
        </is>
      </c>
      <c r="C2250" t="inlineStr">
        <is>
          <t>Föryngringsavverkning</t>
        </is>
      </c>
      <c r="D2250" s="1" t="n">
        <v>44578</v>
      </c>
      <c r="E2250" s="1" t="n">
        <v>46312</v>
      </c>
      <c r="F2250" t="inlineStr">
        <is>
          <t>SKÅNE LÄN</t>
        </is>
      </c>
      <c r="G2250" t="inlineStr">
        <is>
          <t>TOMELILLA</t>
        </is>
      </c>
      <c r="H2250" t="inlineStr">
        <is>
          <t>Sveaskog</t>
        </is>
      </c>
      <c r="I2250" t="n">
        <v>4.9</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4755-2024</t>
        </is>
      </c>
      <c r="B2251" t="inlineStr">
        <is>
          <t>avverkningsanmälan</t>
        </is>
      </c>
      <c r="C2251" t="inlineStr">
        <is>
          <t>Föryngringsavverkning</t>
        </is>
      </c>
      <c r="D2251" s="1" t="n">
        <v>45328</v>
      </c>
      <c r="E2251" s="1" t="n">
        <v>46312</v>
      </c>
      <c r="F2251" t="inlineStr">
        <is>
          <t>SKÅNE LÄN</t>
        </is>
      </c>
      <c r="G2251" t="inlineStr">
        <is>
          <t>ÄNGELHOLM</t>
        </is>
      </c>
      <c r="I2251" t="n">
        <v>0.9</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54392-2023</t>
        </is>
      </c>
      <c r="B2252" t="inlineStr">
        <is>
          <t>avverkningsanmälan</t>
        </is>
      </c>
      <c r="C2252" t="inlineStr">
        <is>
          <t>Föryngringsavverkning</t>
        </is>
      </c>
      <c r="D2252" s="1" t="n">
        <v>45226</v>
      </c>
      <c r="E2252" s="1" t="n">
        <v>46312</v>
      </c>
      <c r="F2252" t="inlineStr">
        <is>
          <t>SKÅNE LÄN</t>
        </is>
      </c>
      <c r="G2252" t="inlineStr">
        <is>
          <t>KRISTIANSTAD</t>
        </is>
      </c>
      <c r="I2252" t="n">
        <v>0.6</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48785-2025</t>
        </is>
      </c>
      <c r="B2253" t="inlineStr">
        <is>
          <t>avverkningsanmälan</t>
        </is>
      </c>
      <c r="C2253" t="inlineStr">
        <is>
          <t>Föryngringsavverkning</t>
        </is>
      </c>
      <c r="D2253" s="1" t="n">
        <v>45937</v>
      </c>
      <c r="E2253" s="1" t="n">
        <v>46312</v>
      </c>
      <c r="F2253" t="inlineStr">
        <is>
          <t>SKÅNE LÄN</t>
        </is>
      </c>
      <c r="G2253" t="inlineStr">
        <is>
          <t>OSBY</t>
        </is>
      </c>
      <c r="H2253" t="inlineStr">
        <is>
          <t>Sveaskog</t>
        </is>
      </c>
      <c r="I2253" t="n">
        <v>1.3</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60963-2023</t>
        </is>
      </c>
      <c r="B2254" t="inlineStr">
        <is>
          <t>avverkningsanmälan</t>
        </is>
      </c>
      <c r="C2254" t="inlineStr">
        <is>
          <t>Föryngringsavverkning</t>
        </is>
      </c>
      <c r="D2254" s="1" t="n">
        <v>45261</v>
      </c>
      <c r="E2254" s="1" t="n">
        <v>46312</v>
      </c>
      <c r="F2254" t="inlineStr">
        <is>
          <t>SKÅNE LÄN</t>
        </is>
      </c>
      <c r="G2254" t="inlineStr">
        <is>
          <t>HÖRBY</t>
        </is>
      </c>
      <c r="I2254" t="n">
        <v>1.2</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33816-2022</t>
        </is>
      </c>
      <c r="B2255" t="inlineStr">
        <is>
          <t>avverkningsanmälan</t>
        </is>
      </c>
      <c r="C2255" t="inlineStr">
        <is>
          <t>Föryngringsavverkning</t>
        </is>
      </c>
      <c r="D2255" s="1" t="n">
        <v>44790</v>
      </c>
      <c r="E2255" s="1" t="n">
        <v>46312</v>
      </c>
      <c r="F2255" t="inlineStr">
        <is>
          <t>SKÅNE LÄN</t>
        </is>
      </c>
      <c r="G2255" t="inlineStr">
        <is>
          <t>OSBY</t>
        </is>
      </c>
      <c r="I2255" t="n">
        <v>2.4</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14400-2023</t>
        </is>
      </c>
      <c r="B2256" t="inlineStr">
        <is>
          <t>avverkningsanmälan</t>
        </is>
      </c>
      <c r="C2256" t="inlineStr">
        <is>
          <t>Föryngringsavverkning</t>
        </is>
      </c>
      <c r="D2256" s="1" t="n">
        <v>45012</v>
      </c>
      <c r="E2256" s="1" t="n">
        <v>46312</v>
      </c>
      <c r="F2256" t="inlineStr">
        <is>
          <t>SKÅNE LÄN</t>
        </is>
      </c>
      <c r="G2256" t="inlineStr">
        <is>
          <t>ÄNGELHOLM</t>
        </is>
      </c>
      <c r="I2256" t="n">
        <v>1.7</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48789-2025</t>
        </is>
      </c>
      <c r="B2257" t="inlineStr">
        <is>
          <t>avverkningsanmälan</t>
        </is>
      </c>
      <c r="C2257" t="inlineStr">
        <is>
          <t>Föryngringsavverkning</t>
        </is>
      </c>
      <c r="D2257" s="1" t="n">
        <v>45937</v>
      </c>
      <c r="E2257" s="1" t="n">
        <v>46312</v>
      </c>
      <c r="F2257" t="inlineStr">
        <is>
          <t>SKÅNE LÄN</t>
        </is>
      </c>
      <c r="G2257" t="inlineStr">
        <is>
          <t>OSBY</t>
        </is>
      </c>
      <c r="H2257" t="inlineStr">
        <is>
          <t>Sveaskog</t>
        </is>
      </c>
      <c r="I2257" t="n">
        <v>3.5</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48797-2025</t>
        </is>
      </c>
      <c r="B2258" t="inlineStr">
        <is>
          <t>avverkningsanmälan</t>
        </is>
      </c>
      <c r="C2258" t="inlineStr">
        <is>
          <t>Föryngringsavverkning</t>
        </is>
      </c>
      <c r="D2258" s="1" t="n">
        <v>45937</v>
      </c>
      <c r="E2258" s="1" t="n">
        <v>46312</v>
      </c>
      <c r="F2258" t="inlineStr">
        <is>
          <t>SKÅNE LÄN</t>
        </is>
      </c>
      <c r="G2258" t="inlineStr">
        <is>
          <t>OSBY</t>
        </is>
      </c>
      <c r="H2258" t="inlineStr">
        <is>
          <t>Sveaskog</t>
        </is>
      </c>
      <c r="I2258" t="n">
        <v>2.2</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1901-2025</t>
        </is>
      </c>
      <c r="B2259" t="inlineStr">
        <is>
          <t>avverkningsanmälan</t>
        </is>
      </c>
      <c r="C2259" t="inlineStr">
        <is>
          <t>Föryngringsavverkning</t>
        </is>
      </c>
      <c r="D2259" s="1" t="n">
        <v>45671</v>
      </c>
      <c r="E2259" s="1" t="n">
        <v>46312</v>
      </c>
      <c r="F2259" t="inlineStr">
        <is>
          <t>SKÅNE LÄN</t>
        </is>
      </c>
      <c r="G2259" t="inlineStr">
        <is>
          <t>SVALÖV</t>
        </is>
      </c>
      <c r="I2259" t="n">
        <v>4.2</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14430-2023</t>
        </is>
      </c>
      <c r="B2260" t="inlineStr">
        <is>
          <t>avverkningsanmälan</t>
        </is>
      </c>
      <c r="C2260" t="inlineStr">
        <is>
          <t>Föryngringsavverkning</t>
        </is>
      </c>
      <c r="D2260" s="1" t="n">
        <v>45012</v>
      </c>
      <c r="E2260" s="1" t="n">
        <v>46312</v>
      </c>
      <c r="F2260" t="inlineStr">
        <is>
          <t>SKÅNE LÄN</t>
        </is>
      </c>
      <c r="G2260" t="inlineStr">
        <is>
          <t>ÖRKELLJUNGA</t>
        </is>
      </c>
      <c r="I2260" t="n">
        <v>0.9</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16441-2023</t>
        </is>
      </c>
      <c r="B2261" t="inlineStr">
        <is>
          <t>avverkningsanmälan</t>
        </is>
      </c>
      <c r="C2261" t="inlineStr">
        <is>
          <t>Föryngringsavverkning</t>
        </is>
      </c>
      <c r="D2261" s="1" t="n">
        <v>45029</v>
      </c>
      <c r="E2261" s="1" t="n">
        <v>46312</v>
      </c>
      <c r="F2261" t="inlineStr">
        <is>
          <t>SKÅNE LÄN</t>
        </is>
      </c>
      <c r="G2261" t="inlineStr">
        <is>
          <t>ÖSTRA GÖINGE</t>
        </is>
      </c>
      <c r="I2261" t="n">
        <v>0.5</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10452-2023</t>
        </is>
      </c>
      <c r="B2262" t="inlineStr">
        <is>
          <t>avverkningsanmälan</t>
        </is>
      </c>
      <c r="C2262" t="inlineStr">
        <is>
          <t>Föryngringsavverkning</t>
        </is>
      </c>
      <c r="D2262" s="1" t="n">
        <v>44981</v>
      </c>
      <c r="E2262" s="1" t="n">
        <v>46312</v>
      </c>
      <c r="F2262" t="inlineStr">
        <is>
          <t>SKÅNE LÄN</t>
        </is>
      </c>
      <c r="G2262" t="inlineStr">
        <is>
          <t>HÖÖR</t>
        </is>
      </c>
      <c r="I2262" t="n">
        <v>1.9</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49552-2025</t>
        </is>
      </c>
      <c r="B2263" t="inlineStr">
        <is>
          <t>avverkningsanmälan</t>
        </is>
      </c>
      <c r="C2263" t="inlineStr">
        <is>
          <t>Föryngringsavverkning</t>
        </is>
      </c>
      <c r="D2263" s="1" t="n">
        <v>45939</v>
      </c>
      <c r="E2263" s="1" t="n">
        <v>46312</v>
      </c>
      <c r="F2263" t="inlineStr">
        <is>
          <t>SKÅNE LÄN</t>
        </is>
      </c>
      <c r="G2263" t="inlineStr">
        <is>
          <t>KRISTIANSTAD</t>
        </is>
      </c>
      <c r="I2263" t="n">
        <v>1.8</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2950-2024</t>
        </is>
      </c>
      <c r="B2264" t="inlineStr">
        <is>
          <t>avverkningsanmälan</t>
        </is>
      </c>
      <c r="C2264" t="inlineStr">
        <is>
          <t>Föryngringsavverkning</t>
        </is>
      </c>
      <c r="D2264" s="1" t="n">
        <v>45315</v>
      </c>
      <c r="E2264" s="1" t="n">
        <v>46312</v>
      </c>
      <c r="F2264" t="inlineStr">
        <is>
          <t>SKÅNE LÄN</t>
        </is>
      </c>
      <c r="G2264" t="inlineStr">
        <is>
          <t>HÖÖR</t>
        </is>
      </c>
      <c r="I2264" t="n">
        <v>1.7</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48796-2025</t>
        </is>
      </c>
      <c r="B2265" t="inlineStr">
        <is>
          <t>avverkningsanmälan</t>
        </is>
      </c>
      <c r="C2265" t="inlineStr">
        <is>
          <t>Föryngringsavverkning</t>
        </is>
      </c>
      <c r="D2265" s="1" t="n">
        <v>45937</v>
      </c>
      <c r="E2265" s="1" t="n">
        <v>46312</v>
      </c>
      <c r="F2265" t="inlineStr">
        <is>
          <t>SKÅNE LÄN</t>
        </is>
      </c>
      <c r="G2265" t="inlineStr">
        <is>
          <t>OSBY</t>
        </is>
      </c>
      <c r="H2265" t="inlineStr">
        <is>
          <t>Sveaskog</t>
        </is>
      </c>
      <c r="I2265" t="n">
        <v>1.7</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48132-2024</t>
        </is>
      </c>
      <c r="B2266" t="inlineStr">
        <is>
          <t>avverkningsanmälan</t>
        </is>
      </c>
      <c r="C2266" t="inlineStr">
        <is>
          <t>Föryngringsavverkning</t>
        </is>
      </c>
      <c r="D2266" s="1" t="n">
        <v>45589</v>
      </c>
      <c r="E2266" s="1" t="n">
        <v>46312</v>
      </c>
      <c r="F2266" t="inlineStr">
        <is>
          <t>SKÅNE LÄN</t>
        </is>
      </c>
      <c r="G2266" t="inlineStr">
        <is>
          <t>OSBY</t>
        </is>
      </c>
      <c r="I2266" t="n">
        <v>1.8</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48137-2024</t>
        </is>
      </c>
      <c r="B2267" t="inlineStr">
        <is>
          <t>avverkningsanmälan</t>
        </is>
      </c>
      <c r="C2267" t="inlineStr">
        <is>
          <t>Föryngringsavverkning</t>
        </is>
      </c>
      <c r="D2267" s="1" t="n">
        <v>45589</v>
      </c>
      <c r="E2267" s="1" t="n">
        <v>46312</v>
      </c>
      <c r="F2267" t="inlineStr">
        <is>
          <t>SKÅNE LÄN</t>
        </is>
      </c>
      <c r="G2267" t="inlineStr">
        <is>
          <t>OSBY</t>
        </is>
      </c>
      <c r="I2267" t="n">
        <v>3.8</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46728-2023</t>
        </is>
      </c>
      <c r="B2268" t="inlineStr">
        <is>
          <t>avverkningsanmälan</t>
        </is>
      </c>
      <c r="C2268" t="inlineStr">
        <is>
          <t>Avverkning för annat ändamål</t>
        </is>
      </c>
      <c r="D2268" s="1" t="n">
        <v>45198</v>
      </c>
      <c r="E2268" s="1" t="n">
        <v>46312</v>
      </c>
      <c r="F2268" t="inlineStr">
        <is>
          <t>SKÅNE LÄN</t>
        </is>
      </c>
      <c r="G2268" t="inlineStr">
        <is>
          <t>KLIPPAN</t>
        </is>
      </c>
      <c r="I2268" t="n">
        <v>1.8</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15993-2024</t>
        </is>
      </c>
      <c r="B2269" t="inlineStr">
        <is>
          <t>avverkningsanmälan</t>
        </is>
      </c>
      <c r="C2269" t="inlineStr">
        <is>
          <t>Föryngringsavverkning</t>
        </is>
      </c>
      <c r="D2269" s="1" t="n">
        <v>45405</v>
      </c>
      <c r="E2269" s="1" t="n">
        <v>46312</v>
      </c>
      <c r="F2269" t="inlineStr">
        <is>
          <t>SKÅNE LÄN</t>
        </is>
      </c>
      <c r="G2269" t="inlineStr">
        <is>
          <t>ÖSTRA GÖINGE</t>
        </is>
      </c>
      <c r="I2269" t="n">
        <v>1.2</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25617-2024</t>
        </is>
      </c>
      <c r="B2270" t="inlineStr">
        <is>
          <t>avverkningsanmälan</t>
        </is>
      </c>
      <c r="C2270" t="inlineStr">
        <is>
          <t>Föryngringsavverkning</t>
        </is>
      </c>
      <c r="D2270" s="1" t="n">
        <v>45463</v>
      </c>
      <c r="E2270" s="1" t="n">
        <v>46312</v>
      </c>
      <c r="F2270" t="inlineStr">
        <is>
          <t>SKÅNE LÄN</t>
        </is>
      </c>
      <c r="G2270" t="inlineStr">
        <is>
          <t>SKURUP</t>
        </is>
      </c>
      <c r="I2270" t="n">
        <v>2.3</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49568-2025</t>
        </is>
      </c>
      <c r="B2271" t="inlineStr">
        <is>
          <t>avverkningsanmälan</t>
        </is>
      </c>
      <c r="C2271" t="inlineStr">
        <is>
          <t>Föryngringsavverkning</t>
        </is>
      </c>
      <c r="D2271" s="1" t="n">
        <v>45939</v>
      </c>
      <c r="E2271" s="1" t="n">
        <v>46312</v>
      </c>
      <c r="F2271" t="inlineStr">
        <is>
          <t>SKÅNE LÄN</t>
        </is>
      </c>
      <c r="G2271" t="inlineStr">
        <is>
          <t>KRISTIANSTAD</t>
        </is>
      </c>
      <c r="I2271" t="n">
        <v>0.9</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60778-2023</t>
        </is>
      </c>
      <c r="B2272" t="inlineStr">
        <is>
          <t>avverkningsanmälan</t>
        </is>
      </c>
      <c r="C2272" t="inlineStr">
        <is>
          <t>Föryngringsavverkning</t>
        </is>
      </c>
      <c r="D2272" s="1" t="n">
        <v>45260</v>
      </c>
      <c r="E2272" s="1" t="n">
        <v>46312</v>
      </c>
      <c r="F2272" t="inlineStr">
        <is>
          <t>SKÅNE LÄN</t>
        </is>
      </c>
      <c r="G2272" t="inlineStr">
        <is>
          <t>SJÖBO</t>
        </is>
      </c>
      <c r="I2272" t="n">
        <v>2</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49630-2025</t>
        </is>
      </c>
      <c r="B2273" t="inlineStr">
        <is>
          <t>avverkningsanmälan</t>
        </is>
      </c>
      <c r="C2273" t="inlineStr">
        <is>
          <t>Föryngringsavverkning</t>
        </is>
      </c>
      <c r="D2273" s="1" t="n">
        <v>45939</v>
      </c>
      <c r="E2273" s="1" t="n">
        <v>46312</v>
      </c>
      <c r="F2273" t="inlineStr">
        <is>
          <t>SKÅNE LÄN</t>
        </is>
      </c>
      <c r="G2273" t="inlineStr">
        <is>
          <t>KRISTIANSTAD</t>
        </is>
      </c>
      <c r="I2273" t="n">
        <v>2.3</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64091-2023</t>
        </is>
      </c>
      <c r="B2274" t="inlineStr">
        <is>
          <t>avverkningsanmälan</t>
        </is>
      </c>
      <c r="C2274" t="inlineStr">
        <is>
          <t>Föryngringsavverkning</t>
        </is>
      </c>
      <c r="D2274" s="1" t="n">
        <v>45279</v>
      </c>
      <c r="E2274" s="1" t="n">
        <v>46312</v>
      </c>
      <c r="F2274" t="inlineStr">
        <is>
          <t>SKÅNE LÄN</t>
        </is>
      </c>
      <c r="G2274" t="inlineStr">
        <is>
          <t>ÖRKELLJUNGA</t>
        </is>
      </c>
      <c r="I2274" t="n">
        <v>0.6</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4363-2025</t>
        </is>
      </c>
      <c r="B2275" t="inlineStr">
        <is>
          <t>avverkningsanmälan</t>
        </is>
      </c>
      <c r="C2275" t="inlineStr">
        <is>
          <t>Föryngringsavverkning</t>
        </is>
      </c>
      <c r="D2275" s="1" t="n">
        <v>45686</v>
      </c>
      <c r="E2275" s="1" t="n">
        <v>46312</v>
      </c>
      <c r="F2275" t="inlineStr">
        <is>
          <t>SKÅNE LÄN</t>
        </is>
      </c>
      <c r="G2275" t="inlineStr">
        <is>
          <t>OSBY</t>
        </is>
      </c>
      <c r="I2275" t="n">
        <v>0.8</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5987-2022</t>
        </is>
      </c>
      <c r="B2276" t="inlineStr">
        <is>
          <t>avverkningsanmälan</t>
        </is>
      </c>
      <c r="C2276" t="inlineStr">
        <is>
          <t>Föryngringsavverkning</t>
        </is>
      </c>
      <c r="D2276" s="1" t="n">
        <v>44599</v>
      </c>
      <c r="E2276" s="1" t="n">
        <v>46312</v>
      </c>
      <c r="F2276" t="inlineStr">
        <is>
          <t>SKÅNE LÄN</t>
        </is>
      </c>
      <c r="G2276" t="inlineStr">
        <is>
          <t>KRISTIANSTAD</t>
        </is>
      </c>
      <c r="I2276" t="n">
        <v>0.7</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49567-2025</t>
        </is>
      </c>
      <c r="B2277" t="inlineStr">
        <is>
          <t>avverkningsanmälan</t>
        </is>
      </c>
      <c r="C2277" t="inlineStr">
        <is>
          <t>Föryngringsavverkning</t>
        </is>
      </c>
      <c r="D2277" s="1" t="n">
        <v>45939</v>
      </c>
      <c r="E2277" s="1" t="n">
        <v>46312</v>
      </c>
      <c r="F2277" t="inlineStr">
        <is>
          <t>SKÅNE LÄN</t>
        </is>
      </c>
      <c r="G2277" t="inlineStr">
        <is>
          <t>KRISTIANSTAD</t>
        </is>
      </c>
      <c r="I2277" t="n">
        <v>0.7</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50664-2023</t>
        </is>
      </c>
      <c r="B2278" t="inlineStr">
        <is>
          <t>avverkningsanmälan</t>
        </is>
      </c>
      <c r="C2278" t="inlineStr">
        <is>
          <t>Föryngringsavverkning</t>
        </is>
      </c>
      <c r="D2278" s="1" t="n">
        <v>45217</v>
      </c>
      <c r="E2278" s="1" t="n">
        <v>46312</v>
      </c>
      <c r="F2278" t="inlineStr">
        <is>
          <t>SKÅNE LÄN</t>
        </is>
      </c>
      <c r="G2278" t="inlineStr">
        <is>
          <t>HÄSSLEHOLM</t>
        </is>
      </c>
      <c r="I2278" t="n">
        <v>0.6</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33988-2023</t>
        </is>
      </c>
      <c r="B2279" t="inlineStr">
        <is>
          <t>avverkningsanmälan</t>
        </is>
      </c>
      <c r="C2279" t="inlineStr">
        <is>
          <t>Föryngringsavverkning</t>
        </is>
      </c>
      <c r="D2279" s="1" t="n">
        <v>45134</v>
      </c>
      <c r="E2279" s="1" t="n">
        <v>46312</v>
      </c>
      <c r="F2279" t="inlineStr">
        <is>
          <t>SKÅNE LÄN</t>
        </is>
      </c>
      <c r="G2279" t="inlineStr">
        <is>
          <t>KRISTIANSTAD</t>
        </is>
      </c>
      <c r="I2279" t="n">
        <v>2.3</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43685-2022</t>
        </is>
      </c>
      <c r="B2280" t="inlineStr">
        <is>
          <t>avverkningsanmälan</t>
        </is>
      </c>
      <c r="C2280" t="inlineStr">
        <is>
          <t>Avverkning för annat ändamål</t>
        </is>
      </c>
      <c r="D2280" s="1" t="n">
        <v>44837</v>
      </c>
      <c r="E2280" s="1" t="n">
        <v>46312</v>
      </c>
      <c r="F2280" t="inlineStr">
        <is>
          <t>SKÅNE LÄN</t>
        </is>
      </c>
      <c r="G2280" t="inlineStr">
        <is>
          <t>HÖRBY</t>
        </is>
      </c>
      <c r="I2280" t="n">
        <v>1.3</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49780-2025</t>
        </is>
      </c>
      <c r="B2281" t="inlineStr">
        <is>
          <t>avverkningsanmälan</t>
        </is>
      </c>
      <c r="C2281" t="inlineStr">
        <is>
          <t>Föryngringsavverkning</t>
        </is>
      </c>
      <c r="D2281" s="1" t="n">
        <v>45940</v>
      </c>
      <c r="E2281" s="1" t="n">
        <v>46312</v>
      </c>
      <c r="F2281" t="inlineStr">
        <is>
          <t>SKÅNE LÄN</t>
        </is>
      </c>
      <c r="G2281" t="inlineStr">
        <is>
          <t>HÖÖR</t>
        </is>
      </c>
      <c r="I2281" t="n">
        <v>0.4</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53977-2022</t>
        </is>
      </c>
      <c r="B2282" t="inlineStr">
        <is>
          <t>avverkningsanmälan</t>
        </is>
      </c>
      <c r="C2282" t="inlineStr">
        <is>
          <t>Föryngringsavverkning</t>
        </is>
      </c>
      <c r="D2282" s="1" t="n">
        <v>44876</v>
      </c>
      <c r="E2282" s="1" t="n">
        <v>46312</v>
      </c>
      <c r="F2282" t="inlineStr">
        <is>
          <t>SKÅNE LÄN</t>
        </is>
      </c>
      <c r="G2282" t="inlineStr">
        <is>
          <t>TOMELILLA</t>
        </is>
      </c>
      <c r="I2282" t="n">
        <v>2.4</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53982-2022</t>
        </is>
      </c>
      <c r="B2283" t="inlineStr">
        <is>
          <t>avverkningsanmälan</t>
        </is>
      </c>
      <c r="C2283" t="inlineStr">
        <is>
          <t>Föryngringsavverkning</t>
        </is>
      </c>
      <c r="D2283" s="1" t="n">
        <v>44876</v>
      </c>
      <c r="E2283" s="1" t="n">
        <v>46312</v>
      </c>
      <c r="F2283" t="inlineStr">
        <is>
          <t>SKÅNE LÄN</t>
        </is>
      </c>
      <c r="G2283" t="inlineStr">
        <is>
          <t>KRISTIANSTAD</t>
        </is>
      </c>
      <c r="I2283" t="n">
        <v>1.3</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42428-2022</t>
        </is>
      </c>
      <c r="B2284" t="inlineStr">
        <is>
          <t>avverkningsanmälan</t>
        </is>
      </c>
      <c r="C2284" t="inlineStr">
        <is>
          <t>Avverkning för annat ändamål</t>
        </is>
      </c>
      <c r="D2284" s="1" t="n">
        <v>44831</v>
      </c>
      <c r="E2284" s="1" t="n">
        <v>46312</v>
      </c>
      <c r="F2284" t="inlineStr">
        <is>
          <t>SKÅNE LÄN</t>
        </is>
      </c>
      <c r="G2284" t="inlineStr">
        <is>
          <t>HÄSSLEHOLM</t>
        </is>
      </c>
      <c r="I2284" t="n">
        <v>2.8</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5131-2023</t>
        </is>
      </c>
      <c r="B2285" t="inlineStr">
        <is>
          <t>avverkningsanmälan</t>
        </is>
      </c>
      <c r="C2285" t="inlineStr">
        <is>
          <t>Föryngringsavverkning</t>
        </is>
      </c>
      <c r="D2285" s="1" t="n">
        <v>44958</v>
      </c>
      <c r="E2285" s="1" t="n">
        <v>46312</v>
      </c>
      <c r="F2285" t="inlineStr">
        <is>
          <t>SKÅNE LÄN</t>
        </is>
      </c>
      <c r="G2285" t="inlineStr">
        <is>
          <t>ÖSTRA GÖINGE</t>
        </is>
      </c>
      <c r="I2285" t="n">
        <v>0.5</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62156-2022</t>
        </is>
      </c>
      <c r="B2286" t="inlineStr">
        <is>
          <t>avverkningsanmälan</t>
        </is>
      </c>
      <c r="C2286" t="inlineStr">
        <is>
          <t>Föryngringsavverkning</t>
        </is>
      </c>
      <c r="D2286" s="1" t="n">
        <v>44915</v>
      </c>
      <c r="E2286" s="1" t="n">
        <v>46312</v>
      </c>
      <c r="F2286" t="inlineStr">
        <is>
          <t>SKÅNE LÄN</t>
        </is>
      </c>
      <c r="G2286" t="inlineStr">
        <is>
          <t>KRISTIANSTAD</t>
        </is>
      </c>
      <c r="H2286" t="inlineStr">
        <is>
          <t>Kyrkan</t>
        </is>
      </c>
      <c r="I2286" t="n">
        <v>1</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47628-2022</t>
        </is>
      </c>
      <c r="B2287" t="inlineStr">
        <is>
          <t>avverkningsanmälan</t>
        </is>
      </c>
      <c r="C2287" t="inlineStr">
        <is>
          <t>Föryngringsavverkning</t>
        </is>
      </c>
      <c r="D2287" s="1" t="n">
        <v>44852</v>
      </c>
      <c r="E2287" s="1" t="n">
        <v>46312</v>
      </c>
      <c r="F2287" t="inlineStr">
        <is>
          <t>SKÅNE LÄN</t>
        </is>
      </c>
      <c r="G2287" t="inlineStr">
        <is>
          <t>ÖSTRA GÖINGE</t>
        </is>
      </c>
      <c r="I2287" t="n">
        <v>1.2</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34147-2025</t>
        </is>
      </c>
      <c r="B2288" t="inlineStr">
        <is>
          <t>avverkningsanmälan</t>
        </is>
      </c>
      <c r="C2288" t="inlineStr">
        <is>
          <t>Föryngringsavverkning</t>
        </is>
      </c>
      <c r="D2288" s="1" t="n">
        <v>45845</v>
      </c>
      <c r="E2288" s="1" t="n">
        <v>46312</v>
      </c>
      <c r="F2288" t="inlineStr">
        <is>
          <t>SKÅNE LÄN</t>
        </is>
      </c>
      <c r="G2288" t="inlineStr">
        <is>
          <t>HÖRBY</t>
        </is>
      </c>
      <c r="I2288" t="n">
        <v>18.7</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62171-2022</t>
        </is>
      </c>
      <c r="B2289" t="inlineStr">
        <is>
          <t>avverkningsanmälan</t>
        </is>
      </c>
      <c r="C2289" t="inlineStr">
        <is>
          <t>Föryngringsavverkning</t>
        </is>
      </c>
      <c r="D2289" s="1" t="n">
        <v>44915</v>
      </c>
      <c r="E2289" s="1" t="n">
        <v>46312</v>
      </c>
      <c r="F2289" t="inlineStr">
        <is>
          <t>SKÅNE LÄN</t>
        </is>
      </c>
      <c r="G2289" t="inlineStr">
        <is>
          <t>HÄSSLEHOLM</t>
        </is>
      </c>
      <c r="H2289" t="inlineStr">
        <is>
          <t>Kyrkan</t>
        </is>
      </c>
      <c r="I2289" t="n">
        <v>9</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49897-2025</t>
        </is>
      </c>
      <c r="B2290" t="inlineStr">
        <is>
          <t>avverkningsanmälan</t>
        </is>
      </c>
      <c r="C2290" t="inlineStr">
        <is>
          <t>Föryngringsavverkning</t>
        </is>
      </c>
      <c r="D2290" s="1" t="n">
        <v>45940</v>
      </c>
      <c r="E2290" s="1" t="n">
        <v>46312</v>
      </c>
      <c r="F2290" t="inlineStr">
        <is>
          <t>SKÅNE LÄN</t>
        </is>
      </c>
      <c r="G2290" t="inlineStr">
        <is>
          <t>SJÖBO</t>
        </is>
      </c>
      <c r="I2290" t="n">
        <v>0.6</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10464-2024</t>
        </is>
      </c>
      <c r="B2291" t="inlineStr">
        <is>
          <t>avverkningsanmälan</t>
        </is>
      </c>
      <c r="C2291" t="inlineStr">
        <is>
          <t>Föryngringsavverkning</t>
        </is>
      </c>
      <c r="D2291" s="1" t="n">
        <v>45366</v>
      </c>
      <c r="E2291" s="1" t="n">
        <v>46312</v>
      </c>
      <c r="F2291" t="inlineStr">
        <is>
          <t>SKÅNE LÄN</t>
        </is>
      </c>
      <c r="G2291" t="inlineStr">
        <is>
          <t>KRISTIANSTAD</t>
        </is>
      </c>
      <c r="I2291" t="n">
        <v>0.9</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12903-2024</t>
        </is>
      </c>
      <c r="B2292" t="inlineStr">
        <is>
          <t>avverkningsanmälan</t>
        </is>
      </c>
      <c r="C2292" t="inlineStr">
        <is>
          <t>Föryngringsavverkning</t>
        </is>
      </c>
      <c r="D2292" s="1" t="n">
        <v>45385</v>
      </c>
      <c r="E2292" s="1" t="n">
        <v>46312</v>
      </c>
      <c r="F2292" t="inlineStr">
        <is>
          <t>SKÅNE LÄN</t>
        </is>
      </c>
      <c r="G2292" t="inlineStr">
        <is>
          <t>TOMELILLA</t>
        </is>
      </c>
      <c r="I2292" t="n">
        <v>9.199999999999999</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59252-2022</t>
        </is>
      </c>
      <c r="B2293" t="inlineStr">
        <is>
          <t>avverkningsanmälan</t>
        </is>
      </c>
      <c r="C2293" t="inlineStr">
        <is>
          <t>Föryngringsavverkning</t>
        </is>
      </c>
      <c r="D2293" s="1" t="n">
        <v>44904</v>
      </c>
      <c r="E2293" s="1" t="n">
        <v>46312</v>
      </c>
      <c r="F2293" t="inlineStr">
        <is>
          <t>SKÅNE LÄN</t>
        </is>
      </c>
      <c r="G2293" t="inlineStr">
        <is>
          <t>OSBY</t>
        </is>
      </c>
      <c r="I2293" t="n">
        <v>1.1</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22061-2026</t>
        </is>
      </c>
      <c r="B2294" t="inlineStr">
        <is>
          <t>avverkningsanmälan</t>
        </is>
      </c>
      <c r="C2294" t="inlineStr">
        <is>
          <t>Föryngringsavverkning</t>
        </is>
      </c>
      <c r="D2294" s="1" t="n">
        <v>46153</v>
      </c>
      <c r="E2294" s="1" t="n">
        <v>46312</v>
      </c>
      <c r="F2294" t="inlineStr">
        <is>
          <t>SKÅNE LÄN</t>
        </is>
      </c>
      <c r="G2294" t="inlineStr">
        <is>
          <t>OSBY</t>
        </is>
      </c>
      <c r="H2294" t="inlineStr">
        <is>
          <t>Sveaskog</t>
        </is>
      </c>
      <c r="I2294" t="n">
        <v>1.7</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58886-2024</t>
        </is>
      </c>
      <c r="B2295" t="inlineStr">
        <is>
          <t>avverkningsanmälan</t>
        </is>
      </c>
      <c r="C2295" t="inlineStr">
        <is>
          <t>Föryngringsavverkning</t>
        </is>
      </c>
      <c r="D2295" s="1" t="n">
        <v>45636</v>
      </c>
      <c r="E2295" s="1" t="n">
        <v>46312</v>
      </c>
      <c r="F2295" t="inlineStr">
        <is>
          <t>SKÅNE LÄN</t>
        </is>
      </c>
      <c r="G2295" t="inlineStr">
        <is>
          <t>HÄSSLEHOLM</t>
        </is>
      </c>
      <c r="I2295" t="n">
        <v>1.9</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2891-2024</t>
        </is>
      </c>
      <c r="B2296" t="inlineStr">
        <is>
          <t>avverkningsanmälan</t>
        </is>
      </c>
      <c r="C2296" t="inlineStr">
        <is>
          <t>Föryngringsavverkning</t>
        </is>
      </c>
      <c r="D2296" s="1" t="n">
        <v>45315</v>
      </c>
      <c r="E2296" s="1" t="n">
        <v>46312</v>
      </c>
      <c r="F2296" t="inlineStr">
        <is>
          <t>SKÅNE LÄN</t>
        </is>
      </c>
      <c r="G2296" t="inlineStr">
        <is>
          <t>KRISTIANSTAD</t>
        </is>
      </c>
      <c r="I2296" t="n">
        <v>1.7</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50655-2025</t>
        </is>
      </c>
      <c r="B2297" t="inlineStr">
        <is>
          <t>avverkningsanmälan</t>
        </is>
      </c>
      <c r="C2297" t="inlineStr">
        <is>
          <t>Föryngringsavverkning</t>
        </is>
      </c>
      <c r="D2297" s="1" t="n">
        <v>45945</v>
      </c>
      <c r="E2297" s="1" t="n">
        <v>46312</v>
      </c>
      <c r="F2297" t="inlineStr">
        <is>
          <t>SKÅNE LÄN</t>
        </is>
      </c>
      <c r="G2297" t="inlineStr">
        <is>
          <t>KRISTIANSTAD</t>
        </is>
      </c>
      <c r="I2297" t="n">
        <v>2.2</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55901-2024</t>
        </is>
      </c>
      <c r="B2298" t="inlineStr">
        <is>
          <t>avverkningsanmälan</t>
        </is>
      </c>
      <c r="C2298" t="inlineStr">
        <is>
          <t>Föryngringsavverkning</t>
        </is>
      </c>
      <c r="D2298" s="1" t="n">
        <v>45622</v>
      </c>
      <c r="E2298" s="1" t="n">
        <v>46312</v>
      </c>
      <c r="F2298" t="inlineStr">
        <is>
          <t>SKÅNE LÄN</t>
        </is>
      </c>
      <c r="G2298" t="inlineStr">
        <is>
          <t>BROMÖLLA</t>
        </is>
      </c>
      <c r="I2298" t="n">
        <v>6.4</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25803-2024</t>
        </is>
      </c>
      <c r="B2299" t="inlineStr">
        <is>
          <t>avverkningsanmälan</t>
        </is>
      </c>
      <c r="C2299" t="inlineStr">
        <is>
          <t>Föryngringsavverkning</t>
        </is>
      </c>
      <c r="D2299" s="1" t="n">
        <v>45467</v>
      </c>
      <c r="E2299" s="1" t="n">
        <v>46312</v>
      </c>
      <c r="F2299" t="inlineStr">
        <is>
          <t>SKÅNE LÄN</t>
        </is>
      </c>
      <c r="G2299" t="inlineStr">
        <is>
          <t>KRISTIANSTAD</t>
        </is>
      </c>
      <c r="I2299" t="n">
        <v>5.8</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1886-2025</t>
        </is>
      </c>
      <c r="B2300" t="inlineStr">
        <is>
          <t>avverkningsanmälan</t>
        </is>
      </c>
      <c r="C2300" t="inlineStr">
        <is>
          <t>Föryngringsavverkning</t>
        </is>
      </c>
      <c r="D2300" s="1" t="n">
        <v>45671</v>
      </c>
      <c r="E2300" s="1" t="n">
        <v>46312</v>
      </c>
      <c r="F2300" t="inlineStr">
        <is>
          <t>SKÅNE LÄN</t>
        </is>
      </c>
      <c r="G2300" t="inlineStr">
        <is>
          <t>HÄSSLEHOLM</t>
        </is>
      </c>
      <c r="I2300" t="n">
        <v>1.1</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15536-2025</t>
        </is>
      </c>
      <c r="B2301" t="inlineStr">
        <is>
          <t>avverkningsanmälan</t>
        </is>
      </c>
      <c r="C2301" t="inlineStr">
        <is>
          <t>Föryngringsavverkning</t>
        </is>
      </c>
      <c r="D2301" s="1" t="n">
        <v>45747</v>
      </c>
      <c r="E2301" s="1" t="n">
        <v>46312</v>
      </c>
      <c r="F2301" t="inlineStr">
        <is>
          <t>SKÅNE LÄN</t>
        </is>
      </c>
      <c r="G2301" t="inlineStr">
        <is>
          <t>HÄSSLEHOLM</t>
        </is>
      </c>
      <c r="I2301" t="n">
        <v>0.5</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56956-2024</t>
        </is>
      </c>
      <c r="B2302" t="inlineStr">
        <is>
          <t>avverkningsanmälan</t>
        </is>
      </c>
      <c r="C2302" t="inlineStr">
        <is>
          <t>Föryngringsavverkning</t>
        </is>
      </c>
      <c r="D2302" s="1" t="n">
        <v>45626</v>
      </c>
      <c r="E2302" s="1" t="n">
        <v>46312</v>
      </c>
      <c r="F2302" t="inlineStr">
        <is>
          <t>SKÅNE LÄN</t>
        </is>
      </c>
      <c r="G2302" t="inlineStr">
        <is>
          <t>HÄSSLEHOLM</t>
        </is>
      </c>
      <c r="I2302" t="n">
        <v>0.5</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24904-2025</t>
        </is>
      </c>
      <c r="B2303" t="inlineStr">
        <is>
          <t>avverkningsanmälan</t>
        </is>
      </c>
      <c r="C2303" t="inlineStr">
        <is>
          <t>Föryngringsavverkning</t>
        </is>
      </c>
      <c r="D2303" s="1" t="n">
        <v>45799</v>
      </c>
      <c r="E2303" s="1" t="n">
        <v>46312</v>
      </c>
      <c r="F2303" t="inlineStr">
        <is>
          <t>SKÅNE LÄN</t>
        </is>
      </c>
      <c r="G2303" t="inlineStr">
        <is>
          <t>HÄSSLEHOLM</t>
        </is>
      </c>
      <c r="I2303" t="n">
        <v>2.2</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52315-2024</t>
        </is>
      </c>
      <c r="B2304" t="inlineStr">
        <is>
          <t>avverkningsanmälan</t>
        </is>
      </c>
      <c r="C2304" t="inlineStr">
        <is>
          <t>Föryngringsavverkning</t>
        </is>
      </c>
      <c r="D2304" s="1" t="n">
        <v>45608</v>
      </c>
      <c r="E2304" s="1" t="n">
        <v>46312</v>
      </c>
      <c r="F2304" t="inlineStr">
        <is>
          <t>SKÅNE LÄN</t>
        </is>
      </c>
      <c r="G2304" t="inlineStr">
        <is>
          <t>PERSTORP</t>
        </is>
      </c>
      <c r="I2304" t="n">
        <v>4</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43314-2024</t>
        </is>
      </c>
      <c r="B2305" t="inlineStr">
        <is>
          <t>avverkningsanmälan</t>
        </is>
      </c>
      <c r="C2305" t="inlineStr">
        <is>
          <t>Föryngringsavverkning</t>
        </is>
      </c>
      <c r="D2305" s="1" t="n">
        <v>45568</v>
      </c>
      <c r="E2305" s="1" t="n">
        <v>46312</v>
      </c>
      <c r="F2305" t="inlineStr">
        <is>
          <t>SKÅNE LÄN</t>
        </is>
      </c>
      <c r="G2305" t="inlineStr">
        <is>
          <t>KRISTIANSTAD</t>
        </is>
      </c>
      <c r="I2305" t="n">
        <v>2.2</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57979-2023</t>
        </is>
      </c>
      <c r="B2306" t="inlineStr">
        <is>
          <t>avverkningsanmälan</t>
        </is>
      </c>
      <c r="C2306" t="inlineStr">
        <is>
          <t>Föryngringsavverkning</t>
        </is>
      </c>
      <c r="D2306" s="1" t="n">
        <v>45247</v>
      </c>
      <c r="E2306" s="1" t="n">
        <v>46312</v>
      </c>
      <c r="F2306" t="inlineStr">
        <is>
          <t>SKÅNE LÄN</t>
        </is>
      </c>
      <c r="G2306" t="inlineStr">
        <is>
          <t>KRISTIANSTAD</t>
        </is>
      </c>
      <c r="I2306" t="n">
        <v>11.9</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11997-2023</t>
        </is>
      </c>
      <c r="B2307" t="inlineStr">
        <is>
          <t>avverkningsanmälan</t>
        </is>
      </c>
      <c r="C2307" t="inlineStr">
        <is>
          <t>Föryngringsavverkning</t>
        </is>
      </c>
      <c r="D2307" s="1" t="n">
        <v>44995</v>
      </c>
      <c r="E2307" s="1" t="n">
        <v>46312</v>
      </c>
      <c r="F2307" t="inlineStr">
        <is>
          <t>SKÅNE LÄN</t>
        </is>
      </c>
      <c r="G2307" t="inlineStr">
        <is>
          <t>KRISTIANSTAD</t>
        </is>
      </c>
      <c r="I2307" t="n">
        <v>5.4</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11720-2024</t>
        </is>
      </c>
      <c r="B2308" t="inlineStr">
        <is>
          <t>avverkningsanmälan</t>
        </is>
      </c>
      <c r="C2308" t="inlineStr">
        <is>
          <t>Föryngringsavverkning</t>
        </is>
      </c>
      <c r="D2308" s="1" t="n">
        <v>45373</v>
      </c>
      <c r="E2308" s="1" t="n">
        <v>46312</v>
      </c>
      <c r="F2308" t="inlineStr">
        <is>
          <t>SKÅNE LÄN</t>
        </is>
      </c>
      <c r="G2308" t="inlineStr">
        <is>
          <t>PERSTORP</t>
        </is>
      </c>
      <c r="I2308" t="n">
        <v>4.4</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20512-2023</t>
        </is>
      </c>
      <c r="B2309" t="inlineStr">
        <is>
          <t>avverkningsanmälan</t>
        </is>
      </c>
      <c r="C2309" t="inlineStr">
        <is>
          <t>Föryngringsavverkning</t>
        </is>
      </c>
      <c r="D2309" s="1" t="n">
        <v>45057</v>
      </c>
      <c r="E2309" s="1" t="n">
        <v>46312</v>
      </c>
      <c r="F2309" t="inlineStr">
        <is>
          <t>SKÅNE LÄN</t>
        </is>
      </c>
      <c r="G2309" t="inlineStr">
        <is>
          <t>HÖÖR</t>
        </is>
      </c>
      <c r="I2309" t="n">
        <v>2.7</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26506-2025</t>
        </is>
      </c>
      <c r="B2310" t="inlineStr">
        <is>
          <t>avverkningsanmälan</t>
        </is>
      </c>
      <c r="C2310" t="inlineStr">
        <is>
          <t>Föryngringsavverkning</t>
        </is>
      </c>
      <c r="D2310" s="1" t="n">
        <v>45807</v>
      </c>
      <c r="E2310" s="1" t="n">
        <v>46312</v>
      </c>
      <c r="F2310" t="inlineStr">
        <is>
          <t>SKÅNE LÄN</t>
        </is>
      </c>
      <c r="G2310" t="inlineStr">
        <is>
          <t>ÖSTRA GÖINGE</t>
        </is>
      </c>
      <c r="I2310" t="n">
        <v>7.1</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63499-2025</t>
        </is>
      </c>
      <c r="B2311" t="inlineStr">
        <is>
          <t>avverkningsanmälan</t>
        </is>
      </c>
      <c r="C2311" t="inlineStr">
        <is>
          <t>Föryngringsavverkning</t>
        </is>
      </c>
      <c r="D2311" s="1" t="n">
        <v>46013</v>
      </c>
      <c r="E2311" s="1" t="n">
        <v>46312</v>
      </c>
      <c r="F2311" t="inlineStr">
        <is>
          <t>SKÅNE LÄN</t>
        </is>
      </c>
      <c r="G2311" t="inlineStr">
        <is>
          <t>KLIPPAN</t>
        </is>
      </c>
      <c r="I2311" t="n">
        <v>3.9</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50658-2025</t>
        </is>
      </c>
      <c r="B2312" t="inlineStr">
        <is>
          <t>avverkningsanmälan</t>
        </is>
      </c>
      <c r="C2312" t="inlineStr">
        <is>
          <t>Föryngringsavverkning</t>
        </is>
      </c>
      <c r="D2312" s="1" t="n">
        <v>45945</v>
      </c>
      <c r="E2312" s="1" t="n">
        <v>46312</v>
      </c>
      <c r="F2312" t="inlineStr">
        <is>
          <t>SKÅNE LÄN</t>
        </is>
      </c>
      <c r="G2312" t="inlineStr">
        <is>
          <t>KRISTIANSTAD</t>
        </is>
      </c>
      <c r="I2312" t="n">
        <v>0.3</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22550-2026</t>
        </is>
      </c>
      <c r="B2313" t="inlineStr">
        <is>
          <t>avverkningsanmälan</t>
        </is>
      </c>
      <c r="C2313" t="inlineStr">
        <is>
          <t>Föryngringsavverkning</t>
        </is>
      </c>
      <c r="D2313" s="1" t="n">
        <v>46155</v>
      </c>
      <c r="E2313" s="1" t="n">
        <v>46312</v>
      </c>
      <c r="F2313" t="inlineStr">
        <is>
          <t>SKÅNE LÄN</t>
        </is>
      </c>
      <c r="G2313" t="inlineStr">
        <is>
          <t>ÖRKELLJUNGA</t>
        </is>
      </c>
      <c r="I2313" t="n">
        <v>1.1</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44925-2025</t>
        </is>
      </c>
      <c r="B2314" t="inlineStr">
        <is>
          <t>avverkningsanmälan</t>
        </is>
      </c>
      <c r="C2314" t="inlineStr">
        <is>
          <t>Föryngringsavverkning</t>
        </is>
      </c>
      <c r="D2314" s="1" t="n">
        <v>45918</v>
      </c>
      <c r="E2314" s="1" t="n">
        <v>46312</v>
      </c>
      <c r="F2314" t="inlineStr">
        <is>
          <t>SKÅNE LÄN</t>
        </is>
      </c>
      <c r="G2314" t="inlineStr">
        <is>
          <t>ÖRKELLJUNGA</t>
        </is>
      </c>
      <c r="I2314" t="n">
        <v>0.6</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14308-2023</t>
        </is>
      </c>
      <c r="B2315" t="inlineStr">
        <is>
          <t>avverkningsanmälan</t>
        </is>
      </c>
      <c r="C2315" t="inlineStr">
        <is>
          <t>Föryngringsavverkning</t>
        </is>
      </c>
      <c r="D2315" s="1" t="n">
        <v>45011</v>
      </c>
      <c r="E2315" s="1" t="n">
        <v>46312</v>
      </c>
      <c r="F2315" t="inlineStr">
        <is>
          <t>SKÅNE LÄN</t>
        </is>
      </c>
      <c r="G2315" t="inlineStr">
        <is>
          <t>OSBY</t>
        </is>
      </c>
      <c r="I2315" t="n">
        <v>6.2</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40092-2025</t>
        </is>
      </c>
      <c r="B2316" t="inlineStr">
        <is>
          <t>avverkningsanmälan</t>
        </is>
      </c>
      <c r="C2316" t="inlineStr">
        <is>
          <t>Föryngringsavverkning</t>
        </is>
      </c>
      <c r="D2316" s="1" t="n">
        <v>45894</v>
      </c>
      <c r="E2316" s="1" t="n">
        <v>46312</v>
      </c>
      <c r="F2316" t="inlineStr">
        <is>
          <t>SKÅNE LÄN</t>
        </is>
      </c>
      <c r="G2316" t="inlineStr">
        <is>
          <t>KLIPPAN</t>
        </is>
      </c>
      <c r="I2316" t="n">
        <v>0.7</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50659-2025</t>
        </is>
      </c>
      <c r="B2317" t="inlineStr">
        <is>
          <t>avverkningsanmälan</t>
        </is>
      </c>
      <c r="C2317" t="inlineStr">
        <is>
          <t>Föryngringsavverkning</t>
        </is>
      </c>
      <c r="D2317" s="1" t="n">
        <v>45945</v>
      </c>
      <c r="E2317" s="1" t="n">
        <v>46312</v>
      </c>
      <c r="F2317" t="inlineStr">
        <is>
          <t>SKÅNE LÄN</t>
        </is>
      </c>
      <c r="G2317" t="inlineStr">
        <is>
          <t>KRISTIANSTAD</t>
        </is>
      </c>
      <c r="I2317" t="n">
        <v>2.2</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8194-2025</t>
        </is>
      </c>
      <c r="B2318" t="inlineStr">
        <is>
          <t>avverkningsanmälan</t>
        </is>
      </c>
      <c r="C2318" t="inlineStr">
        <is>
          <t>Föryngringsavverkning</t>
        </is>
      </c>
      <c r="D2318" s="1" t="n">
        <v>45708</v>
      </c>
      <c r="E2318" s="1" t="n">
        <v>46312</v>
      </c>
      <c r="F2318" t="inlineStr">
        <is>
          <t>SKÅNE LÄN</t>
        </is>
      </c>
      <c r="G2318" t="inlineStr">
        <is>
          <t>HELSINGBORG</t>
        </is>
      </c>
      <c r="I2318" t="n">
        <v>1.9</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23227-2023</t>
        </is>
      </c>
      <c r="B2319" t="inlineStr">
        <is>
          <t>avverkningsanmälan</t>
        </is>
      </c>
      <c r="C2319" t="inlineStr">
        <is>
          <t>Föryngringsavverkning</t>
        </is>
      </c>
      <c r="D2319" s="1" t="n">
        <v>45075</v>
      </c>
      <c r="E2319" s="1" t="n">
        <v>46312</v>
      </c>
      <c r="F2319" t="inlineStr">
        <is>
          <t>SKÅNE LÄN</t>
        </is>
      </c>
      <c r="G2319" t="inlineStr">
        <is>
          <t>ÄNGELHOLM</t>
        </is>
      </c>
      <c r="I2319" t="n">
        <v>1.1</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17151-2024</t>
        </is>
      </c>
      <c r="B2320" t="inlineStr">
        <is>
          <t>avverkningsanmälan</t>
        </is>
      </c>
      <c r="C2320" t="inlineStr">
        <is>
          <t>Föryngringsavverkning</t>
        </is>
      </c>
      <c r="D2320" s="1" t="n">
        <v>45412</v>
      </c>
      <c r="E2320" s="1" t="n">
        <v>46312</v>
      </c>
      <c r="F2320" t="inlineStr">
        <is>
          <t>SKÅNE LÄN</t>
        </is>
      </c>
      <c r="G2320" t="inlineStr">
        <is>
          <t>TOMELILLA</t>
        </is>
      </c>
      <c r="H2320" t="inlineStr">
        <is>
          <t>Övriga Aktiebolag</t>
        </is>
      </c>
      <c r="I2320" t="n">
        <v>3.6</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17228-2024</t>
        </is>
      </c>
      <c r="B2321" t="inlineStr">
        <is>
          <t>avverkningsanmälan</t>
        </is>
      </c>
      <c r="C2321" t="inlineStr">
        <is>
          <t>Föryngringsavverkning</t>
        </is>
      </c>
      <c r="D2321" s="1" t="n">
        <v>45414</v>
      </c>
      <c r="E2321" s="1" t="n">
        <v>46312</v>
      </c>
      <c r="F2321" t="inlineStr">
        <is>
          <t>SKÅNE LÄN</t>
        </is>
      </c>
      <c r="G2321" t="inlineStr">
        <is>
          <t>OSBY</t>
        </is>
      </c>
      <c r="I2321" t="n">
        <v>3.2</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50834-2025</t>
        </is>
      </c>
      <c r="B2322" t="inlineStr">
        <is>
          <t>avverkningsanmälan</t>
        </is>
      </c>
      <c r="C2322" t="inlineStr">
        <is>
          <t>Föryngringsavverkning</t>
        </is>
      </c>
      <c r="D2322" s="1" t="n">
        <v>45946</v>
      </c>
      <c r="E2322" s="1" t="n">
        <v>46312</v>
      </c>
      <c r="F2322" t="inlineStr">
        <is>
          <t>SKÅNE LÄN</t>
        </is>
      </c>
      <c r="G2322" t="inlineStr">
        <is>
          <t>HÄSSLEHOLM</t>
        </is>
      </c>
      <c r="I2322" t="n">
        <v>0.7</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39791-2025</t>
        </is>
      </c>
      <c r="B2323" t="inlineStr">
        <is>
          <t>avverkningsanmälan</t>
        </is>
      </c>
      <c r="C2323" t="inlineStr">
        <is>
          <t>Föryngringsavverkning</t>
        </is>
      </c>
      <c r="D2323" s="1" t="n">
        <v>45891</v>
      </c>
      <c r="E2323" s="1" t="n">
        <v>46312</v>
      </c>
      <c r="F2323" t="inlineStr">
        <is>
          <t>SKÅNE LÄN</t>
        </is>
      </c>
      <c r="G2323" t="inlineStr">
        <is>
          <t>TOMELILLA</t>
        </is>
      </c>
      <c r="I2323" t="n">
        <v>3.8</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43996-2022</t>
        </is>
      </c>
      <c r="B2324" t="inlineStr">
        <is>
          <t>avverkningsanmälan</t>
        </is>
      </c>
      <c r="C2324" t="inlineStr">
        <is>
          <t>Föryngringsavverkning</t>
        </is>
      </c>
      <c r="D2324" s="1" t="n">
        <v>44838</v>
      </c>
      <c r="E2324" s="1" t="n">
        <v>46312</v>
      </c>
      <c r="F2324" t="inlineStr">
        <is>
          <t>SKÅNE LÄN</t>
        </is>
      </c>
      <c r="G2324" t="inlineStr">
        <is>
          <t>HÖÖR</t>
        </is>
      </c>
      <c r="I2324" t="n">
        <v>1.3</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22578-2026</t>
        </is>
      </c>
      <c r="B2325" t="inlineStr">
        <is>
          <t>avverkningsanmälan</t>
        </is>
      </c>
      <c r="C2325" t="inlineStr">
        <is>
          <t>Föryngringsavverkning</t>
        </is>
      </c>
      <c r="D2325" s="1" t="n">
        <v>46155</v>
      </c>
      <c r="E2325" s="1" t="n">
        <v>46312</v>
      </c>
      <c r="F2325" t="inlineStr">
        <is>
          <t>SKÅNE LÄN</t>
        </is>
      </c>
      <c r="G2325" t="inlineStr">
        <is>
          <t>OSBY</t>
        </is>
      </c>
      <c r="I2325" t="n">
        <v>0.7</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22327-2026</t>
        </is>
      </c>
      <c r="B2326" t="inlineStr">
        <is>
          <t>avverkningsanmälan</t>
        </is>
      </c>
      <c r="C2326" t="inlineStr">
        <is>
          <t>Föryngringsavverkning</t>
        </is>
      </c>
      <c r="D2326" s="1" t="n">
        <v>46154</v>
      </c>
      <c r="E2326" s="1" t="n">
        <v>46312</v>
      </c>
      <c r="F2326" t="inlineStr">
        <is>
          <t>SKÅNE LÄN</t>
        </is>
      </c>
      <c r="G2326" t="inlineStr">
        <is>
          <t>ÖSTRA GÖINGE</t>
        </is>
      </c>
      <c r="I2326" t="n">
        <v>1.1</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51024-2025</t>
        </is>
      </c>
      <c r="B2327" t="inlineStr">
        <is>
          <t>avverkningsanmälan</t>
        </is>
      </c>
      <c r="C2327" t="inlineStr">
        <is>
          <t>Föryngringsavverkning</t>
        </is>
      </c>
      <c r="D2327" s="1" t="n">
        <v>45947</v>
      </c>
      <c r="E2327" s="1" t="n">
        <v>46312</v>
      </c>
      <c r="F2327" t="inlineStr">
        <is>
          <t>SKÅNE LÄN</t>
        </is>
      </c>
      <c r="G2327" t="inlineStr">
        <is>
          <t>HÄSSLEHOLM</t>
        </is>
      </c>
      <c r="I2327" t="n">
        <v>1.1</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25962-2023</t>
        </is>
      </c>
      <c r="B2328" t="inlineStr">
        <is>
          <t>avverkningsanmälan</t>
        </is>
      </c>
      <c r="C2328" t="inlineStr">
        <is>
          <t>Föryngringsavverkning</t>
        </is>
      </c>
      <c r="D2328" s="1" t="n">
        <v>45090</v>
      </c>
      <c r="E2328" s="1" t="n">
        <v>46312</v>
      </c>
      <c r="F2328" t="inlineStr">
        <is>
          <t>SKÅNE LÄN</t>
        </is>
      </c>
      <c r="G2328" t="inlineStr">
        <is>
          <t>ÖRKELLJUNGA</t>
        </is>
      </c>
      <c r="I2328" t="n">
        <v>7.3</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31639-2024</t>
        </is>
      </c>
      <c r="B2329" t="inlineStr">
        <is>
          <t>avverkningsanmälan</t>
        </is>
      </c>
      <c r="C2329" t="inlineStr">
        <is>
          <t>Föryngringsavverkning</t>
        </is>
      </c>
      <c r="D2329" s="1" t="n">
        <v>45506</v>
      </c>
      <c r="E2329" s="1" t="n">
        <v>46312</v>
      </c>
      <c r="F2329" t="inlineStr">
        <is>
          <t>SKÅNE LÄN</t>
        </is>
      </c>
      <c r="G2329" t="inlineStr">
        <is>
          <t>OSBY</t>
        </is>
      </c>
      <c r="I2329" t="n">
        <v>0.6</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3602-2024</t>
        </is>
      </c>
      <c r="B2330" t="inlineStr">
        <is>
          <t>avverkningsanmälan</t>
        </is>
      </c>
      <c r="C2330" t="inlineStr">
        <is>
          <t>Föryngringsavverkning</t>
        </is>
      </c>
      <c r="D2330" s="1" t="n">
        <v>45320</v>
      </c>
      <c r="E2330" s="1" t="n">
        <v>46312</v>
      </c>
      <c r="F2330" t="inlineStr">
        <is>
          <t>SKÅNE LÄN</t>
        </is>
      </c>
      <c r="G2330" t="inlineStr">
        <is>
          <t>SIMRISHAMN</t>
        </is>
      </c>
      <c r="I2330" t="n">
        <v>0.7</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11861-2025</t>
        </is>
      </c>
      <c r="B2331" t="inlineStr">
        <is>
          <t>avverkningsanmälan</t>
        </is>
      </c>
      <c r="C2331" t="inlineStr">
        <is>
          <t>Föryngringsavverkning</t>
        </is>
      </c>
      <c r="D2331" s="1" t="n">
        <v>45728</v>
      </c>
      <c r="E2331" s="1" t="n">
        <v>46312</v>
      </c>
      <c r="F2331" t="inlineStr">
        <is>
          <t>SKÅNE LÄN</t>
        </is>
      </c>
      <c r="G2331" t="inlineStr">
        <is>
          <t>BROMÖLLA</t>
        </is>
      </c>
      <c r="I2331" t="n">
        <v>2.1</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34719-2022</t>
        </is>
      </c>
      <c r="B2332" t="inlineStr">
        <is>
          <t>avverkningsanmälan</t>
        </is>
      </c>
      <c r="C2332" t="inlineStr">
        <is>
          <t>Föryngringsavverkning</t>
        </is>
      </c>
      <c r="D2332" s="1" t="n">
        <v>44795</v>
      </c>
      <c r="E2332" s="1" t="n">
        <v>46312</v>
      </c>
      <c r="F2332" t="inlineStr">
        <is>
          <t>SKÅNE LÄN</t>
        </is>
      </c>
      <c r="G2332" t="inlineStr">
        <is>
          <t>KRISTIANSTAD</t>
        </is>
      </c>
      <c r="I2332" t="n">
        <v>2.6</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67669-2021</t>
        </is>
      </c>
      <c r="B2333" t="inlineStr">
        <is>
          <t>avverkningsanmälan</t>
        </is>
      </c>
      <c r="C2333" t="inlineStr">
        <is>
          <t>Föryngringsavverkning</t>
        </is>
      </c>
      <c r="D2333" s="1" t="n">
        <v>44524</v>
      </c>
      <c r="E2333" s="1" t="n">
        <v>46312</v>
      </c>
      <c r="F2333" t="inlineStr">
        <is>
          <t>SKÅNE LÄN</t>
        </is>
      </c>
      <c r="G2333" t="inlineStr">
        <is>
          <t>PERSTORP</t>
        </is>
      </c>
      <c r="I2333" t="n">
        <v>1.4</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57798-2022</t>
        </is>
      </c>
      <c r="B2334" t="inlineStr">
        <is>
          <t>avverkningsanmälan</t>
        </is>
      </c>
      <c r="C2334" t="inlineStr">
        <is>
          <t>Föryngringsavverkning</t>
        </is>
      </c>
      <c r="D2334" s="1" t="n">
        <v>44897</v>
      </c>
      <c r="E2334" s="1" t="n">
        <v>46312</v>
      </c>
      <c r="F2334" t="inlineStr">
        <is>
          <t>SKÅNE LÄN</t>
        </is>
      </c>
      <c r="G2334" t="inlineStr">
        <is>
          <t>SVEDALA</t>
        </is>
      </c>
      <c r="I2334" t="n">
        <v>8.9</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57803-2022</t>
        </is>
      </c>
      <c r="B2335" t="inlineStr">
        <is>
          <t>avverkningsanmälan</t>
        </is>
      </c>
      <c r="C2335" t="inlineStr">
        <is>
          <t>Föryngringsavverkning</t>
        </is>
      </c>
      <c r="D2335" s="1" t="n">
        <v>44897</v>
      </c>
      <c r="E2335" s="1" t="n">
        <v>46312</v>
      </c>
      <c r="F2335" t="inlineStr">
        <is>
          <t>SKÅNE LÄN</t>
        </is>
      </c>
      <c r="G2335" t="inlineStr">
        <is>
          <t>SVEDALA</t>
        </is>
      </c>
      <c r="I2335" t="n">
        <v>1.8</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26158-2023</t>
        </is>
      </c>
      <c r="B2336" t="inlineStr">
        <is>
          <t>avverkningsanmälan</t>
        </is>
      </c>
      <c r="C2336" t="inlineStr">
        <is>
          <t>Föryngringsavverkning</t>
        </is>
      </c>
      <c r="D2336" s="1" t="n">
        <v>45091</v>
      </c>
      <c r="E2336" s="1" t="n">
        <v>46312</v>
      </c>
      <c r="F2336" t="inlineStr">
        <is>
          <t>SKÅNE LÄN</t>
        </is>
      </c>
      <c r="G2336" t="inlineStr">
        <is>
          <t>OSBY</t>
        </is>
      </c>
      <c r="I2336" t="n">
        <v>7.4</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3406-2025</t>
        </is>
      </c>
      <c r="B2337" t="inlineStr">
        <is>
          <t>avverkningsanmälan</t>
        </is>
      </c>
      <c r="C2337" t="inlineStr">
        <is>
          <t>Föryngringsavverkning</t>
        </is>
      </c>
      <c r="D2337" s="1" t="n">
        <v>45680</v>
      </c>
      <c r="E2337" s="1" t="n">
        <v>46312</v>
      </c>
      <c r="F2337" t="inlineStr">
        <is>
          <t>SKÅNE LÄN</t>
        </is>
      </c>
      <c r="G2337" t="inlineStr">
        <is>
          <t>ÖSTRA GÖINGE</t>
        </is>
      </c>
      <c r="I2337" t="n">
        <v>0.4</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30136-2022</t>
        </is>
      </c>
      <c r="B2338" t="inlineStr">
        <is>
          <t>avverkningsanmälan</t>
        </is>
      </c>
      <c r="C2338" t="inlineStr">
        <is>
          <t>Föryngringsavverkning</t>
        </is>
      </c>
      <c r="D2338" s="1" t="n">
        <v>44757</v>
      </c>
      <c r="E2338" s="1" t="n">
        <v>46312</v>
      </c>
      <c r="F2338" t="inlineStr">
        <is>
          <t>SKÅNE LÄN</t>
        </is>
      </c>
      <c r="G2338" t="inlineStr">
        <is>
          <t>ÖRKELLJUNGA</t>
        </is>
      </c>
      <c r="H2338" t="inlineStr">
        <is>
          <t>Kyrkan</t>
        </is>
      </c>
      <c r="I2338" t="n">
        <v>1.2</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61680-2022</t>
        </is>
      </c>
      <c r="B2339" t="inlineStr">
        <is>
          <t>avverkningsanmälan</t>
        </is>
      </c>
      <c r="C2339" t="inlineStr">
        <is>
          <t>Föryngringsavverkning</t>
        </is>
      </c>
      <c r="D2339" s="1" t="n">
        <v>44917</v>
      </c>
      <c r="E2339" s="1" t="n">
        <v>46312</v>
      </c>
      <c r="F2339" t="inlineStr">
        <is>
          <t>SKÅNE LÄN</t>
        </is>
      </c>
      <c r="G2339" t="inlineStr">
        <is>
          <t>HÄSSLEHOLM</t>
        </is>
      </c>
      <c r="I2339" t="n">
        <v>2.4</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58638-2022</t>
        </is>
      </c>
      <c r="B2340" t="inlineStr">
        <is>
          <t>avverkningsanmälan</t>
        </is>
      </c>
      <c r="C2340" t="inlineStr">
        <is>
          <t>Föryngringsavverkning</t>
        </is>
      </c>
      <c r="D2340" s="1" t="n">
        <v>44902</v>
      </c>
      <c r="E2340" s="1" t="n">
        <v>46312</v>
      </c>
      <c r="F2340" t="inlineStr">
        <is>
          <t>SKÅNE LÄN</t>
        </is>
      </c>
      <c r="G2340" t="inlineStr">
        <is>
          <t>OSBY</t>
        </is>
      </c>
      <c r="I2340" t="n">
        <v>1.1</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55265-2023</t>
        </is>
      </c>
      <c r="B2341" t="inlineStr">
        <is>
          <t>avverkningsanmälan</t>
        </is>
      </c>
      <c r="C2341" t="inlineStr">
        <is>
          <t>Föryngringsavverkning</t>
        </is>
      </c>
      <c r="D2341" s="1" t="n">
        <v>45237</v>
      </c>
      <c r="E2341" s="1" t="n">
        <v>46312</v>
      </c>
      <c r="F2341" t="inlineStr">
        <is>
          <t>SKÅNE LÄN</t>
        </is>
      </c>
      <c r="G2341" t="inlineStr">
        <is>
          <t>HÖRBY</t>
        </is>
      </c>
      <c r="I2341" t="n">
        <v>1.2</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61489-2024</t>
        </is>
      </c>
      <c r="B2342" t="inlineStr">
        <is>
          <t>avverkningsanmälan</t>
        </is>
      </c>
      <c r="C2342" t="inlineStr">
        <is>
          <t>Föryngringsavverkning</t>
        </is>
      </c>
      <c r="D2342" s="1" t="n">
        <v>45646</v>
      </c>
      <c r="E2342" s="1" t="n">
        <v>46312</v>
      </c>
      <c r="F2342" t="inlineStr">
        <is>
          <t>SKÅNE LÄN</t>
        </is>
      </c>
      <c r="G2342" t="inlineStr">
        <is>
          <t>HÄSSLEHOLM</t>
        </is>
      </c>
      <c r="I2342" t="n">
        <v>1.9</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51396-2025</t>
        </is>
      </c>
      <c r="B2343" t="inlineStr">
        <is>
          <t>avverkningsanmälan</t>
        </is>
      </c>
      <c r="C2343" t="inlineStr">
        <is>
          <t>Föryngringsavverkning</t>
        </is>
      </c>
      <c r="D2343" s="1" t="n">
        <v>45950</v>
      </c>
      <c r="E2343" s="1" t="n">
        <v>46312</v>
      </c>
      <c r="F2343" t="inlineStr">
        <is>
          <t>SKÅNE LÄN</t>
        </is>
      </c>
      <c r="G2343" t="inlineStr">
        <is>
          <t>KLIPPAN</t>
        </is>
      </c>
      <c r="I2343" t="n">
        <v>1.5</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51757-2025</t>
        </is>
      </c>
      <c r="B2344" t="inlineStr">
        <is>
          <t>avverkningsanmälan</t>
        </is>
      </c>
      <c r="C2344" t="inlineStr">
        <is>
          <t>Avverkning för att bevara och utveckla /försöksver</t>
        </is>
      </c>
      <c r="D2344" s="1" t="n">
        <v>45951</v>
      </c>
      <c r="E2344" s="1" t="n">
        <v>46312</v>
      </c>
      <c r="F2344" t="inlineStr">
        <is>
          <t>SKÅNE LÄN</t>
        </is>
      </c>
      <c r="G2344" t="inlineStr">
        <is>
          <t>HÖRBY</t>
        </is>
      </c>
      <c r="H2344" t="inlineStr">
        <is>
          <t>Sveaskog</t>
        </is>
      </c>
      <c r="I2344" t="n">
        <v>1.3</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37550-2024</t>
        </is>
      </c>
      <c r="B2345" t="inlineStr">
        <is>
          <t>avverkningsanmälan</t>
        </is>
      </c>
      <c r="C2345" t="inlineStr">
        <is>
          <t>Föryngringsavverkning</t>
        </is>
      </c>
      <c r="D2345" s="1" t="n">
        <v>45541</v>
      </c>
      <c r="E2345" s="1" t="n">
        <v>46312</v>
      </c>
      <c r="F2345" t="inlineStr">
        <is>
          <t>SKÅNE LÄN</t>
        </is>
      </c>
      <c r="G2345" t="inlineStr">
        <is>
          <t>ÖSTRA GÖINGE</t>
        </is>
      </c>
      <c r="I2345" t="n">
        <v>7.1</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37559-2024</t>
        </is>
      </c>
      <c r="B2346" t="inlineStr">
        <is>
          <t>avverkningsanmälan</t>
        </is>
      </c>
      <c r="C2346" t="inlineStr">
        <is>
          <t>Föryngringsavverkning</t>
        </is>
      </c>
      <c r="D2346" s="1" t="n">
        <v>45541</v>
      </c>
      <c r="E2346" s="1" t="n">
        <v>46312</v>
      </c>
      <c r="F2346" t="inlineStr">
        <is>
          <t>SKÅNE LÄN</t>
        </is>
      </c>
      <c r="G2346" t="inlineStr">
        <is>
          <t>ÖSTRA GÖINGE</t>
        </is>
      </c>
      <c r="I2346" t="n">
        <v>6.3</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4156-2022</t>
        </is>
      </c>
      <c r="B2347" t="inlineStr">
        <is>
          <t>avverkningsanmälan</t>
        </is>
      </c>
      <c r="C2347" t="inlineStr">
        <is>
          <t>Föryngringsavverkning</t>
        </is>
      </c>
      <c r="D2347" s="1" t="n">
        <v>44588</v>
      </c>
      <c r="E2347" s="1" t="n">
        <v>46312</v>
      </c>
      <c r="F2347" t="inlineStr">
        <is>
          <t>SKÅNE LÄN</t>
        </is>
      </c>
      <c r="G2347" t="inlineStr">
        <is>
          <t>HÄSSLEHOLM</t>
        </is>
      </c>
      <c r="I2347" t="n">
        <v>0.8</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38214-2023</t>
        </is>
      </c>
      <c r="B2348" t="inlineStr">
        <is>
          <t>avverkningsanmälan</t>
        </is>
      </c>
      <c r="C2348" t="inlineStr">
        <is>
          <t>Föryngringsavverkning</t>
        </is>
      </c>
      <c r="D2348" s="1" t="n">
        <v>45161</v>
      </c>
      <c r="E2348" s="1" t="n">
        <v>46312</v>
      </c>
      <c r="F2348" t="inlineStr">
        <is>
          <t>SKÅNE LÄN</t>
        </is>
      </c>
      <c r="G2348" t="inlineStr">
        <is>
          <t>ÖRKELLJUNGA</t>
        </is>
      </c>
      <c r="I2348" t="n">
        <v>3.6</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22231-2026</t>
        </is>
      </c>
      <c r="B2349" t="inlineStr">
        <is>
          <t>avverkningsanmälan</t>
        </is>
      </c>
      <c r="C2349" t="inlineStr">
        <is>
          <t>Föryngringsavverkning</t>
        </is>
      </c>
      <c r="D2349" s="1" t="n">
        <v>46153</v>
      </c>
      <c r="E2349" s="1" t="n">
        <v>46312</v>
      </c>
      <c r="F2349" t="inlineStr">
        <is>
          <t>SKÅNE LÄN</t>
        </is>
      </c>
      <c r="G2349" t="inlineStr">
        <is>
          <t>OSBY</t>
        </is>
      </c>
      <c r="I2349" t="n">
        <v>1.4</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38324-2023</t>
        </is>
      </c>
      <c r="B2350" t="inlineStr">
        <is>
          <t>avverkningsanmälan</t>
        </is>
      </c>
      <c r="C2350" t="inlineStr">
        <is>
          <t>Föryngringsavverkning</t>
        </is>
      </c>
      <c r="D2350" s="1" t="n">
        <v>45161</v>
      </c>
      <c r="E2350" s="1" t="n">
        <v>46312</v>
      </c>
      <c r="F2350" t="inlineStr">
        <is>
          <t>SKÅNE LÄN</t>
        </is>
      </c>
      <c r="G2350" t="inlineStr">
        <is>
          <t>PERSTORP</t>
        </is>
      </c>
      <c r="I2350" t="n">
        <v>1</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25388-2023</t>
        </is>
      </c>
      <c r="B2351" t="inlineStr">
        <is>
          <t>avverkningsanmälan</t>
        </is>
      </c>
      <c r="C2351" t="inlineStr">
        <is>
          <t>Föryngringsavverkning</t>
        </is>
      </c>
      <c r="D2351" s="1" t="n">
        <v>45089</v>
      </c>
      <c r="E2351" s="1" t="n">
        <v>46312</v>
      </c>
      <c r="F2351" t="inlineStr">
        <is>
          <t>SKÅNE LÄN</t>
        </is>
      </c>
      <c r="G2351" t="inlineStr">
        <is>
          <t>ESLÖV</t>
        </is>
      </c>
      <c r="I2351" t="n">
        <v>0.5</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36280-2025</t>
        </is>
      </c>
      <c r="B2352" t="inlineStr">
        <is>
          <t>avverkningsanmälan</t>
        </is>
      </c>
      <c r="C2352" t="inlineStr">
        <is>
          <t>Avverkning för annat ändamål</t>
        </is>
      </c>
      <c r="D2352" s="1" t="n">
        <v>45867</v>
      </c>
      <c r="E2352" s="1" t="n">
        <v>46312</v>
      </c>
      <c r="F2352" t="inlineStr">
        <is>
          <t>SKÅNE LÄN</t>
        </is>
      </c>
      <c r="G2352" t="inlineStr">
        <is>
          <t>ÖRKELLJUNGA</t>
        </is>
      </c>
      <c r="I2352" t="n">
        <v>0.6</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10961-2025</t>
        </is>
      </c>
      <c r="B2353" t="inlineStr">
        <is>
          <t>avverkningsanmälan</t>
        </is>
      </c>
      <c r="C2353" t="inlineStr">
        <is>
          <t>Föryngringsavverkning</t>
        </is>
      </c>
      <c r="D2353" s="1" t="n">
        <v>45723</v>
      </c>
      <c r="E2353" s="1" t="n">
        <v>46312</v>
      </c>
      <c r="F2353" t="inlineStr">
        <is>
          <t>SKÅNE LÄN</t>
        </is>
      </c>
      <c r="G2353" t="inlineStr">
        <is>
          <t>KRISTIANSTAD</t>
        </is>
      </c>
      <c r="I2353" t="n">
        <v>2.7</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22794-2024</t>
        </is>
      </c>
      <c r="B2354" t="inlineStr">
        <is>
          <t>avverkningsanmälan</t>
        </is>
      </c>
      <c r="C2354" t="inlineStr">
        <is>
          <t>Föryngringsavverkning</t>
        </is>
      </c>
      <c r="D2354" s="1" t="n">
        <v>45448</v>
      </c>
      <c r="E2354" s="1" t="n">
        <v>46312</v>
      </c>
      <c r="F2354" t="inlineStr">
        <is>
          <t>SKÅNE LÄN</t>
        </is>
      </c>
      <c r="G2354" t="inlineStr">
        <is>
          <t>SVALÖV</t>
        </is>
      </c>
      <c r="I2354" t="n">
        <v>3.8</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51640-2025</t>
        </is>
      </c>
      <c r="B2355" t="inlineStr">
        <is>
          <t>avverkningsanmälan</t>
        </is>
      </c>
      <c r="C2355" t="inlineStr">
        <is>
          <t>Föryngringsavverkning</t>
        </is>
      </c>
      <c r="D2355" s="1" t="n">
        <v>45951</v>
      </c>
      <c r="E2355" s="1" t="n">
        <v>46312</v>
      </c>
      <c r="F2355" t="inlineStr">
        <is>
          <t>SKÅNE LÄN</t>
        </is>
      </c>
      <c r="G2355" t="inlineStr">
        <is>
          <t>HÄSSLEHOLM</t>
        </is>
      </c>
      <c r="I2355" t="n">
        <v>0.9</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13211-2023</t>
        </is>
      </c>
      <c r="B2356" t="inlineStr">
        <is>
          <t>avverkningsanmälan</t>
        </is>
      </c>
      <c r="C2356" t="inlineStr">
        <is>
          <t>Föryngringsavverkning</t>
        </is>
      </c>
      <c r="D2356" s="1" t="n">
        <v>45002</v>
      </c>
      <c r="E2356" s="1" t="n">
        <v>46312</v>
      </c>
      <c r="F2356" t="inlineStr">
        <is>
          <t>SKÅNE LÄN</t>
        </is>
      </c>
      <c r="G2356" t="inlineStr">
        <is>
          <t>KRISTIANSTAD</t>
        </is>
      </c>
      <c r="H2356" t="inlineStr">
        <is>
          <t>Kyrkan</t>
        </is>
      </c>
      <c r="I2356" t="n">
        <v>0.4</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1031-2025</t>
        </is>
      </c>
      <c r="B2357" t="inlineStr">
        <is>
          <t>avverkningsanmälan</t>
        </is>
      </c>
      <c r="C2357" t="inlineStr">
        <is>
          <t>Föryngringsavverkning</t>
        </is>
      </c>
      <c r="D2357" s="1" t="n">
        <v>45666</v>
      </c>
      <c r="E2357" s="1" t="n">
        <v>46312</v>
      </c>
      <c r="F2357" t="inlineStr">
        <is>
          <t>SKÅNE LÄN</t>
        </is>
      </c>
      <c r="G2357" t="inlineStr">
        <is>
          <t>SJÖBO</t>
        </is>
      </c>
      <c r="I2357" t="n">
        <v>1.7</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28269-2025</t>
        </is>
      </c>
      <c r="B2358" t="inlineStr">
        <is>
          <t>avverkningsanmälan</t>
        </is>
      </c>
      <c r="C2358" t="inlineStr">
        <is>
          <t>Föryngringsavverkning</t>
        </is>
      </c>
      <c r="D2358" s="1" t="n">
        <v>45818</v>
      </c>
      <c r="E2358" s="1" t="n">
        <v>46312</v>
      </c>
      <c r="F2358" t="inlineStr">
        <is>
          <t>SKÅNE LÄN</t>
        </is>
      </c>
      <c r="G2358" t="inlineStr">
        <is>
          <t>SIMRISHAMN</t>
        </is>
      </c>
      <c r="I2358" t="n">
        <v>6.7</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17699-2024</t>
        </is>
      </c>
      <c r="B2359" t="inlineStr">
        <is>
          <t>avverkningsanmälan</t>
        </is>
      </c>
      <c r="C2359" t="inlineStr">
        <is>
          <t>Föryngringsavverkning</t>
        </is>
      </c>
      <c r="D2359" s="1" t="n">
        <v>45418</v>
      </c>
      <c r="E2359" s="1" t="n">
        <v>46312</v>
      </c>
      <c r="F2359" t="inlineStr">
        <is>
          <t>SKÅNE LÄN</t>
        </is>
      </c>
      <c r="G2359" t="inlineStr">
        <is>
          <t>HÄSSLEHOLM</t>
        </is>
      </c>
      <c r="I2359" t="n">
        <v>0.5</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17702-2024</t>
        </is>
      </c>
      <c r="B2360" t="inlineStr">
        <is>
          <t>avverkningsanmälan</t>
        </is>
      </c>
      <c r="C2360" t="inlineStr">
        <is>
          <t>Föryngringsavverkning</t>
        </is>
      </c>
      <c r="D2360" s="1" t="n">
        <v>45418</v>
      </c>
      <c r="E2360" s="1" t="n">
        <v>46312</v>
      </c>
      <c r="F2360" t="inlineStr">
        <is>
          <t>SKÅNE LÄN</t>
        </is>
      </c>
      <c r="G2360" t="inlineStr">
        <is>
          <t>HÄSSLEHOLM</t>
        </is>
      </c>
      <c r="I2360" t="n">
        <v>0.8</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6101-2022</t>
        </is>
      </c>
      <c r="B2361" t="inlineStr">
        <is>
          <t>avverkningsanmälan</t>
        </is>
      </c>
      <c r="C2361" t="inlineStr">
        <is>
          <t>Föryngringsavverkning</t>
        </is>
      </c>
      <c r="D2361" s="1" t="n">
        <v>44599</v>
      </c>
      <c r="E2361" s="1" t="n">
        <v>46312</v>
      </c>
      <c r="F2361" t="inlineStr">
        <is>
          <t>SKÅNE LÄN</t>
        </is>
      </c>
      <c r="G2361" t="inlineStr">
        <is>
          <t>HÄSSLEHOLM</t>
        </is>
      </c>
      <c r="I2361" t="n">
        <v>0.6</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20113-2024</t>
        </is>
      </c>
      <c r="B2362" t="inlineStr">
        <is>
          <t>avverkningsanmälan</t>
        </is>
      </c>
      <c r="C2362" t="inlineStr">
        <is>
          <t>Föryngringsavverkning</t>
        </is>
      </c>
      <c r="D2362" s="1" t="n">
        <v>45434</v>
      </c>
      <c r="E2362" s="1" t="n">
        <v>46312</v>
      </c>
      <c r="F2362" t="inlineStr">
        <is>
          <t>SKÅNE LÄN</t>
        </is>
      </c>
      <c r="G2362" t="inlineStr">
        <is>
          <t>OSBY</t>
        </is>
      </c>
      <c r="I2362" t="n">
        <v>1.3</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59471-2024</t>
        </is>
      </c>
      <c r="B2363" t="inlineStr">
        <is>
          <t>avverkningsanmälan</t>
        </is>
      </c>
      <c r="C2363" t="inlineStr">
        <is>
          <t>Föryngringsavverkning</t>
        </is>
      </c>
      <c r="D2363" s="1" t="n">
        <v>45638</v>
      </c>
      <c r="E2363" s="1" t="n">
        <v>46312</v>
      </c>
      <c r="F2363" t="inlineStr">
        <is>
          <t>SKÅNE LÄN</t>
        </is>
      </c>
      <c r="G2363" t="inlineStr">
        <is>
          <t>BJUV</t>
        </is>
      </c>
      <c r="I2363" t="n">
        <v>1.8</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9578-2025</t>
        </is>
      </c>
      <c r="B2364" t="inlineStr">
        <is>
          <t>avverkningsanmälan</t>
        </is>
      </c>
      <c r="C2364" t="inlineStr">
        <is>
          <t>Föryngringsavverkning</t>
        </is>
      </c>
      <c r="D2364" s="1" t="n">
        <v>45715</v>
      </c>
      <c r="E2364" s="1" t="n">
        <v>46312</v>
      </c>
      <c r="F2364" t="inlineStr">
        <is>
          <t>SKÅNE LÄN</t>
        </is>
      </c>
      <c r="G2364" t="inlineStr">
        <is>
          <t>ÄNGELHOLM</t>
        </is>
      </c>
      <c r="I2364" t="n">
        <v>0.5</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16951-2025</t>
        </is>
      </c>
      <c r="B2365" t="inlineStr">
        <is>
          <t>avverkningsanmälan</t>
        </is>
      </c>
      <c r="C2365" t="inlineStr">
        <is>
          <t>Föryngringsavverkning</t>
        </is>
      </c>
      <c r="D2365" s="1" t="n">
        <v>45755</v>
      </c>
      <c r="E2365" s="1" t="n">
        <v>46312</v>
      </c>
      <c r="F2365" t="inlineStr">
        <is>
          <t>SKÅNE LÄN</t>
        </is>
      </c>
      <c r="G2365" t="inlineStr">
        <is>
          <t>HÄSSLEHOLM</t>
        </is>
      </c>
      <c r="I2365" t="n">
        <v>0.6</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17025-2025</t>
        </is>
      </c>
      <c r="B2366" t="inlineStr">
        <is>
          <t>avverkningsanmälan</t>
        </is>
      </c>
      <c r="C2366" t="inlineStr">
        <is>
          <t>Föryngringsavverkning</t>
        </is>
      </c>
      <c r="D2366" s="1" t="n">
        <v>45755</v>
      </c>
      <c r="E2366" s="1" t="n">
        <v>46312</v>
      </c>
      <c r="F2366" t="inlineStr">
        <is>
          <t>SKÅNE LÄN</t>
        </is>
      </c>
      <c r="G2366" t="inlineStr">
        <is>
          <t>KRISTIANSTAD</t>
        </is>
      </c>
      <c r="I2366" t="n">
        <v>2.2</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44853-2024</t>
        </is>
      </c>
      <c r="B2367" t="inlineStr">
        <is>
          <t>avverkningsanmälan</t>
        </is>
      </c>
      <c r="C2367" t="inlineStr">
        <is>
          <t>Föryngringsavverkning</t>
        </is>
      </c>
      <c r="D2367" s="1" t="n">
        <v>45574</v>
      </c>
      <c r="E2367" s="1" t="n">
        <v>46312</v>
      </c>
      <c r="F2367" t="inlineStr">
        <is>
          <t>SKÅNE LÄN</t>
        </is>
      </c>
      <c r="G2367" t="inlineStr">
        <is>
          <t>ÖSTRA GÖINGE</t>
        </is>
      </c>
      <c r="I2367" t="n">
        <v>1.6</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52171-2025</t>
        </is>
      </c>
      <c r="B2368" t="inlineStr">
        <is>
          <t>avverkningsanmälan</t>
        </is>
      </c>
      <c r="C2368" t="inlineStr">
        <is>
          <t>Föryngringsavverkning</t>
        </is>
      </c>
      <c r="D2368" s="1" t="n">
        <v>45953</v>
      </c>
      <c r="E2368" s="1" t="n">
        <v>46312</v>
      </c>
      <c r="F2368" t="inlineStr">
        <is>
          <t>SKÅNE LÄN</t>
        </is>
      </c>
      <c r="G2368" t="inlineStr">
        <is>
          <t>KRISTIANSTAD</t>
        </is>
      </c>
      <c r="I2368" t="n">
        <v>3.3</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21767-2023</t>
        </is>
      </c>
      <c r="B2369" t="inlineStr">
        <is>
          <t>avverkningsanmälan</t>
        </is>
      </c>
      <c r="C2369" t="inlineStr">
        <is>
          <t>Föryngringsavverkning</t>
        </is>
      </c>
      <c r="D2369" s="1" t="n">
        <v>45065</v>
      </c>
      <c r="E2369" s="1" t="n">
        <v>46312</v>
      </c>
      <c r="F2369" t="inlineStr">
        <is>
          <t>SKÅNE LÄN</t>
        </is>
      </c>
      <c r="G2369" t="inlineStr">
        <is>
          <t>LUND</t>
        </is>
      </c>
      <c r="I2369" t="n">
        <v>1.9</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32620-2023</t>
        </is>
      </c>
      <c r="B2370" t="inlineStr">
        <is>
          <t>avverkningsanmälan</t>
        </is>
      </c>
      <c r="C2370" t="inlineStr">
        <is>
          <t>Föryngringsavverkning</t>
        </is>
      </c>
      <c r="D2370" s="1" t="n">
        <v>45111</v>
      </c>
      <c r="E2370" s="1" t="n">
        <v>46312</v>
      </c>
      <c r="F2370" t="inlineStr">
        <is>
          <t>SKÅNE LÄN</t>
        </is>
      </c>
      <c r="G2370" t="inlineStr">
        <is>
          <t>SVALÖV</t>
        </is>
      </c>
      <c r="I2370" t="n">
        <v>1.4</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7387-2022</t>
        </is>
      </c>
      <c r="B2371" t="inlineStr">
        <is>
          <t>avverkningsanmälan</t>
        </is>
      </c>
      <c r="C2371" t="inlineStr">
        <is>
          <t>Föryngringsavverkning</t>
        </is>
      </c>
      <c r="D2371" s="1" t="n">
        <v>44606</v>
      </c>
      <c r="E2371" s="1" t="n">
        <v>46312</v>
      </c>
      <c r="F2371" t="inlineStr">
        <is>
          <t>SKÅNE LÄN</t>
        </is>
      </c>
      <c r="G2371" t="inlineStr">
        <is>
          <t>ÖSTRA GÖINGE</t>
        </is>
      </c>
      <c r="I2371" t="n">
        <v>0.8</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58279-2024</t>
        </is>
      </c>
      <c r="B2372" t="inlineStr">
        <is>
          <t>avverkningsanmälan</t>
        </is>
      </c>
      <c r="C2372" t="inlineStr">
        <is>
          <t>Föryngringsavverkning</t>
        </is>
      </c>
      <c r="D2372" s="1" t="n">
        <v>45632</v>
      </c>
      <c r="E2372" s="1" t="n">
        <v>46312</v>
      </c>
      <c r="F2372" t="inlineStr">
        <is>
          <t>SKÅNE LÄN</t>
        </is>
      </c>
      <c r="G2372" t="inlineStr">
        <is>
          <t>ÖSTRA GÖINGE</t>
        </is>
      </c>
      <c r="I2372" t="n">
        <v>9.4</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59601-2023</t>
        </is>
      </c>
      <c r="B2373" t="inlineStr">
        <is>
          <t>avverkningsanmälan</t>
        </is>
      </c>
      <c r="C2373" t="inlineStr">
        <is>
          <t>Föryngringsavverkning</t>
        </is>
      </c>
      <c r="D2373" s="1" t="n">
        <v>45254</v>
      </c>
      <c r="E2373" s="1" t="n">
        <v>46312</v>
      </c>
      <c r="F2373" t="inlineStr">
        <is>
          <t>SKÅNE LÄN</t>
        </is>
      </c>
      <c r="G2373" t="inlineStr">
        <is>
          <t>ÖSTRA GÖINGE</t>
        </is>
      </c>
      <c r="I2373" t="n">
        <v>1.3</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35825-2023</t>
        </is>
      </c>
      <c r="B2374" t="inlineStr">
        <is>
          <t>avverkningsanmälan</t>
        </is>
      </c>
      <c r="C2374" t="inlineStr">
        <is>
          <t>Föryngringsavverkning</t>
        </is>
      </c>
      <c r="D2374" s="1" t="n">
        <v>45147</v>
      </c>
      <c r="E2374" s="1" t="n">
        <v>46312</v>
      </c>
      <c r="F2374" t="inlineStr">
        <is>
          <t>SKÅNE LÄN</t>
        </is>
      </c>
      <c r="G2374" t="inlineStr">
        <is>
          <t>ÖSTRA GÖINGE</t>
        </is>
      </c>
      <c r="I2374" t="n">
        <v>4.2</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61711-2024</t>
        </is>
      </c>
      <c r="B2375" t="inlineStr">
        <is>
          <t>avverkningsanmälan</t>
        </is>
      </c>
      <c r="C2375" t="inlineStr">
        <is>
          <t>Föryngringsavverkning</t>
        </is>
      </c>
      <c r="D2375" s="1" t="n">
        <v>45648</v>
      </c>
      <c r="E2375" s="1" t="n">
        <v>46312</v>
      </c>
      <c r="F2375" t="inlineStr">
        <is>
          <t>SKÅNE LÄN</t>
        </is>
      </c>
      <c r="G2375" t="inlineStr">
        <is>
          <t>OSBY</t>
        </is>
      </c>
      <c r="I2375" t="n">
        <v>3.2</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16614-2025</t>
        </is>
      </c>
      <c r="B2376" t="inlineStr">
        <is>
          <t>avverkningsanmälan</t>
        </is>
      </c>
      <c r="C2376" t="inlineStr">
        <is>
          <t>Föryngringsavverkning</t>
        </is>
      </c>
      <c r="D2376" s="1" t="n">
        <v>45754</v>
      </c>
      <c r="E2376" s="1" t="n">
        <v>46312</v>
      </c>
      <c r="F2376" t="inlineStr">
        <is>
          <t>SKÅNE LÄN</t>
        </is>
      </c>
      <c r="G2376" t="inlineStr">
        <is>
          <t>HÄSSLEHOLM</t>
        </is>
      </c>
      <c r="I2376" t="n">
        <v>1</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3888-2024</t>
        </is>
      </c>
      <c r="B2377" t="inlineStr">
        <is>
          <t>avverkningsanmälan</t>
        </is>
      </c>
      <c r="C2377" t="inlineStr">
        <is>
          <t>Föryngringsavverkning</t>
        </is>
      </c>
      <c r="D2377" s="1" t="n">
        <v>45322</v>
      </c>
      <c r="E2377" s="1" t="n">
        <v>46312</v>
      </c>
      <c r="F2377" t="inlineStr">
        <is>
          <t>SKÅNE LÄN</t>
        </is>
      </c>
      <c r="G2377" t="inlineStr">
        <is>
          <t>HÄSSLEHOLM</t>
        </is>
      </c>
      <c r="I2377" t="n">
        <v>2.4</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3889-2024</t>
        </is>
      </c>
      <c r="B2378" t="inlineStr">
        <is>
          <t>avverkningsanmälan</t>
        </is>
      </c>
      <c r="C2378" t="inlineStr">
        <is>
          <t>Föryngringsavverkning</t>
        </is>
      </c>
      <c r="D2378" s="1" t="n">
        <v>45322</v>
      </c>
      <c r="E2378" s="1" t="n">
        <v>46312</v>
      </c>
      <c r="F2378" t="inlineStr">
        <is>
          <t>SKÅNE LÄN</t>
        </is>
      </c>
      <c r="G2378" t="inlineStr">
        <is>
          <t>HÄSSLEHOLM</t>
        </is>
      </c>
      <c r="I2378" t="n">
        <v>1.4</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3294-2025</t>
        </is>
      </c>
      <c r="B2379" t="inlineStr">
        <is>
          <t>avverkningsanmälan</t>
        </is>
      </c>
      <c r="C2379" t="inlineStr">
        <is>
          <t>Föryngringsavverkning</t>
        </is>
      </c>
      <c r="D2379" s="1" t="n">
        <v>45679</v>
      </c>
      <c r="E2379" s="1" t="n">
        <v>46312</v>
      </c>
      <c r="F2379" t="inlineStr">
        <is>
          <t>SKÅNE LÄN</t>
        </is>
      </c>
      <c r="G2379" t="inlineStr">
        <is>
          <t>HÄSSLEHOLM</t>
        </is>
      </c>
      <c r="I2379" t="n">
        <v>0.6</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4610-2024</t>
        </is>
      </c>
      <c r="B2380" t="inlineStr">
        <is>
          <t>avverkningsanmälan</t>
        </is>
      </c>
      <c r="C2380" t="inlineStr">
        <is>
          <t>Föryngringsavverkning</t>
        </is>
      </c>
      <c r="D2380" s="1" t="n">
        <v>45328</v>
      </c>
      <c r="E2380" s="1" t="n">
        <v>46312</v>
      </c>
      <c r="F2380" t="inlineStr">
        <is>
          <t>SKÅNE LÄN</t>
        </is>
      </c>
      <c r="G2380" t="inlineStr">
        <is>
          <t>KRISTIANSTAD</t>
        </is>
      </c>
      <c r="I2380" t="n">
        <v>1.4</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9669-2025</t>
        </is>
      </c>
      <c r="B2381" t="inlineStr">
        <is>
          <t>avverkningsanmälan</t>
        </is>
      </c>
      <c r="C2381" t="inlineStr">
        <is>
          <t>Föryngringsavverkning</t>
        </is>
      </c>
      <c r="D2381" s="1" t="n">
        <v>45716</v>
      </c>
      <c r="E2381" s="1" t="n">
        <v>46312</v>
      </c>
      <c r="F2381" t="inlineStr">
        <is>
          <t>SKÅNE LÄN</t>
        </is>
      </c>
      <c r="G2381" t="inlineStr">
        <is>
          <t>HÄSSLEHOLM</t>
        </is>
      </c>
      <c r="I2381" t="n">
        <v>0.5</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43054-2025</t>
        </is>
      </c>
      <c r="B2382" t="inlineStr">
        <is>
          <t>avverkningsanmälan</t>
        </is>
      </c>
      <c r="C2382" t="inlineStr">
        <is>
          <t>Föryngringsavverkning</t>
        </is>
      </c>
      <c r="D2382" s="1" t="n">
        <v>45909</v>
      </c>
      <c r="E2382" s="1" t="n">
        <v>46312</v>
      </c>
      <c r="F2382" t="inlineStr">
        <is>
          <t>SKÅNE LÄN</t>
        </is>
      </c>
      <c r="G2382" t="inlineStr">
        <is>
          <t>ÖSTRA GÖINGE</t>
        </is>
      </c>
      <c r="I2382" t="n">
        <v>2.4</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31995-2023</t>
        </is>
      </c>
      <c r="B2383" t="inlineStr">
        <is>
          <t>avverkningsanmälan</t>
        </is>
      </c>
      <c r="C2383" t="inlineStr">
        <is>
          <t>Föryngringsavverkning</t>
        </is>
      </c>
      <c r="D2383" s="1" t="n">
        <v>45107</v>
      </c>
      <c r="E2383" s="1" t="n">
        <v>46312</v>
      </c>
      <c r="F2383" t="inlineStr">
        <is>
          <t>SKÅNE LÄN</t>
        </is>
      </c>
      <c r="G2383" t="inlineStr">
        <is>
          <t>HÄSSLEHOLM</t>
        </is>
      </c>
      <c r="I2383" t="n">
        <v>7.3</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31998-2023</t>
        </is>
      </c>
      <c r="B2384" t="inlineStr">
        <is>
          <t>avverkningsanmälan</t>
        </is>
      </c>
      <c r="C2384" t="inlineStr">
        <is>
          <t>Föryngringsavverkning</t>
        </is>
      </c>
      <c r="D2384" s="1" t="n">
        <v>45119</v>
      </c>
      <c r="E2384" s="1" t="n">
        <v>46312</v>
      </c>
      <c r="F2384" t="inlineStr">
        <is>
          <t>SKÅNE LÄN</t>
        </is>
      </c>
      <c r="G2384" t="inlineStr">
        <is>
          <t>HÄSSLEHOLM</t>
        </is>
      </c>
      <c r="I2384" t="n">
        <v>1.8</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32001-2023</t>
        </is>
      </c>
      <c r="B2385" t="inlineStr">
        <is>
          <t>avverkningsanmälan</t>
        </is>
      </c>
      <c r="C2385" t="inlineStr">
        <is>
          <t>Föryngringsavverkning</t>
        </is>
      </c>
      <c r="D2385" s="1" t="n">
        <v>45119</v>
      </c>
      <c r="E2385" s="1" t="n">
        <v>46312</v>
      </c>
      <c r="F2385" t="inlineStr">
        <is>
          <t>SKÅNE LÄN</t>
        </is>
      </c>
      <c r="G2385" t="inlineStr">
        <is>
          <t>OSBY</t>
        </is>
      </c>
      <c r="I2385" t="n">
        <v>0.8</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60474-2022</t>
        </is>
      </c>
      <c r="B2386" t="inlineStr">
        <is>
          <t>avverkningsanmälan</t>
        </is>
      </c>
      <c r="C2386" t="inlineStr">
        <is>
          <t>Föryngringsavverkning</t>
        </is>
      </c>
      <c r="D2386" s="1" t="n">
        <v>44904</v>
      </c>
      <c r="E2386" s="1" t="n">
        <v>46312</v>
      </c>
      <c r="F2386" t="inlineStr">
        <is>
          <t>SKÅNE LÄN</t>
        </is>
      </c>
      <c r="G2386" t="inlineStr">
        <is>
          <t>KRISTIANSTAD</t>
        </is>
      </c>
      <c r="I2386" t="n">
        <v>3.4</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52930-2025</t>
        </is>
      </c>
      <c r="B2387" t="inlineStr">
        <is>
          <t>avverkningsanmälan</t>
        </is>
      </c>
      <c r="C2387" t="inlineStr">
        <is>
          <t>Föryngringsavverkning</t>
        </is>
      </c>
      <c r="D2387" s="1" t="n">
        <v>45957</v>
      </c>
      <c r="E2387" s="1" t="n">
        <v>46312</v>
      </c>
      <c r="F2387" t="inlineStr">
        <is>
          <t>SKÅNE LÄN</t>
        </is>
      </c>
      <c r="G2387" t="inlineStr">
        <is>
          <t>HÖRBY</t>
        </is>
      </c>
      <c r="H2387" t="inlineStr">
        <is>
          <t>Sveaskog</t>
        </is>
      </c>
      <c r="I2387" t="n">
        <v>1.6</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22552-2026</t>
        </is>
      </c>
      <c r="B2388" t="inlineStr">
        <is>
          <t>avverkningsanmälan</t>
        </is>
      </c>
      <c r="C2388" t="inlineStr">
        <is>
          <t>Föryngringsavverkning</t>
        </is>
      </c>
      <c r="D2388" s="1" t="n">
        <v>46155</v>
      </c>
      <c r="E2388" s="1" t="n">
        <v>46312</v>
      </c>
      <c r="F2388" t="inlineStr">
        <is>
          <t>SKÅNE LÄN</t>
        </is>
      </c>
      <c r="G2388" t="inlineStr">
        <is>
          <t>ÖRKELLJUNGA</t>
        </is>
      </c>
      <c r="I2388" t="n">
        <v>0.5</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52519-2025</t>
        </is>
      </c>
      <c r="B2389" t="inlineStr">
        <is>
          <t>avverkningsanmälan</t>
        </is>
      </c>
      <c r="C2389" t="inlineStr">
        <is>
          <t>Föryngringsavverkning</t>
        </is>
      </c>
      <c r="D2389" s="1" t="n">
        <v>45954</v>
      </c>
      <c r="E2389" s="1" t="n">
        <v>46312</v>
      </c>
      <c r="F2389" t="inlineStr">
        <is>
          <t>SKÅNE LÄN</t>
        </is>
      </c>
      <c r="G2389" t="inlineStr">
        <is>
          <t>ÄNGELHOLM</t>
        </is>
      </c>
      <c r="I2389" t="n">
        <v>0.7</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5163-2024</t>
        </is>
      </c>
      <c r="B2390" t="inlineStr">
        <is>
          <t>avverkningsanmälan</t>
        </is>
      </c>
      <c r="C2390" t="inlineStr">
        <is>
          <t>Föryngringsavverkning</t>
        </is>
      </c>
      <c r="D2390" s="1" t="n">
        <v>45330</v>
      </c>
      <c r="E2390" s="1" t="n">
        <v>46312</v>
      </c>
      <c r="F2390" t="inlineStr">
        <is>
          <t>SKÅNE LÄN</t>
        </is>
      </c>
      <c r="G2390" t="inlineStr">
        <is>
          <t>HÖRBY</t>
        </is>
      </c>
      <c r="H2390" t="inlineStr">
        <is>
          <t>Kyrkan</t>
        </is>
      </c>
      <c r="I2390" t="n">
        <v>7.1</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3498-2024</t>
        </is>
      </c>
      <c r="B2391" t="inlineStr">
        <is>
          <t>avverkningsanmälan</t>
        </is>
      </c>
      <c r="C2391" t="inlineStr">
        <is>
          <t>Föryngringsavverkning</t>
        </is>
      </c>
      <c r="D2391" s="1" t="n">
        <v>45320</v>
      </c>
      <c r="E2391" s="1" t="n">
        <v>46312</v>
      </c>
      <c r="F2391" t="inlineStr">
        <is>
          <t>SKÅNE LÄN</t>
        </is>
      </c>
      <c r="G2391" t="inlineStr">
        <is>
          <t>KLIPPAN</t>
        </is>
      </c>
      <c r="I2391" t="n">
        <v>0.9</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7059-2025</t>
        </is>
      </c>
      <c r="B2392" t="inlineStr">
        <is>
          <t>avverkningsanmälan</t>
        </is>
      </c>
      <c r="C2392" t="inlineStr">
        <is>
          <t>Föryngringsavverkning</t>
        </is>
      </c>
      <c r="D2392" s="1" t="n">
        <v>45701</v>
      </c>
      <c r="E2392" s="1" t="n">
        <v>46312</v>
      </c>
      <c r="F2392" t="inlineStr">
        <is>
          <t>SKÅNE LÄN</t>
        </is>
      </c>
      <c r="G2392" t="inlineStr">
        <is>
          <t>SJÖBO</t>
        </is>
      </c>
      <c r="I2392" t="n">
        <v>1.3</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52929-2025</t>
        </is>
      </c>
      <c r="B2393" t="inlineStr">
        <is>
          <t>avverkningsanmälan</t>
        </is>
      </c>
      <c r="C2393" t="inlineStr">
        <is>
          <t>Föryngringsavverkning</t>
        </is>
      </c>
      <c r="D2393" s="1" t="n">
        <v>45957</v>
      </c>
      <c r="E2393" s="1" t="n">
        <v>46312</v>
      </c>
      <c r="F2393" t="inlineStr">
        <is>
          <t>SKÅNE LÄN</t>
        </is>
      </c>
      <c r="G2393" t="inlineStr">
        <is>
          <t>HÖRBY</t>
        </is>
      </c>
      <c r="H2393" t="inlineStr">
        <is>
          <t>Sveaskog</t>
        </is>
      </c>
      <c r="I2393" t="n">
        <v>8.300000000000001</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7150-2025</t>
        </is>
      </c>
      <c r="B2394" t="inlineStr">
        <is>
          <t>avverkningsanmälan</t>
        </is>
      </c>
      <c r="C2394" t="inlineStr">
        <is>
          <t>Föryngringsavverkning</t>
        </is>
      </c>
      <c r="D2394" s="1" t="n">
        <v>45702</v>
      </c>
      <c r="E2394" s="1" t="n">
        <v>46312</v>
      </c>
      <c r="F2394" t="inlineStr">
        <is>
          <t>SKÅNE LÄN</t>
        </is>
      </c>
      <c r="G2394" t="inlineStr">
        <is>
          <t>HÄSSLEHOLM</t>
        </is>
      </c>
      <c r="I2394" t="n">
        <v>2.3</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41294-2022</t>
        </is>
      </c>
      <c r="B2395" t="inlineStr">
        <is>
          <t>avverkningsanmälan</t>
        </is>
      </c>
      <c r="C2395" t="inlineStr">
        <is>
          <t>Föryngringsavverkning</t>
        </is>
      </c>
      <c r="D2395" s="1" t="n">
        <v>44825</v>
      </c>
      <c r="E2395" s="1" t="n">
        <v>46312</v>
      </c>
      <c r="F2395" t="inlineStr">
        <is>
          <t>SKÅNE LÄN</t>
        </is>
      </c>
      <c r="G2395" t="inlineStr">
        <is>
          <t>KLIPPAN</t>
        </is>
      </c>
      <c r="I2395" t="n">
        <v>6.1</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40463-2025</t>
        </is>
      </c>
      <c r="B2396" t="inlineStr">
        <is>
          <t>avverkningsanmälan</t>
        </is>
      </c>
      <c r="C2396" t="inlineStr">
        <is>
          <t>Föryngringsavverkning</t>
        </is>
      </c>
      <c r="D2396" s="1" t="n">
        <v>45895</v>
      </c>
      <c r="E2396" s="1" t="n">
        <v>46312</v>
      </c>
      <c r="F2396" t="inlineStr">
        <is>
          <t>SKÅNE LÄN</t>
        </is>
      </c>
      <c r="G2396" t="inlineStr">
        <is>
          <t>SJÖBO</t>
        </is>
      </c>
      <c r="I2396" t="n">
        <v>7.2</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43930-2025</t>
        </is>
      </c>
      <c r="B2397" t="inlineStr">
        <is>
          <t>avverkningsanmälan</t>
        </is>
      </c>
      <c r="C2397" t="inlineStr">
        <is>
          <t>Föryngringsavverkning</t>
        </is>
      </c>
      <c r="D2397" s="1" t="n">
        <v>45915</v>
      </c>
      <c r="E2397" s="1" t="n">
        <v>46312</v>
      </c>
      <c r="F2397" t="inlineStr">
        <is>
          <t>SKÅNE LÄN</t>
        </is>
      </c>
      <c r="G2397" t="inlineStr">
        <is>
          <t>OSBY</t>
        </is>
      </c>
      <c r="I2397" t="n">
        <v>0.9</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34649-2023</t>
        </is>
      </c>
      <c r="B2398" t="inlineStr">
        <is>
          <t>avverkningsanmälan</t>
        </is>
      </c>
      <c r="C2398" t="inlineStr">
        <is>
          <t>Föryngringsavverkning</t>
        </is>
      </c>
      <c r="D2398" s="1" t="n">
        <v>45139</v>
      </c>
      <c r="E2398" s="1" t="n">
        <v>46312</v>
      </c>
      <c r="F2398" t="inlineStr">
        <is>
          <t>SKÅNE LÄN</t>
        </is>
      </c>
      <c r="G2398" t="inlineStr">
        <is>
          <t>ÖSTRA GÖINGE</t>
        </is>
      </c>
      <c r="I2398" t="n">
        <v>1</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30040-2024</t>
        </is>
      </c>
      <c r="B2399" t="inlineStr">
        <is>
          <t>avverkningsanmälan</t>
        </is>
      </c>
      <c r="C2399" t="inlineStr">
        <is>
          <t>Avverkning för annat ändamål</t>
        </is>
      </c>
      <c r="D2399" s="1" t="n">
        <v>45488</v>
      </c>
      <c r="E2399" s="1" t="n">
        <v>46312</v>
      </c>
      <c r="F2399" t="inlineStr">
        <is>
          <t>SKÅNE LÄN</t>
        </is>
      </c>
      <c r="G2399" t="inlineStr">
        <is>
          <t>TOMELILLA</t>
        </is>
      </c>
      <c r="I2399" t="n">
        <v>4.3</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8929-2026</t>
        </is>
      </c>
      <c r="B2400" t="inlineStr">
        <is>
          <t>avverkningsanmälan</t>
        </is>
      </c>
      <c r="C2400" t="inlineStr">
        <is>
          <t>Föryngringsavverkning</t>
        </is>
      </c>
      <c r="D2400" s="1" t="n">
        <v>46069</v>
      </c>
      <c r="E2400" s="1" t="n">
        <v>46312</v>
      </c>
      <c r="F2400" t="inlineStr">
        <is>
          <t>SKÅNE LÄN</t>
        </is>
      </c>
      <c r="G2400" t="inlineStr">
        <is>
          <t>ÅSTORP</t>
        </is>
      </c>
      <c r="I2400" t="n">
        <v>1.2</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20185-2023</t>
        </is>
      </c>
      <c r="B2401" t="inlineStr">
        <is>
          <t>avverkningsanmälan</t>
        </is>
      </c>
      <c r="C2401" t="inlineStr">
        <is>
          <t>Föryngringsavverkning</t>
        </is>
      </c>
      <c r="D2401" s="1" t="n">
        <v>45055</v>
      </c>
      <c r="E2401" s="1" t="n">
        <v>46312</v>
      </c>
      <c r="F2401" t="inlineStr">
        <is>
          <t>SKÅNE LÄN</t>
        </is>
      </c>
      <c r="G2401" t="inlineStr">
        <is>
          <t>HÄSSLEHOLM</t>
        </is>
      </c>
      <c r="I2401" t="n">
        <v>3.5</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46504-2022</t>
        </is>
      </c>
      <c r="B2402" t="inlineStr">
        <is>
          <t>avverkningsanmälan</t>
        </is>
      </c>
      <c r="C2402" t="inlineStr">
        <is>
          <t>Föryngringsavverkning</t>
        </is>
      </c>
      <c r="D2402" s="1" t="n">
        <v>44847</v>
      </c>
      <c r="E2402" s="1" t="n">
        <v>46312</v>
      </c>
      <c r="F2402" t="inlineStr">
        <is>
          <t>SKÅNE LÄN</t>
        </is>
      </c>
      <c r="G2402" t="inlineStr">
        <is>
          <t>KRISTIANSTAD</t>
        </is>
      </c>
      <c r="I2402" t="n">
        <v>5.6</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43478-2023</t>
        </is>
      </c>
      <c r="B2403" t="inlineStr">
        <is>
          <t>avverkningsanmälan</t>
        </is>
      </c>
      <c r="C2403" t="inlineStr">
        <is>
          <t>Föryngringsavverkning</t>
        </is>
      </c>
      <c r="D2403" s="1" t="n">
        <v>45184</v>
      </c>
      <c r="E2403" s="1" t="n">
        <v>46312</v>
      </c>
      <c r="F2403" t="inlineStr">
        <is>
          <t>SKÅNE LÄN</t>
        </is>
      </c>
      <c r="G2403" t="inlineStr">
        <is>
          <t>ÖSTRA GÖINGE</t>
        </is>
      </c>
      <c r="I2403" t="n">
        <v>1.3</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39097-2024</t>
        </is>
      </c>
      <c r="B2404" t="inlineStr">
        <is>
          <t>avverkningsanmälan</t>
        </is>
      </c>
      <c r="C2404" t="inlineStr">
        <is>
          <t>Föryngringsavverkning</t>
        </is>
      </c>
      <c r="D2404" s="1" t="n">
        <v>45548</v>
      </c>
      <c r="E2404" s="1" t="n">
        <v>46312</v>
      </c>
      <c r="F2404" t="inlineStr">
        <is>
          <t>SKÅNE LÄN</t>
        </is>
      </c>
      <c r="G2404" t="inlineStr">
        <is>
          <t>KLIPPAN</t>
        </is>
      </c>
      <c r="I2404" t="n">
        <v>4.2</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8712-2023</t>
        </is>
      </c>
      <c r="B2405" t="inlineStr">
        <is>
          <t>avverkningsanmälan</t>
        </is>
      </c>
      <c r="C2405" t="inlineStr">
        <is>
          <t>Föryngringsavverkning</t>
        </is>
      </c>
      <c r="D2405" s="1" t="n">
        <v>44978</v>
      </c>
      <c r="E2405" s="1" t="n">
        <v>46312</v>
      </c>
      <c r="F2405" t="inlineStr">
        <is>
          <t>SKÅNE LÄN</t>
        </is>
      </c>
      <c r="G2405" t="inlineStr">
        <is>
          <t>KLIPPAN</t>
        </is>
      </c>
      <c r="I2405" t="n">
        <v>0.7</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43931-2022</t>
        </is>
      </c>
      <c r="B2406" t="inlineStr">
        <is>
          <t>avverkningsanmälan</t>
        </is>
      </c>
      <c r="C2406" t="inlineStr">
        <is>
          <t>Föryngringsavverkning</t>
        </is>
      </c>
      <c r="D2406" s="1" t="n">
        <v>44838</v>
      </c>
      <c r="E2406" s="1" t="n">
        <v>46312</v>
      </c>
      <c r="F2406" t="inlineStr">
        <is>
          <t>SKÅNE LÄN</t>
        </is>
      </c>
      <c r="G2406" t="inlineStr">
        <is>
          <t>OSBY</t>
        </is>
      </c>
      <c r="I2406" t="n">
        <v>1.9</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35996-2025</t>
        </is>
      </c>
      <c r="B2407" t="inlineStr">
        <is>
          <t>avverkningsanmälan</t>
        </is>
      </c>
      <c r="C2407" t="inlineStr">
        <is>
          <t>Föryngringsavverkning</t>
        </is>
      </c>
      <c r="D2407" s="1" t="n">
        <v>45863</v>
      </c>
      <c r="E2407" s="1" t="n">
        <v>46312</v>
      </c>
      <c r="F2407" t="inlineStr">
        <is>
          <t>SKÅNE LÄN</t>
        </is>
      </c>
      <c r="G2407" t="inlineStr">
        <is>
          <t>ESLÖV</t>
        </is>
      </c>
      <c r="I2407" t="n">
        <v>0.8</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38846-2024</t>
        </is>
      </c>
      <c r="B2408" t="inlineStr">
        <is>
          <t>avverkningsanmälan</t>
        </is>
      </c>
      <c r="C2408" t="inlineStr">
        <is>
          <t>Föryngringsavverkning</t>
        </is>
      </c>
      <c r="D2408" s="1" t="n">
        <v>45547</v>
      </c>
      <c r="E2408" s="1" t="n">
        <v>46312</v>
      </c>
      <c r="F2408" t="inlineStr">
        <is>
          <t>SKÅNE LÄN</t>
        </is>
      </c>
      <c r="G2408" t="inlineStr">
        <is>
          <t>SIMRISHAMN</t>
        </is>
      </c>
      <c r="I2408" t="n">
        <v>1.4</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52406-2025</t>
        </is>
      </c>
      <c r="B2409" t="inlineStr">
        <is>
          <t>avverkningsanmälan</t>
        </is>
      </c>
      <c r="C2409" t="inlineStr">
        <is>
          <t>Föryngringsavverkning</t>
        </is>
      </c>
      <c r="D2409" s="1" t="n">
        <v>45954</v>
      </c>
      <c r="E2409" s="1" t="n">
        <v>46312</v>
      </c>
      <c r="F2409" t="inlineStr">
        <is>
          <t>SKÅNE LÄN</t>
        </is>
      </c>
      <c r="G2409" t="inlineStr">
        <is>
          <t>KRISTIANSTAD</t>
        </is>
      </c>
      <c r="H2409" t="inlineStr">
        <is>
          <t>Övriga Aktiebolag</t>
        </is>
      </c>
      <c r="I2409" t="n">
        <v>1.7</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52409-2025</t>
        </is>
      </c>
      <c r="B2410" t="inlineStr">
        <is>
          <t>avverkningsanmälan</t>
        </is>
      </c>
      <c r="C2410" t="inlineStr">
        <is>
          <t>Föryngringsavverkning</t>
        </is>
      </c>
      <c r="D2410" s="1" t="n">
        <v>45954</v>
      </c>
      <c r="E2410" s="1" t="n">
        <v>46312</v>
      </c>
      <c r="F2410" t="inlineStr">
        <is>
          <t>SKÅNE LÄN</t>
        </is>
      </c>
      <c r="G2410" t="inlineStr">
        <is>
          <t>KRISTIANSTAD</t>
        </is>
      </c>
      <c r="H2410" t="inlineStr">
        <is>
          <t>Övriga Aktiebolag</t>
        </is>
      </c>
      <c r="I2410" t="n">
        <v>12.1</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47222-2022</t>
        </is>
      </c>
      <c r="B2411" t="inlineStr">
        <is>
          <t>avverkningsanmälan</t>
        </is>
      </c>
      <c r="C2411" t="inlineStr">
        <is>
          <t>Föryngringsavverkning</t>
        </is>
      </c>
      <c r="D2411" s="1" t="n">
        <v>44852</v>
      </c>
      <c r="E2411" s="1" t="n">
        <v>46312</v>
      </c>
      <c r="F2411" t="inlineStr">
        <is>
          <t>SKÅNE LÄN</t>
        </is>
      </c>
      <c r="G2411" t="inlineStr">
        <is>
          <t>HÖÖR</t>
        </is>
      </c>
      <c r="I2411" t="n">
        <v>12.3</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35997-2025</t>
        </is>
      </c>
      <c r="B2412" t="inlineStr">
        <is>
          <t>avverkningsanmälan</t>
        </is>
      </c>
      <c r="C2412" t="inlineStr">
        <is>
          <t>Föryngringsavverkning</t>
        </is>
      </c>
      <c r="D2412" s="1" t="n">
        <v>45863</v>
      </c>
      <c r="E2412" s="1" t="n">
        <v>46312</v>
      </c>
      <c r="F2412" t="inlineStr">
        <is>
          <t>SKÅNE LÄN</t>
        </is>
      </c>
      <c r="G2412" t="inlineStr">
        <is>
          <t>ESLÖV</t>
        </is>
      </c>
      <c r="I2412" t="n">
        <v>0.9</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23739-2023</t>
        </is>
      </c>
      <c r="B2413" t="inlineStr">
        <is>
          <t>avverkningsanmälan</t>
        </is>
      </c>
      <c r="C2413" t="inlineStr">
        <is>
          <t>Föryngringsavverkning</t>
        </is>
      </c>
      <c r="D2413" s="1" t="n">
        <v>45077</v>
      </c>
      <c r="E2413" s="1" t="n">
        <v>46312</v>
      </c>
      <c r="F2413" t="inlineStr">
        <is>
          <t>SKÅNE LÄN</t>
        </is>
      </c>
      <c r="G2413" t="inlineStr">
        <is>
          <t>ÖRKELLJUNGA</t>
        </is>
      </c>
      <c r="I2413" t="n">
        <v>1.8</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53142-2025</t>
        </is>
      </c>
      <c r="B2414" t="inlineStr">
        <is>
          <t>avverkningsanmälan</t>
        </is>
      </c>
      <c r="C2414" t="inlineStr">
        <is>
          <t>Föryngringsavverkning</t>
        </is>
      </c>
      <c r="D2414" s="1" t="n">
        <v>45958</v>
      </c>
      <c r="E2414" s="1" t="n">
        <v>46312</v>
      </c>
      <c r="F2414" t="inlineStr">
        <is>
          <t>SKÅNE LÄN</t>
        </is>
      </c>
      <c r="G2414" t="inlineStr">
        <is>
          <t>ÖRKELLJUNGA</t>
        </is>
      </c>
      <c r="I2414" t="n">
        <v>0.3</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61170-2022</t>
        </is>
      </c>
      <c r="B2415" t="inlineStr">
        <is>
          <t>avverkningsanmälan</t>
        </is>
      </c>
      <c r="C2415" t="inlineStr">
        <is>
          <t>Föryngringsavverkning</t>
        </is>
      </c>
      <c r="D2415" s="1" t="n">
        <v>44915</v>
      </c>
      <c r="E2415" s="1" t="n">
        <v>46312</v>
      </c>
      <c r="F2415" t="inlineStr">
        <is>
          <t>SKÅNE LÄN</t>
        </is>
      </c>
      <c r="G2415" t="inlineStr">
        <is>
          <t>HÄSSLEHOLM</t>
        </is>
      </c>
      <c r="I2415" t="n">
        <v>1.2</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6328-2026</t>
        </is>
      </c>
      <c r="B2416" t="inlineStr">
        <is>
          <t>avverkningsanmälan</t>
        </is>
      </c>
      <c r="C2416" t="inlineStr">
        <is>
          <t>Föryngringsavverkning</t>
        </is>
      </c>
      <c r="D2416" s="1" t="n">
        <v>46055</v>
      </c>
      <c r="E2416" s="1" t="n">
        <v>46312</v>
      </c>
      <c r="F2416" t="inlineStr">
        <is>
          <t>SKÅNE LÄN</t>
        </is>
      </c>
      <c r="G2416" t="inlineStr">
        <is>
          <t>HÄSSLEHOLM</t>
        </is>
      </c>
      <c r="I2416" t="n">
        <v>1.9</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53179-2025</t>
        </is>
      </c>
      <c r="B2417" t="inlineStr">
        <is>
          <t>avverkningsanmälan</t>
        </is>
      </c>
      <c r="C2417" t="inlineStr">
        <is>
          <t>Föryngringsavverkning</t>
        </is>
      </c>
      <c r="D2417" s="1" t="n">
        <v>45958</v>
      </c>
      <c r="E2417" s="1" t="n">
        <v>46312</v>
      </c>
      <c r="F2417" t="inlineStr">
        <is>
          <t>SKÅNE LÄN</t>
        </is>
      </c>
      <c r="G2417" t="inlineStr">
        <is>
          <t>KRISTIANSTAD</t>
        </is>
      </c>
      <c r="I2417" t="n">
        <v>0.9</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15288-2026</t>
        </is>
      </c>
      <c r="B2418" t="inlineStr">
        <is>
          <t>avverkningsanmälan</t>
        </is>
      </c>
      <c r="C2418" t="inlineStr">
        <is>
          <t>Föryngringsavverkning</t>
        </is>
      </c>
      <c r="D2418" s="1" t="n">
        <v>46105</v>
      </c>
      <c r="E2418" s="1" t="n">
        <v>46312</v>
      </c>
      <c r="F2418" t="inlineStr">
        <is>
          <t>SKÅNE LÄN</t>
        </is>
      </c>
      <c r="G2418" t="inlineStr">
        <is>
          <t>TOMELILLA</t>
        </is>
      </c>
      <c r="I2418" t="n">
        <v>4.8</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53018-2025</t>
        </is>
      </c>
      <c r="B2419" t="inlineStr">
        <is>
          <t>avverkningsanmälan</t>
        </is>
      </c>
      <c r="C2419" t="inlineStr">
        <is>
          <t>Föryngringsavverkning</t>
        </is>
      </c>
      <c r="D2419" s="1" t="n">
        <v>45957</v>
      </c>
      <c r="E2419" s="1" t="n">
        <v>46312</v>
      </c>
      <c r="F2419" t="inlineStr">
        <is>
          <t>SKÅNE LÄN</t>
        </is>
      </c>
      <c r="G2419" t="inlineStr">
        <is>
          <t>HÄSSLEHOLM</t>
        </is>
      </c>
      <c r="I2419" t="n">
        <v>2.2</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22670-2026</t>
        </is>
      </c>
      <c r="B2420" t="inlineStr">
        <is>
          <t>avverkningsanmälan</t>
        </is>
      </c>
      <c r="C2420" t="inlineStr">
        <is>
          <t>Föryngringsavverkning</t>
        </is>
      </c>
      <c r="D2420" s="1" t="n">
        <v>46155</v>
      </c>
      <c r="E2420" s="1" t="n">
        <v>46312</v>
      </c>
      <c r="F2420" t="inlineStr">
        <is>
          <t>SKÅNE LÄN</t>
        </is>
      </c>
      <c r="G2420" t="inlineStr">
        <is>
          <t>OSBY</t>
        </is>
      </c>
      <c r="I2420" t="n">
        <v>1.4</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46566-2023</t>
        </is>
      </c>
      <c r="B2421" t="inlineStr">
        <is>
          <t>avverkningsanmälan</t>
        </is>
      </c>
      <c r="C2421" t="inlineStr">
        <is>
          <t>Föryngringsavverkning</t>
        </is>
      </c>
      <c r="D2421" s="1" t="n">
        <v>45198</v>
      </c>
      <c r="E2421" s="1" t="n">
        <v>46312</v>
      </c>
      <c r="F2421" t="inlineStr">
        <is>
          <t>SKÅNE LÄN</t>
        </is>
      </c>
      <c r="G2421" t="inlineStr">
        <is>
          <t>ÖSTRA GÖINGE</t>
        </is>
      </c>
      <c r="I2421" t="n">
        <v>4.2</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11040-2026</t>
        </is>
      </c>
      <c r="B2422" t="inlineStr">
        <is>
          <t>avverkningsanmälan</t>
        </is>
      </c>
      <c r="C2422" t="inlineStr">
        <is>
          <t>Föryngringsavverkning</t>
        </is>
      </c>
      <c r="D2422" s="1" t="n">
        <v>46079</v>
      </c>
      <c r="E2422" s="1" t="n">
        <v>46312</v>
      </c>
      <c r="F2422" t="inlineStr">
        <is>
          <t>SKÅNE LÄN</t>
        </is>
      </c>
      <c r="G2422" t="inlineStr">
        <is>
          <t>OSBY</t>
        </is>
      </c>
      <c r="I2422" t="n">
        <v>0.9</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48126-2024</t>
        </is>
      </c>
      <c r="B2423" t="inlineStr">
        <is>
          <t>avverkningsanmälan</t>
        </is>
      </c>
      <c r="C2423" t="inlineStr">
        <is>
          <t>Föryngringsavverkning</t>
        </is>
      </c>
      <c r="D2423" s="1" t="n">
        <v>45589</v>
      </c>
      <c r="E2423" s="1" t="n">
        <v>46312</v>
      </c>
      <c r="F2423" t="inlineStr">
        <is>
          <t>SKÅNE LÄN</t>
        </is>
      </c>
      <c r="G2423" t="inlineStr">
        <is>
          <t>OSBY</t>
        </is>
      </c>
      <c r="I2423" t="n">
        <v>2.4</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53525-2025</t>
        </is>
      </c>
      <c r="B2424" t="inlineStr">
        <is>
          <t>avverkningsanmälan</t>
        </is>
      </c>
      <c r="C2424" t="inlineStr">
        <is>
          <t>Föryngringsavverkning</t>
        </is>
      </c>
      <c r="D2424" s="1" t="n">
        <v>45960</v>
      </c>
      <c r="E2424" s="1" t="n">
        <v>46312</v>
      </c>
      <c r="F2424" t="inlineStr">
        <is>
          <t>SKÅNE LÄN</t>
        </is>
      </c>
      <c r="G2424" t="inlineStr">
        <is>
          <t>KRISTIANSTAD</t>
        </is>
      </c>
      <c r="H2424" t="inlineStr">
        <is>
          <t>Övriga Aktiebolag</t>
        </is>
      </c>
      <c r="I2424" t="n">
        <v>0.8</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34631-2025</t>
        </is>
      </c>
      <c r="B2425" t="inlineStr">
        <is>
          <t>avverkningsanmälan</t>
        </is>
      </c>
      <c r="C2425" t="inlineStr">
        <is>
          <t>Föryngringsavverkning</t>
        </is>
      </c>
      <c r="D2425" s="1" t="n">
        <v>45848</v>
      </c>
      <c r="E2425" s="1" t="n">
        <v>46312</v>
      </c>
      <c r="F2425" t="inlineStr">
        <is>
          <t>SKÅNE LÄN</t>
        </is>
      </c>
      <c r="G2425" t="inlineStr">
        <is>
          <t>ÖRKELLJUNGA</t>
        </is>
      </c>
      <c r="I2425" t="n">
        <v>2</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17996-2026</t>
        </is>
      </c>
      <c r="B2426" t="inlineStr">
        <is>
          <t>avverkningsanmälan</t>
        </is>
      </c>
      <c r="C2426" t="inlineStr">
        <is>
          <t>Föryngringsavverkning</t>
        </is>
      </c>
      <c r="D2426" s="1" t="n">
        <v>46124</v>
      </c>
      <c r="E2426" s="1" t="n">
        <v>46312</v>
      </c>
      <c r="F2426" t="inlineStr">
        <is>
          <t>SKÅNE LÄN</t>
        </is>
      </c>
      <c r="G2426" t="inlineStr">
        <is>
          <t>HÄSSLEHOLM</t>
        </is>
      </c>
      <c r="I2426" t="n">
        <v>1.4</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23050-2026</t>
        </is>
      </c>
      <c r="B2427" t="inlineStr">
        <is>
          <t>avverkningsanmälan</t>
        </is>
      </c>
      <c r="C2427" t="inlineStr">
        <is>
          <t>Föryngringsavverkning</t>
        </is>
      </c>
      <c r="D2427" s="1" t="n">
        <v>46161</v>
      </c>
      <c r="E2427" s="1" t="n">
        <v>46312</v>
      </c>
      <c r="F2427" t="inlineStr">
        <is>
          <t>SKÅNE LÄN</t>
        </is>
      </c>
      <c r="G2427" t="inlineStr">
        <is>
          <t>HÄSSLEHOLM</t>
        </is>
      </c>
      <c r="I2427" t="n">
        <v>0.9</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43629-2023</t>
        </is>
      </c>
      <c r="B2428" t="inlineStr">
        <is>
          <t>avverkningsanmälan</t>
        </is>
      </c>
      <c r="C2428" t="inlineStr">
        <is>
          <t>Föryngringsavverkning</t>
        </is>
      </c>
      <c r="D2428" s="1" t="n">
        <v>45184</v>
      </c>
      <c r="E2428" s="1" t="n">
        <v>46312</v>
      </c>
      <c r="F2428" t="inlineStr">
        <is>
          <t>SKÅNE LÄN</t>
        </is>
      </c>
      <c r="G2428" t="inlineStr">
        <is>
          <t>HÄSSLEHOLM</t>
        </is>
      </c>
      <c r="I2428" t="n">
        <v>0.5</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49073-2024</t>
        </is>
      </c>
      <c r="B2429" t="inlineStr">
        <is>
          <t>avverkningsanmälan</t>
        </is>
      </c>
      <c r="C2429" t="inlineStr">
        <is>
          <t>Föryngringsavverkning</t>
        </is>
      </c>
      <c r="D2429" s="1" t="n">
        <v>45594</v>
      </c>
      <c r="E2429" s="1" t="n">
        <v>46312</v>
      </c>
      <c r="F2429" t="inlineStr">
        <is>
          <t>SKÅNE LÄN</t>
        </is>
      </c>
      <c r="G2429" t="inlineStr">
        <is>
          <t>KLIPPAN</t>
        </is>
      </c>
      <c r="I2429" t="n">
        <v>1.5</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54282-2023</t>
        </is>
      </c>
      <c r="B2430" t="inlineStr">
        <is>
          <t>avverkningsanmälan</t>
        </is>
      </c>
      <c r="C2430" t="inlineStr">
        <is>
          <t>Föryngringsavverkning</t>
        </is>
      </c>
      <c r="D2430" s="1" t="n">
        <v>45232</v>
      </c>
      <c r="E2430" s="1" t="n">
        <v>46312</v>
      </c>
      <c r="F2430" t="inlineStr">
        <is>
          <t>SKÅNE LÄN</t>
        </is>
      </c>
      <c r="G2430" t="inlineStr">
        <is>
          <t>SVEDALA</t>
        </is>
      </c>
      <c r="I2430" t="n">
        <v>1.8</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36907-2025</t>
        </is>
      </c>
      <c r="B2431" t="inlineStr">
        <is>
          <t>avverkningsanmälan</t>
        </is>
      </c>
      <c r="C2431" t="inlineStr">
        <is>
          <t>Föryngringsavverkning</t>
        </is>
      </c>
      <c r="D2431" s="1" t="n">
        <v>45874</v>
      </c>
      <c r="E2431" s="1" t="n">
        <v>46312</v>
      </c>
      <c r="F2431" t="inlineStr">
        <is>
          <t>SKÅNE LÄN</t>
        </is>
      </c>
      <c r="G2431" t="inlineStr">
        <is>
          <t>KRISTIANSTAD</t>
        </is>
      </c>
      <c r="I2431" t="n">
        <v>3.1</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4928-2022</t>
        </is>
      </c>
      <c r="B2432" t="inlineStr">
        <is>
          <t>avverkningsanmälan</t>
        </is>
      </c>
      <c r="C2432" t="inlineStr">
        <is>
          <t>Föryngringsavverkning</t>
        </is>
      </c>
      <c r="D2432" s="1" t="n">
        <v>44593</v>
      </c>
      <c r="E2432" s="1" t="n">
        <v>46312</v>
      </c>
      <c r="F2432" t="inlineStr">
        <is>
          <t>SKÅNE LÄN</t>
        </is>
      </c>
      <c r="G2432" t="inlineStr">
        <is>
          <t>HÖÖR</t>
        </is>
      </c>
      <c r="I2432" t="n">
        <v>2.7</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12671-2025</t>
        </is>
      </c>
      <c r="B2433" t="inlineStr">
        <is>
          <t>avverkningsanmälan</t>
        </is>
      </c>
      <c r="C2433" t="inlineStr">
        <is>
          <t>Föryngringsavverkning</t>
        </is>
      </c>
      <c r="D2433" s="1" t="n">
        <v>45733</v>
      </c>
      <c r="E2433" s="1" t="n">
        <v>46312</v>
      </c>
      <c r="F2433" t="inlineStr">
        <is>
          <t>SKÅNE LÄN</t>
        </is>
      </c>
      <c r="G2433" t="inlineStr">
        <is>
          <t>ÖSTRA GÖINGE</t>
        </is>
      </c>
      <c r="I2433" t="n">
        <v>1.9</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41023-2025</t>
        </is>
      </c>
      <c r="B2434" t="inlineStr">
        <is>
          <t>avverkningsanmälan</t>
        </is>
      </c>
      <c r="C2434" t="inlineStr">
        <is>
          <t>Föryngringsavverkning</t>
        </is>
      </c>
      <c r="D2434" s="1" t="n">
        <v>45898</v>
      </c>
      <c r="E2434" s="1" t="n">
        <v>46312</v>
      </c>
      <c r="F2434" t="inlineStr">
        <is>
          <t>SKÅNE LÄN</t>
        </is>
      </c>
      <c r="G2434" t="inlineStr">
        <is>
          <t>KRISTIANSTAD</t>
        </is>
      </c>
      <c r="I2434" t="n">
        <v>1.7</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14516-2023</t>
        </is>
      </c>
      <c r="B2435" t="inlineStr">
        <is>
          <t>avverkningsanmälan</t>
        </is>
      </c>
      <c r="C2435" t="inlineStr">
        <is>
          <t>Föryngringsavverkning</t>
        </is>
      </c>
      <c r="D2435" s="1" t="n">
        <v>45012</v>
      </c>
      <c r="E2435" s="1" t="n">
        <v>46312</v>
      </c>
      <c r="F2435" t="inlineStr">
        <is>
          <t>SKÅNE LÄN</t>
        </is>
      </c>
      <c r="G2435" t="inlineStr">
        <is>
          <t>ÅSTORP</t>
        </is>
      </c>
      <c r="I2435" t="n">
        <v>0.4</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20381-2025</t>
        </is>
      </c>
      <c r="B2436" t="inlineStr">
        <is>
          <t>avverkningsanmälan</t>
        </is>
      </c>
      <c r="C2436" t="inlineStr">
        <is>
          <t>Föryngringsavverkning</t>
        </is>
      </c>
      <c r="D2436" s="1" t="n">
        <v>45775</v>
      </c>
      <c r="E2436" s="1" t="n">
        <v>46312</v>
      </c>
      <c r="F2436" t="inlineStr">
        <is>
          <t>SKÅNE LÄN</t>
        </is>
      </c>
      <c r="G2436" t="inlineStr">
        <is>
          <t>HÖÖR</t>
        </is>
      </c>
      <c r="I2436" t="n">
        <v>1.7</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13990-2022</t>
        </is>
      </c>
      <c r="B2437" t="inlineStr">
        <is>
          <t>avverkningsanmälan</t>
        </is>
      </c>
      <c r="C2437" t="inlineStr">
        <is>
          <t>Föryngringsavverkning</t>
        </is>
      </c>
      <c r="D2437" s="1" t="n">
        <v>44650</v>
      </c>
      <c r="E2437" s="1" t="n">
        <v>46312</v>
      </c>
      <c r="F2437" t="inlineStr">
        <is>
          <t>SKÅNE LÄN</t>
        </is>
      </c>
      <c r="G2437" t="inlineStr">
        <is>
          <t>HÄSSLEHOLM</t>
        </is>
      </c>
      <c r="I2437" t="n">
        <v>3.6</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481-2026</t>
        </is>
      </c>
      <c r="B2438" t="inlineStr">
        <is>
          <t>avverkningsanmälan</t>
        </is>
      </c>
      <c r="C2438" t="inlineStr">
        <is>
          <t>Föryngringsavverkning</t>
        </is>
      </c>
      <c r="D2438" s="1" t="n">
        <v>46029</v>
      </c>
      <c r="E2438" s="1" t="n">
        <v>46312</v>
      </c>
      <c r="F2438" t="inlineStr">
        <is>
          <t>SKÅNE LÄN</t>
        </is>
      </c>
      <c r="G2438" t="inlineStr">
        <is>
          <t>ÖSTRA GÖINGE</t>
        </is>
      </c>
      <c r="I2438" t="n">
        <v>1.1</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8882-2025</t>
        </is>
      </c>
      <c r="B2439" t="inlineStr">
        <is>
          <t>avverkningsanmälan</t>
        </is>
      </c>
      <c r="C2439" t="inlineStr">
        <is>
          <t>Föryngringsavverkning</t>
        </is>
      </c>
      <c r="D2439" s="1" t="n">
        <v>45713</v>
      </c>
      <c r="E2439" s="1" t="n">
        <v>46312</v>
      </c>
      <c r="F2439" t="inlineStr">
        <is>
          <t>SKÅNE LÄN</t>
        </is>
      </c>
      <c r="G2439" t="inlineStr">
        <is>
          <t>ÄNGELHOLM</t>
        </is>
      </c>
      <c r="I2439" t="n">
        <v>2.3</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18603-2025</t>
        </is>
      </c>
      <c r="B2440" t="inlineStr">
        <is>
          <t>avverkningsanmälan</t>
        </is>
      </c>
      <c r="C2440" t="inlineStr">
        <is>
          <t>Föryngringsavverkning</t>
        </is>
      </c>
      <c r="D2440" s="1" t="n">
        <v>45763</v>
      </c>
      <c r="E2440" s="1" t="n">
        <v>46312</v>
      </c>
      <c r="F2440" t="inlineStr">
        <is>
          <t>SKÅNE LÄN</t>
        </is>
      </c>
      <c r="G2440" t="inlineStr">
        <is>
          <t>HÖRBY</t>
        </is>
      </c>
      <c r="I2440" t="n">
        <v>0.5</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54711-2024</t>
        </is>
      </c>
      <c r="B2441" t="inlineStr">
        <is>
          <t>avverkningsanmälan</t>
        </is>
      </c>
      <c r="C2441" t="inlineStr">
        <is>
          <t>Föryngringsavverkning</t>
        </is>
      </c>
      <c r="D2441" s="1" t="n">
        <v>45618</v>
      </c>
      <c r="E2441" s="1" t="n">
        <v>46312</v>
      </c>
      <c r="F2441" t="inlineStr">
        <is>
          <t>SKÅNE LÄN</t>
        </is>
      </c>
      <c r="G2441" t="inlineStr">
        <is>
          <t>HÖÖR</t>
        </is>
      </c>
      <c r="I2441" t="n">
        <v>5</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25714-2025</t>
        </is>
      </c>
      <c r="B2442" t="inlineStr">
        <is>
          <t>avverkningsanmälan</t>
        </is>
      </c>
      <c r="C2442" t="inlineStr">
        <is>
          <t>Föryngringsavverkning</t>
        </is>
      </c>
      <c r="D2442" s="1" t="n">
        <v>45803</v>
      </c>
      <c r="E2442" s="1" t="n">
        <v>46312</v>
      </c>
      <c r="F2442" t="inlineStr">
        <is>
          <t>SKÅNE LÄN</t>
        </is>
      </c>
      <c r="G2442" t="inlineStr">
        <is>
          <t>KRISTIANSTAD</t>
        </is>
      </c>
      <c r="I2442" t="n">
        <v>1.6</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34591-2023</t>
        </is>
      </c>
      <c r="B2443" t="inlineStr">
        <is>
          <t>avverkningsanmälan</t>
        </is>
      </c>
      <c r="C2443" t="inlineStr">
        <is>
          <t>Föryngringsavverkning</t>
        </is>
      </c>
      <c r="D2443" s="1" t="n">
        <v>45140</v>
      </c>
      <c r="E2443" s="1" t="n">
        <v>46312</v>
      </c>
      <c r="F2443" t="inlineStr">
        <is>
          <t>SKÅNE LÄN</t>
        </is>
      </c>
      <c r="G2443" t="inlineStr">
        <is>
          <t>ÖRKELLJUNGA</t>
        </is>
      </c>
      <c r="I2443" t="n">
        <v>1.4</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59201-2022</t>
        </is>
      </c>
      <c r="B2444" t="inlineStr">
        <is>
          <t>avverkningsanmälan</t>
        </is>
      </c>
      <c r="C2444" t="inlineStr">
        <is>
          <t>Föryngringsavverkning</t>
        </is>
      </c>
      <c r="D2444" s="1" t="n">
        <v>44897</v>
      </c>
      <c r="E2444" s="1" t="n">
        <v>46312</v>
      </c>
      <c r="F2444" t="inlineStr">
        <is>
          <t>SKÅNE LÄN</t>
        </is>
      </c>
      <c r="G2444" t="inlineStr">
        <is>
          <t>ÖSTRA GÖINGE</t>
        </is>
      </c>
      <c r="I2444" t="n">
        <v>0.3</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18735-2024</t>
        </is>
      </c>
      <c r="B2445" t="inlineStr">
        <is>
          <t>avverkningsanmälan</t>
        </is>
      </c>
      <c r="C2445" t="inlineStr">
        <is>
          <t>Föryngringsavverkning</t>
        </is>
      </c>
      <c r="D2445" s="1" t="n">
        <v>45426</v>
      </c>
      <c r="E2445" s="1" t="n">
        <v>46312</v>
      </c>
      <c r="F2445" t="inlineStr">
        <is>
          <t>SKÅNE LÄN</t>
        </is>
      </c>
      <c r="G2445" t="inlineStr">
        <is>
          <t>KRISTIANSTAD</t>
        </is>
      </c>
      <c r="I2445" t="n">
        <v>1</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22081-2023</t>
        </is>
      </c>
      <c r="B2446" t="inlineStr">
        <is>
          <t>avverkningsanmälan</t>
        </is>
      </c>
      <c r="C2446" t="inlineStr">
        <is>
          <t>Föryngringsavverkning</t>
        </is>
      </c>
      <c r="D2446" s="1" t="n">
        <v>45069</v>
      </c>
      <c r="E2446" s="1" t="n">
        <v>46312</v>
      </c>
      <c r="F2446" t="inlineStr">
        <is>
          <t>SKÅNE LÄN</t>
        </is>
      </c>
      <c r="G2446" t="inlineStr">
        <is>
          <t>ÖSTRA GÖINGE</t>
        </is>
      </c>
      <c r="I2446" t="n">
        <v>2.4</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47161-2025</t>
        </is>
      </c>
      <c r="B2447" t="inlineStr">
        <is>
          <t>avverkningsanmälan</t>
        </is>
      </c>
      <c r="C2447" t="inlineStr">
        <is>
          <t>Avverkning för annat ändamål</t>
        </is>
      </c>
      <c r="D2447" s="1" t="n">
        <v>45929</v>
      </c>
      <c r="E2447" s="1" t="n">
        <v>46312</v>
      </c>
      <c r="F2447" t="inlineStr">
        <is>
          <t>SKÅNE LÄN</t>
        </is>
      </c>
      <c r="G2447" t="inlineStr">
        <is>
          <t>HÄSSLEHOLM</t>
        </is>
      </c>
      <c r="I2447" t="n">
        <v>0.9</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23497-2024</t>
        </is>
      </c>
      <c r="B2448" t="inlineStr">
        <is>
          <t>avverkningsanmälan</t>
        </is>
      </c>
      <c r="C2448" t="inlineStr">
        <is>
          <t>Föryngringsavverkning</t>
        </is>
      </c>
      <c r="D2448" s="1" t="n">
        <v>45453</v>
      </c>
      <c r="E2448" s="1" t="n">
        <v>46312</v>
      </c>
      <c r="F2448" t="inlineStr">
        <is>
          <t>SKÅNE LÄN</t>
        </is>
      </c>
      <c r="G2448" t="inlineStr">
        <is>
          <t>KRISTIANSTAD</t>
        </is>
      </c>
      <c r="H2448" t="inlineStr">
        <is>
          <t>Sveaskog</t>
        </is>
      </c>
      <c r="I2448" t="n">
        <v>3.9</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39284-2025</t>
        </is>
      </c>
      <c r="B2449" t="inlineStr">
        <is>
          <t>avverkningsanmälan</t>
        </is>
      </c>
      <c r="C2449" t="inlineStr">
        <is>
          <t>Föryngringsavverkning</t>
        </is>
      </c>
      <c r="D2449" s="1" t="n">
        <v>45889</v>
      </c>
      <c r="E2449" s="1" t="n">
        <v>46312</v>
      </c>
      <c r="F2449" t="inlineStr">
        <is>
          <t>SKÅNE LÄN</t>
        </is>
      </c>
      <c r="G2449" t="inlineStr">
        <is>
          <t>BROMÖLLA</t>
        </is>
      </c>
      <c r="I2449" t="n">
        <v>3</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5980-2024</t>
        </is>
      </c>
      <c r="B2450" t="inlineStr">
        <is>
          <t>avverkningsanmälan</t>
        </is>
      </c>
      <c r="C2450" t="inlineStr">
        <is>
          <t>Föryngringsavverkning</t>
        </is>
      </c>
      <c r="D2450" s="1" t="n">
        <v>45335</v>
      </c>
      <c r="E2450" s="1" t="n">
        <v>46312</v>
      </c>
      <c r="F2450" t="inlineStr">
        <is>
          <t>SKÅNE LÄN</t>
        </is>
      </c>
      <c r="G2450" t="inlineStr">
        <is>
          <t>HÄSSLEHOLM</t>
        </is>
      </c>
      <c r="I2450" t="n">
        <v>1.2</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69383-2021</t>
        </is>
      </c>
      <c r="B2451" t="inlineStr">
        <is>
          <t>avverkningsanmälan</t>
        </is>
      </c>
      <c r="C2451" t="inlineStr">
        <is>
          <t>Föryngringsavverkning</t>
        </is>
      </c>
      <c r="D2451" s="1" t="n">
        <v>44531</v>
      </c>
      <c r="E2451" s="1" t="n">
        <v>46312</v>
      </c>
      <c r="F2451" t="inlineStr">
        <is>
          <t>SKÅNE LÄN</t>
        </is>
      </c>
      <c r="G2451" t="inlineStr">
        <is>
          <t>ÖSTRA GÖINGE</t>
        </is>
      </c>
      <c r="I2451" t="n">
        <v>1.3</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69390-2021</t>
        </is>
      </c>
      <c r="B2452" t="inlineStr">
        <is>
          <t>avverkningsanmälan</t>
        </is>
      </c>
      <c r="C2452" t="inlineStr">
        <is>
          <t>Föryngringsavverkning</t>
        </is>
      </c>
      <c r="D2452" s="1" t="n">
        <v>44531</v>
      </c>
      <c r="E2452" s="1" t="n">
        <v>46312</v>
      </c>
      <c r="F2452" t="inlineStr">
        <is>
          <t>SKÅNE LÄN</t>
        </is>
      </c>
      <c r="G2452" t="inlineStr">
        <is>
          <t>ÖSTRA GÖINGE</t>
        </is>
      </c>
      <c r="I2452" t="n">
        <v>1.7</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53586-2022</t>
        </is>
      </c>
      <c r="B2453" t="inlineStr">
        <is>
          <t>avverkningsanmälan</t>
        </is>
      </c>
      <c r="C2453" t="inlineStr">
        <is>
          <t>Föryngringsavverkning</t>
        </is>
      </c>
      <c r="D2453" s="1" t="n">
        <v>44875</v>
      </c>
      <c r="E2453" s="1" t="n">
        <v>46312</v>
      </c>
      <c r="F2453" t="inlineStr">
        <is>
          <t>SKÅNE LÄN</t>
        </is>
      </c>
      <c r="G2453" t="inlineStr">
        <is>
          <t>PERSTORP</t>
        </is>
      </c>
      <c r="H2453" t="inlineStr">
        <is>
          <t>Övriga Aktiebolag</t>
        </is>
      </c>
      <c r="I2453" t="n">
        <v>1.9</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62052-2022</t>
        </is>
      </c>
      <c r="B2454" t="inlineStr">
        <is>
          <t>avverkningsanmälan</t>
        </is>
      </c>
      <c r="C2454" t="inlineStr">
        <is>
          <t>Föryngringsavverkning</t>
        </is>
      </c>
      <c r="D2454" s="1" t="n">
        <v>44918</v>
      </c>
      <c r="E2454" s="1" t="n">
        <v>46312</v>
      </c>
      <c r="F2454" t="inlineStr">
        <is>
          <t>SKÅNE LÄN</t>
        </is>
      </c>
      <c r="G2454" t="inlineStr">
        <is>
          <t>ÖSTRA GÖINGE</t>
        </is>
      </c>
      <c r="I2454" t="n">
        <v>1.9</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62066-2022</t>
        </is>
      </c>
      <c r="B2455" t="inlineStr">
        <is>
          <t>avverkningsanmälan</t>
        </is>
      </c>
      <c r="C2455" t="inlineStr">
        <is>
          <t>Föryngringsavverkning</t>
        </is>
      </c>
      <c r="D2455" s="1" t="n">
        <v>44918</v>
      </c>
      <c r="E2455" s="1" t="n">
        <v>46312</v>
      </c>
      <c r="F2455" t="inlineStr">
        <is>
          <t>SKÅNE LÄN</t>
        </is>
      </c>
      <c r="G2455" t="inlineStr">
        <is>
          <t>KRISTIANSTAD</t>
        </is>
      </c>
      <c r="I2455" t="n">
        <v>6.3</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44196-2024</t>
        </is>
      </c>
      <c r="B2456" t="inlineStr">
        <is>
          <t>avverkningsanmälan</t>
        </is>
      </c>
      <c r="C2456" t="inlineStr">
        <is>
          <t>Föryngringsavverkning</t>
        </is>
      </c>
      <c r="D2456" s="1" t="n">
        <v>45573</v>
      </c>
      <c r="E2456" s="1" t="n">
        <v>46312</v>
      </c>
      <c r="F2456" t="inlineStr">
        <is>
          <t>SKÅNE LÄN</t>
        </is>
      </c>
      <c r="G2456" t="inlineStr">
        <is>
          <t>SVALÖV</t>
        </is>
      </c>
      <c r="I2456" t="n">
        <v>1.8</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54218-2025</t>
        </is>
      </c>
      <c r="B2457" t="inlineStr">
        <is>
          <t>avverkningsanmälan</t>
        </is>
      </c>
      <c r="C2457" t="inlineStr">
        <is>
          <t>Föryngringsavverkning</t>
        </is>
      </c>
      <c r="D2457" s="1" t="n">
        <v>45964</v>
      </c>
      <c r="E2457" s="1" t="n">
        <v>46312</v>
      </c>
      <c r="F2457" t="inlineStr">
        <is>
          <t>SKÅNE LÄN</t>
        </is>
      </c>
      <c r="G2457" t="inlineStr">
        <is>
          <t>OSBY</t>
        </is>
      </c>
      <c r="I2457" t="n">
        <v>0.7</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37303-2023</t>
        </is>
      </c>
      <c r="B2458" t="inlineStr">
        <is>
          <t>avverkningsanmälan</t>
        </is>
      </c>
      <c r="C2458" t="inlineStr">
        <is>
          <t>Föryngringsavverkning</t>
        </is>
      </c>
      <c r="D2458" s="1" t="n">
        <v>45156</v>
      </c>
      <c r="E2458" s="1" t="n">
        <v>46312</v>
      </c>
      <c r="F2458" t="inlineStr">
        <is>
          <t>SKÅNE LÄN</t>
        </is>
      </c>
      <c r="G2458" t="inlineStr">
        <is>
          <t>ÖSTRA GÖINGE</t>
        </is>
      </c>
      <c r="I2458" t="n">
        <v>1</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61137-2024</t>
        </is>
      </c>
      <c r="B2459" t="inlineStr">
        <is>
          <t>avverkningsanmälan</t>
        </is>
      </c>
      <c r="C2459" t="inlineStr">
        <is>
          <t>Föryngringsavverkning</t>
        </is>
      </c>
      <c r="D2459" s="1" t="n">
        <v>45645</v>
      </c>
      <c r="E2459" s="1" t="n">
        <v>46312</v>
      </c>
      <c r="F2459" t="inlineStr">
        <is>
          <t>SKÅNE LÄN</t>
        </is>
      </c>
      <c r="G2459" t="inlineStr">
        <is>
          <t>ÖSTRA GÖINGE</t>
        </is>
      </c>
      <c r="I2459" t="n">
        <v>2</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54297-2025</t>
        </is>
      </c>
      <c r="B2460" t="inlineStr">
        <is>
          <t>avverkningsanmälan</t>
        </is>
      </c>
      <c r="C2460" t="inlineStr">
        <is>
          <t>Föryngringsavverkning</t>
        </is>
      </c>
      <c r="D2460" s="1" t="n">
        <v>45964</v>
      </c>
      <c r="E2460" s="1" t="n">
        <v>46312</v>
      </c>
      <c r="F2460" t="inlineStr">
        <is>
          <t>SKÅNE LÄN</t>
        </is>
      </c>
      <c r="G2460" t="inlineStr">
        <is>
          <t>OSBY</t>
        </is>
      </c>
      <c r="I2460" t="n">
        <v>1.1</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50997-2025</t>
        </is>
      </c>
      <c r="B2461" t="inlineStr">
        <is>
          <t>avverkningsanmälan</t>
        </is>
      </c>
      <c r="C2461" t="inlineStr">
        <is>
          <t>Avverkning för annat ändamål</t>
        </is>
      </c>
      <c r="D2461" s="1" t="n">
        <v>45946</v>
      </c>
      <c r="E2461" s="1" t="n">
        <v>46312</v>
      </c>
      <c r="F2461" t="inlineStr">
        <is>
          <t>SKÅNE LÄN</t>
        </is>
      </c>
      <c r="G2461" t="inlineStr">
        <is>
          <t>HELSINGBORG</t>
        </is>
      </c>
      <c r="I2461" t="n">
        <v>1.5</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43294-2025</t>
        </is>
      </c>
      <c r="B2462" t="inlineStr">
        <is>
          <t>avverkningsanmälan</t>
        </is>
      </c>
      <c r="C2462" t="inlineStr">
        <is>
          <t>Föryngringsavverkning</t>
        </is>
      </c>
      <c r="D2462" s="1" t="n">
        <v>45910</v>
      </c>
      <c r="E2462" s="1" t="n">
        <v>46312</v>
      </c>
      <c r="F2462" t="inlineStr">
        <is>
          <t>SKÅNE LÄN</t>
        </is>
      </c>
      <c r="G2462" t="inlineStr">
        <is>
          <t>SVALÖV</t>
        </is>
      </c>
      <c r="I2462" t="n">
        <v>2.6</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17731-2025</t>
        </is>
      </c>
      <c r="B2463" t="inlineStr">
        <is>
          <t>avverkningsanmälan</t>
        </is>
      </c>
      <c r="C2463" t="inlineStr">
        <is>
          <t>Avverkning för annat ändamål</t>
        </is>
      </c>
      <c r="D2463" s="1" t="n">
        <v>45758</v>
      </c>
      <c r="E2463" s="1" t="n">
        <v>46312</v>
      </c>
      <c r="F2463" t="inlineStr">
        <is>
          <t>SKÅNE LÄN</t>
        </is>
      </c>
      <c r="G2463" t="inlineStr">
        <is>
          <t>SVALÖV</t>
        </is>
      </c>
      <c r="I2463" t="n">
        <v>0.8</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50564-2023</t>
        </is>
      </c>
      <c r="B2464" t="inlineStr">
        <is>
          <t>avverkningsanmälan</t>
        </is>
      </c>
      <c r="C2464" t="inlineStr">
        <is>
          <t>Föryngringsavverkning</t>
        </is>
      </c>
      <c r="D2464" s="1" t="n">
        <v>45217</v>
      </c>
      <c r="E2464" s="1" t="n">
        <v>46312</v>
      </c>
      <c r="F2464" t="inlineStr">
        <is>
          <t>SKÅNE LÄN</t>
        </is>
      </c>
      <c r="G2464" t="inlineStr">
        <is>
          <t>HÄSSLEHOLM</t>
        </is>
      </c>
      <c r="I2464" t="n">
        <v>1.2</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54765-2025</t>
        </is>
      </c>
      <c r="B2465" t="inlineStr">
        <is>
          <t>avverkningsanmälan</t>
        </is>
      </c>
      <c r="C2465" t="inlineStr">
        <is>
          <t>Föryngringsavverkning</t>
        </is>
      </c>
      <c r="D2465" s="1" t="n">
        <v>45966</v>
      </c>
      <c r="E2465" s="1" t="n">
        <v>46312</v>
      </c>
      <c r="F2465" t="inlineStr">
        <is>
          <t>SKÅNE LÄN</t>
        </is>
      </c>
      <c r="G2465" t="inlineStr">
        <is>
          <t>HÖRBY</t>
        </is>
      </c>
      <c r="I2465" t="n">
        <v>2.6</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54749-2025</t>
        </is>
      </c>
      <c r="B2466" t="inlineStr">
        <is>
          <t>avverkningsanmälan</t>
        </is>
      </c>
      <c r="C2466" t="inlineStr">
        <is>
          <t>Föryngringsavverkning</t>
        </is>
      </c>
      <c r="D2466" s="1" t="n">
        <v>45966</v>
      </c>
      <c r="E2466" s="1" t="n">
        <v>46312</v>
      </c>
      <c r="F2466" t="inlineStr">
        <is>
          <t>SKÅNE LÄN</t>
        </is>
      </c>
      <c r="G2466" t="inlineStr">
        <is>
          <t>ÖSTRA GÖINGE</t>
        </is>
      </c>
      <c r="I2466" t="n">
        <v>1.1</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8858-2025</t>
        </is>
      </c>
      <c r="B2467" t="inlineStr">
        <is>
          <t>avverkningsanmälan</t>
        </is>
      </c>
      <c r="C2467" t="inlineStr">
        <is>
          <t>Föryngringsavverkning</t>
        </is>
      </c>
      <c r="D2467" s="1" t="n">
        <v>45713</v>
      </c>
      <c r="E2467" s="1" t="n">
        <v>46312</v>
      </c>
      <c r="F2467" t="inlineStr">
        <is>
          <t>SKÅNE LÄN</t>
        </is>
      </c>
      <c r="G2467" t="inlineStr">
        <is>
          <t>SJÖBO</t>
        </is>
      </c>
      <c r="I2467" t="n">
        <v>0.5</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8862-2025</t>
        </is>
      </c>
      <c r="B2468" t="inlineStr">
        <is>
          <t>avverkningsanmälan</t>
        </is>
      </c>
      <c r="C2468" t="inlineStr">
        <is>
          <t>Föryngringsavverkning</t>
        </is>
      </c>
      <c r="D2468" s="1" t="n">
        <v>45713</v>
      </c>
      <c r="E2468" s="1" t="n">
        <v>46312</v>
      </c>
      <c r="F2468" t="inlineStr">
        <is>
          <t>SKÅNE LÄN</t>
        </is>
      </c>
      <c r="G2468" t="inlineStr">
        <is>
          <t>SJÖBO</t>
        </is>
      </c>
      <c r="I2468" t="n">
        <v>0.6</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4435-2025</t>
        </is>
      </c>
      <c r="B2469" t="inlineStr">
        <is>
          <t>avverkningsanmälan</t>
        </is>
      </c>
      <c r="C2469" t="inlineStr">
        <is>
          <t>Föryngringsavverkning</t>
        </is>
      </c>
      <c r="D2469" s="1" t="n">
        <v>45686</v>
      </c>
      <c r="E2469" s="1" t="n">
        <v>46312</v>
      </c>
      <c r="F2469" t="inlineStr">
        <is>
          <t>SKÅNE LÄN</t>
        </is>
      </c>
      <c r="G2469" t="inlineStr">
        <is>
          <t>ÖSTRA GÖINGE</t>
        </is>
      </c>
      <c r="I2469" t="n">
        <v>3.1</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7661-2025</t>
        </is>
      </c>
      <c r="B2470" t="inlineStr">
        <is>
          <t>avverkningsanmälan</t>
        </is>
      </c>
      <c r="C2470" t="inlineStr">
        <is>
          <t>Föryngringsavverkning</t>
        </is>
      </c>
      <c r="D2470" s="1" t="n">
        <v>45706</v>
      </c>
      <c r="E2470" s="1" t="n">
        <v>46312</v>
      </c>
      <c r="F2470" t="inlineStr">
        <is>
          <t>SKÅNE LÄN</t>
        </is>
      </c>
      <c r="G2470" t="inlineStr">
        <is>
          <t>KLIPPAN</t>
        </is>
      </c>
      <c r="I2470" t="n">
        <v>0.7</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54743-2025</t>
        </is>
      </c>
      <c r="B2471" t="inlineStr">
        <is>
          <t>avverkningsanmälan</t>
        </is>
      </c>
      <c r="C2471" t="inlineStr">
        <is>
          <t>Föryngringsavverkning</t>
        </is>
      </c>
      <c r="D2471" s="1" t="n">
        <v>45966</v>
      </c>
      <c r="E2471" s="1" t="n">
        <v>46312</v>
      </c>
      <c r="F2471" t="inlineStr">
        <is>
          <t>SKÅNE LÄN</t>
        </is>
      </c>
      <c r="G2471" t="inlineStr">
        <is>
          <t>ÖSTRA GÖINGE</t>
        </is>
      </c>
      <c r="I2471" t="n">
        <v>3.5</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54746-2025</t>
        </is>
      </c>
      <c r="B2472" t="inlineStr">
        <is>
          <t>avverkningsanmälan</t>
        </is>
      </c>
      <c r="C2472" t="inlineStr">
        <is>
          <t>Föryngringsavverkning</t>
        </is>
      </c>
      <c r="D2472" s="1" t="n">
        <v>45966</v>
      </c>
      <c r="E2472" s="1" t="n">
        <v>46312</v>
      </c>
      <c r="F2472" t="inlineStr">
        <is>
          <t>SKÅNE LÄN</t>
        </is>
      </c>
      <c r="G2472" t="inlineStr">
        <is>
          <t>ÖSTRA GÖINGE</t>
        </is>
      </c>
      <c r="I2472" t="n">
        <v>1.7</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54747-2025</t>
        </is>
      </c>
      <c r="B2473" t="inlineStr">
        <is>
          <t>avverkningsanmälan</t>
        </is>
      </c>
      <c r="C2473" t="inlineStr">
        <is>
          <t>Föryngringsavverkning</t>
        </is>
      </c>
      <c r="D2473" s="1" t="n">
        <v>45966</v>
      </c>
      <c r="E2473" s="1" t="n">
        <v>46312</v>
      </c>
      <c r="F2473" t="inlineStr">
        <is>
          <t>SKÅNE LÄN</t>
        </is>
      </c>
      <c r="G2473" t="inlineStr">
        <is>
          <t>ÖSTRA GÖINGE</t>
        </is>
      </c>
      <c r="I2473" t="n">
        <v>1.8</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3367-2024</t>
        </is>
      </c>
      <c r="B2474" t="inlineStr">
        <is>
          <t>avverkningsanmälan</t>
        </is>
      </c>
      <c r="C2474" t="inlineStr">
        <is>
          <t>Föryngringsavverkning</t>
        </is>
      </c>
      <c r="D2474" s="1" t="n">
        <v>45317</v>
      </c>
      <c r="E2474" s="1" t="n">
        <v>46312</v>
      </c>
      <c r="F2474" t="inlineStr">
        <is>
          <t>SKÅNE LÄN</t>
        </is>
      </c>
      <c r="G2474" t="inlineStr">
        <is>
          <t>SIMRISHAMN</t>
        </is>
      </c>
      <c r="I2474" t="n">
        <v>0.5</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43061-2024</t>
        </is>
      </c>
      <c r="B2475" t="inlineStr">
        <is>
          <t>avverkningsanmälan</t>
        </is>
      </c>
      <c r="C2475" t="inlineStr">
        <is>
          <t>Föryngringsavverkning</t>
        </is>
      </c>
      <c r="D2475" s="1" t="n">
        <v>45567</v>
      </c>
      <c r="E2475" s="1" t="n">
        <v>46312</v>
      </c>
      <c r="F2475" t="inlineStr">
        <is>
          <t>SKÅNE LÄN</t>
        </is>
      </c>
      <c r="G2475" t="inlineStr">
        <is>
          <t>HÄSSLEHOLM</t>
        </is>
      </c>
      <c r="I2475" t="n">
        <v>4.5</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46432-2023</t>
        </is>
      </c>
      <c r="B2476" t="inlineStr">
        <is>
          <t>avverkningsanmälan</t>
        </is>
      </c>
      <c r="C2476" t="inlineStr">
        <is>
          <t>Föryngringsavverkning</t>
        </is>
      </c>
      <c r="D2476" s="1" t="n">
        <v>45197</v>
      </c>
      <c r="E2476" s="1" t="n">
        <v>46312</v>
      </c>
      <c r="F2476" t="inlineStr">
        <is>
          <t>SKÅNE LÄN</t>
        </is>
      </c>
      <c r="G2476" t="inlineStr">
        <is>
          <t>OSBY</t>
        </is>
      </c>
      <c r="I2476" t="n">
        <v>1.4</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38849-2025</t>
        </is>
      </c>
      <c r="B2477" t="inlineStr">
        <is>
          <t>avverkningsanmälan</t>
        </is>
      </c>
      <c r="C2477" t="inlineStr">
        <is>
          <t>Föryngringsavverkning</t>
        </is>
      </c>
      <c r="D2477" s="1" t="n">
        <v>45887</v>
      </c>
      <c r="E2477" s="1" t="n">
        <v>46312</v>
      </c>
      <c r="F2477" t="inlineStr">
        <is>
          <t>SKÅNE LÄN</t>
        </is>
      </c>
      <c r="G2477" t="inlineStr">
        <is>
          <t>KRISTIANSTAD</t>
        </is>
      </c>
      <c r="I2477" t="n">
        <v>1</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27297-2023</t>
        </is>
      </c>
      <c r="B2478" t="inlineStr">
        <is>
          <t>avverkningsanmälan</t>
        </is>
      </c>
      <c r="C2478" t="inlineStr">
        <is>
          <t>Föryngringsavverkning</t>
        </is>
      </c>
      <c r="D2478" s="1" t="n">
        <v>45096</v>
      </c>
      <c r="E2478" s="1" t="n">
        <v>46312</v>
      </c>
      <c r="F2478" t="inlineStr">
        <is>
          <t>SKÅNE LÄN</t>
        </is>
      </c>
      <c r="G2478" t="inlineStr">
        <is>
          <t>HÄSSLEHOLM</t>
        </is>
      </c>
      <c r="I2478" t="n">
        <v>1.3</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4597-2026</t>
        </is>
      </c>
      <c r="B2479" t="inlineStr">
        <is>
          <t>avverkningsanmälan</t>
        </is>
      </c>
      <c r="C2479" t="inlineStr">
        <is>
          <t>Föryngringsavverkning</t>
        </is>
      </c>
      <c r="D2479" s="1" t="n">
        <v>46048</v>
      </c>
      <c r="E2479" s="1" t="n">
        <v>46312</v>
      </c>
      <c r="F2479" t="inlineStr">
        <is>
          <t>SKÅNE LÄN</t>
        </is>
      </c>
      <c r="G2479" t="inlineStr">
        <is>
          <t>HÖRBY</t>
        </is>
      </c>
      <c r="I2479" t="n">
        <v>1.3</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14543-2024</t>
        </is>
      </c>
      <c r="B2480" t="inlineStr">
        <is>
          <t>avverkningsanmälan</t>
        </is>
      </c>
      <c r="C2480" t="inlineStr">
        <is>
          <t>Föryngringsavverkning</t>
        </is>
      </c>
      <c r="D2480" s="1" t="n">
        <v>45394</v>
      </c>
      <c r="E2480" s="1" t="n">
        <v>46312</v>
      </c>
      <c r="F2480" t="inlineStr">
        <is>
          <t>SKÅNE LÄN</t>
        </is>
      </c>
      <c r="G2480" t="inlineStr">
        <is>
          <t>SVALÖV</t>
        </is>
      </c>
      <c r="I2480" t="n">
        <v>0.7</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12965-2024</t>
        </is>
      </c>
      <c r="B2481" t="inlineStr">
        <is>
          <t>avverkningsanmälan</t>
        </is>
      </c>
      <c r="C2481" t="inlineStr">
        <is>
          <t>Föryngringsavverkning</t>
        </is>
      </c>
      <c r="D2481" s="1" t="n">
        <v>45385</v>
      </c>
      <c r="E2481" s="1" t="n">
        <v>46312</v>
      </c>
      <c r="F2481" t="inlineStr">
        <is>
          <t>SKÅNE LÄN</t>
        </is>
      </c>
      <c r="G2481" t="inlineStr">
        <is>
          <t>SJÖBO</t>
        </is>
      </c>
      <c r="H2481" t="inlineStr">
        <is>
          <t>Övriga Aktiebolag</t>
        </is>
      </c>
      <c r="I2481" t="n">
        <v>3.8</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820-2026</t>
        </is>
      </c>
      <c r="B2482" t="inlineStr">
        <is>
          <t>avverkningsanmälan</t>
        </is>
      </c>
      <c r="C2482" t="inlineStr">
        <is>
          <t>Föryngringsavverkning</t>
        </is>
      </c>
      <c r="D2482" s="1" t="n">
        <v>46030</v>
      </c>
      <c r="E2482" s="1" t="n">
        <v>46312</v>
      </c>
      <c r="F2482" t="inlineStr">
        <is>
          <t>SKÅNE LÄN</t>
        </is>
      </c>
      <c r="G2482" t="inlineStr">
        <is>
          <t>KRISTIANSTAD</t>
        </is>
      </c>
      <c r="I2482" t="n">
        <v>1.5</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43332-2025</t>
        </is>
      </c>
      <c r="B2483" t="inlineStr">
        <is>
          <t>avverkningsanmälan</t>
        </is>
      </c>
      <c r="C2483" t="inlineStr">
        <is>
          <t>Föryngringsavverkning</t>
        </is>
      </c>
      <c r="D2483" s="1" t="n">
        <v>45910</v>
      </c>
      <c r="E2483" s="1" t="n">
        <v>46312</v>
      </c>
      <c r="F2483" t="inlineStr">
        <is>
          <t>SKÅNE LÄN</t>
        </is>
      </c>
      <c r="G2483" t="inlineStr">
        <is>
          <t>HÄSSLEHOLM</t>
        </is>
      </c>
      <c r="I2483" t="n">
        <v>0.5</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24658-2025</t>
        </is>
      </c>
      <c r="B2484" t="inlineStr">
        <is>
          <t>avverkningsanmälan</t>
        </is>
      </c>
      <c r="C2484" t="inlineStr">
        <is>
          <t>Föryngringsavverkning</t>
        </is>
      </c>
      <c r="D2484" s="1" t="n">
        <v>45798</v>
      </c>
      <c r="E2484" s="1" t="n">
        <v>46312</v>
      </c>
      <c r="F2484" t="inlineStr">
        <is>
          <t>SKÅNE LÄN</t>
        </is>
      </c>
      <c r="G2484" t="inlineStr">
        <is>
          <t>HÄSSLEHOLM</t>
        </is>
      </c>
      <c r="I2484" t="n">
        <v>1.5</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53003-2024</t>
        </is>
      </c>
      <c r="B2485" t="inlineStr">
        <is>
          <t>avverkningsanmälan</t>
        </is>
      </c>
      <c r="C2485" t="inlineStr">
        <is>
          <t>Föryngringsavverkning</t>
        </is>
      </c>
      <c r="D2485" s="1" t="n">
        <v>45610</v>
      </c>
      <c r="E2485" s="1" t="n">
        <v>46312</v>
      </c>
      <c r="F2485" t="inlineStr">
        <is>
          <t>SKÅNE LÄN</t>
        </is>
      </c>
      <c r="G2485" t="inlineStr">
        <is>
          <t>OSBY</t>
        </is>
      </c>
      <c r="I2485" t="n">
        <v>2.9</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19642-2026</t>
        </is>
      </c>
      <c r="B2486" t="inlineStr">
        <is>
          <t>avverkningsanmälan</t>
        </is>
      </c>
      <c r="C2486" t="inlineStr">
        <is>
          <t>Föryngringsavverkning</t>
        </is>
      </c>
      <c r="D2486" s="1" t="n">
        <v>46134</v>
      </c>
      <c r="E2486" s="1" t="n">
        <v>46312</v>
      </c>
      <c r="F2486" t="inlineStr">
        <is>
          <t>SKÅNE LÄN</t>
        </is>
      </c>
      <c r="G2486" t="inlineStr">
        <is>
          <t>HÄSSLEHOLM</t>
        </is>
      </c>
      <c r="I2486" t="n">
        <v>1.4</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64181-2023</t>
        </is>
      </c>
      <c r="B2487" t="inlineStr">
        <is>
          <t>avverkningsanmälan</t>
        </is>
      </c>
      <c r="C2487" t="inlineStr">
        <is>
          <t>Avverkning för att bevara och utveckla /försöksver</t>
        </is>
      </c>
      <c r="D2487" s="1" t="n">
        <v>45279</v>
      </c>
      <c r="E2487" s="1" t="n">
        <v>46312</v>
      </c>
      <c r="F2487" t="inlineStr">
        <is>
          <t>SKÅNE LÄN</t>
        </is>
      </c>
      <c r="G2487" t="inlineStr">
        <is>
          <t>ÖSTRA GÖINGE</t>
        </is>
      </c>
      <c r="I2487" t="n">
        <v>1.6</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9747-2024</t>
        </is>
      </c>
      <c r="B2488" t="inlineStr">
        <is>
          <t>avverkningsanmälan</t>
        </is>
      </c>
      <c r="C2488" t="inlineStr">
        <is>
          <t>Avverkning för annat ändamål</t>
        </is>
      </c>
      <c r="D2488" s="1" t="n">
        <v>45362</v>
      </c>
      <c r="E2488" s="1" t="n">
        <v>46312</v>
      </c>
      <c r="F2488" t="inlineStr">
        <is>
          <t>SKÅNE LÄN</t>
        </is>
      </c>
      <c r="G2488" t="inlineStr">
        <is>
          <t>HÄSSLEHOLM</t>
        </is>
      </c>
      <c r="I2488" t="n">
        <v>1.8</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22966-2026</t>
        </is>
      </c>
      <c r="B2489" t="inlineStr">
        <is>
          <t>avverkningsanmälan</t>
        </is>
      </c>
      <c r="C2489" t="inlineStr">
        <is>
          <t>Föryngringsavverkning</t>
        </is>
      </c>
      <c r="D2489" s="1" t="n">
        <v>46160</v>
      </c>
      <c r="E2489" s="1" t="n">
        <v>46312</v>
      </c>
      <c r="F2489" t="inlineStr">
        <is>
          <t>SKÅNE LÄN</t>
        </is>
      </c>
      <c r="G2489" t="inlineStr">
        <is>
          <t>HÖÖR</t>
        </is>
      </c>
      <c r="I2489" t="n">
        <v>2.4</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3183-2023</t>
        </is>
      </c>
      <c r="B2490" t="inlineStr">
        <is>
          <t>avverkningsanmälan</t>
        </is>
      </c>
      <c r="C2490" t="inlineStr">
        <is>
          <t>Föryngringsavverkning</t>
        </is>
      </c>
      <c r="D2490" s="1" t="n">
        <v>44944</v>
      </c>
      <c r="E2490" s="1" t="n">
        <v>46312</v>
      </c>
      <c r="F2490" t="inlineStr">
        <is>
          <t>SKÅNE LÄN</t>
        </is>
      </c>
      <c r="G2490" t="inlineStr">
        <is>
          <t>KLIPPAN</t>
        </is>
      </c>
      <c r="I2490" t="n">
        <v>6.9</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24640-2023</t>
        </is>
      </c>
      <c r="B2491" t="inlineStr">
        <is>
          <t>avverkningsanmälan</t>
        </is>
      </c>
      <c r="C2491" t="inlineStr">
        <is>
          <t>Föryngringsavverkning</t>
        </is>
      </c>
      <c r="D2491" s="1" t="n">
        <v>45084</v>
      </c>
      <c r="E2491" s="1" t="n">
        <v>46312</v>
      </c>
      <c r="F2491" t="inlineStr">
        <is>
          <t>SKÅNE LÄN</t>
        </is>
      </c>
      <c r="G2491" t="inlineStr">
        <is>
          <t>HÄSSLEHOLM</t>
        </is>
      </c>
      <c r="I2491" t="n">
        <v>1.5</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55304-2025</t>
        </is>
      </c>
      <c r="B2492" t="inlineStr">
        <is>
          <t>avverkningsanmälan</t>
        </is>
      </c>
      <c r="C2492" t="inlineStr">
        <is>
          <t>Avverkning för annat ändamål</t>
        </is>
      </c>
      <c r="D2492" s="1" t="n">
        <v>45970</v>
      </c>
      <c r="E2492" s="1" t="n">
        <v>46312</v>
      </c>
      <c r="F2492" t="inlineStr">
        <is>
          <t>SKÅNE LÄN</t>
        </is>
      </c>
      <c r="G2492" t="inlineStr">
        <is>
          <t>HÖRBY</t>
        </is>
      </c>
      <c r="I2492" t="n">
        <v>0.4</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55306-2025</t>
        </is>
      </c>
      <c r="B2493" t="inlineStr">
        <is>
          <t>avverkningsanmälan</t>
        </is>
      </c>
      <c r="C2493" t="inlineStr">
        <is>
          <t>Avverkning för annat ändamål</t>
        </is>
      </c>
      <c r="D2493" s="1" t="n">
        <v>45970</v>
      </c>
      <c r="E2493" s="1" t="n">
        <v>46312</v>
      </c>
      <c r="F2493" t="inlineStr">
        <is>
          <t>SKÅNE LÄN</t>
        </is>
      </c>
      <c r="G2493" t="inlineStr">
        <is>
          <t>HÖRBY</t>
        </is>
      </c>
      <c r="I2493" t="n">
        <v>0.3</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39796-2025</t>
        </is>
      </c>
      <c r="B2494" t="inlineStr">
        <is>
          <t>avverkningsanmälan</t>
        </is>
      </c>
      <c r="C2494" t="inlineStr">
        <is>
          <t>Föryngringsavverkning</t>
        </is>
      </c>
      <c r="D2494" s="1" t="n">
        <v>45891</v>
      </c>
      <c r="E2494" s="1" t="n">
        <v>46312</v>
      </c>
      <c r="F2494" t="inlineStr">
        <is>
          <t>SKÅNE LÄN</t>
        </is>
      </c>
      <c r="G2494" t="inlineStr">
        <is>
          <t>TOMELILLA</t>
        </is>
      </c>
      <c r="I2494" t="n">
        <v>3.9</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8565-2023</t>
        </is>
      </c>
      <c r="B2495" t="inlineStr">
        <is>
          <t>avverkningsanmälan</t>
        </is>
      </c>
      <c r="C2495" t="inlineStr">
        <is>
          <t>Föryngringsavverkning</t>
        </is>
      </c>
      <c r="D2495" s="1" t="n">
        <v>44977</v>
      </c>
      <c r="E2495" s="1" t="n">
        <v>46312</v>
      </c>
      <c r="F2495" t="inlineStr">
        <is>
          <t>SKÅNE LÄN</t>
        </is>
      </c>
      <c r="G2495" t="inlineStr">
        <is>
          <t>PERSTORP</t>
        </is>
      </c>
      <c r="I2495" t="n">
        <v>0.5</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8568-2023</t>
        </is>
      </c>
      <c r="B2496" t="inlineStr">
        <is>
          <t>avverkningsanmälan</t>
        </is>
      </c>
      <c r="C2496" t="inlineStr">
        <is>
          <t>Avverkning för annat ändamål</t>
        </is>
      </c>
      <c r="D2496" s="1" t="n">
        <v>44977</v>
      </c>
      <c r="E2496" s="1" t="n">
        <v>46312</v>
      </c>
      <c r="F2496" t="inlineStr">
        <is>
          <t>SKÅNE LÄN</t>
        </is>
      </c>
      <c r="G2496" t="inlineStr">
        <is>
          <t>SJÖBO</t>
        </is>
      </c>
      <c r="I2496" t="n">
        <v>1.6</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55310-2025</t>
        </is>
      </c>
      <c r="B2497" t="inlineStr">
        <is>
          <t>avverkningsanmälan</t>
        </is>
      </c>
      <c r="C2497" t="inlineStr">
        <is>
          <t>Föryngringsavverkning</t>
        </is>
      </c>
      <c r="D2497" s="1" t="n">
        <v>45970</v>
      </c>
      <c r="E2497" s="1" t="n">
        <v>46312</v>
      </c>
      <c r="F2497" t="inlineStr">
        <is>
          <t>SKÅNE LÄN</t>
        </is>
      </c>
      <c r="G2497" t="inlineStr">
        <is>
          <t>ÖSTRA GÖINGE</t>
        </is>
      </c>
      <c r="I2497" t="n">
        <v>4.5</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55347-2025</t>
        </is>
      </c>
      <c r="B2498" t="inlineStr">
        <is>
          <t>avverkningsanmälan</t>
        </is>
      </c>
      <c r="C2498" t="inlineStr">
        <is>
          <t>Föryngringsavverkning</t>
        </is>
      </c>
      <c r="D2498" s="1" t="n">
        <v>45971</v>
      </c>
      <c r="E2498" s="1" t="n">
        <v>46312</v>
      </c>
      <c r="F2498" t="inlineStr">
        <is>
          <t>SKÅNE LÄN</t>
        </is>
      </c>
      <c r="G2498" t="inlineStr">
        <is>
          <t>HÖÖR</t>
        </is>
      </c>
      <c r="I2498" t="n">
        <v>0.6</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51618-2024</t>
        </is>
      </c>
      <c r="B2499" t="inlineStr">
        <is>
          <t>avverkningsanmälan</t>
        </is>
      </c>
      <c r="C2499" t="inlineStr">
        <is>
          <t>Föryngringsavverkning</t>
        </is>
      </c>
      <c r="D2499" s="1" t="n">
        <v>45604</v>
      </c>
      <c r="E2499" s="1" t="n">
        <v>46312</v>
      </c>
      <c r="F2499" t="inlineStr">
        <is>
          <t>SKÅNE LÄN</t>
        </is>
      </c>
      <c r="G2499" t="inlineStr">
        <is>
          <t>HÄSSLEHOLM</t>
        </is>
      </c>
      <c r="I2499" t="n">
        <v>1.2</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2472-2022</t>
        </is>
      </c>
      <c r="B2500" t="inlineStr">
        <is>
          <t>avverkningsanmälan</t>
        </is>
      </c>
      <c r="C2500" t="inlineStr">
        <is>
          <t>Avverkning för annat ändamål</t>
        </is>
      </c>
      <c r="D2500" s="1" t="n">
        <v>44579</v>
      </c>
      <c r="E2500" s="1" t="n">
        <v>46312</v>
      </c>
      <c r="F2500" t="inlineStr">
        <is>
          <t>SKÅNE LÄN</t>
        </is>
      </c>
      <c r="G2500" t="inlineStr">
        <is>
          <t>KRISTIANSTAD</t>
        </is>
      </c>
      <c r="I2500" t="n">
        <v>0.7</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13754-2025</t>
        </is>
      </c>
      <c r="B2501" t="inlineStr">
        <is>
          <t>avverkningsanmälan</t>
        </is>
      </c>
      <c r="C2501" t="inlineStr">
        <is>
          <t>Föryngringsavverkning</t>
        </is>
      </c>
      <c r="D2501" s="1" t="n">
        <v>45737</v>
      </c>
      <c r="E2501" s="1" t="n">
        <v>46312</v>
      </c>
      <c r="F2501" t="inlineStr">
        <is>
          <t>SKÅNE LÄN</t>
        </is>
      </c>
      <c r="G2501" t="inlineStr">
        <is>
          <t>OSBY</t>
        </is>
      </c>
      <c r="H2501" t="inlineStr">
        <is>
          <t>Sveaskog</t>
        </is>
      </c>
      <c r="I2501" t="n">
        <v>6.4</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931-2026</t>
        </is>
      </c>
      <c r="B2502" t="inlineStr">
        <is>
          <t>avverkningsanmälan</t>
        </is>
      </c>
      <c r="C2502" t="inlineStr">
        <is>
          <t>Föryngringsavverkning</t>
        </is>
      </c>
      <c r="D2502" s="1" t="n">
        <v>46030</v>
      </c>
      <c r="E2502" s="1" t="n">
        <v>46312</v>
      </c>
      <c r="F2502" t="inlineStr">
        <is>
          <t>SKÅNE LÄN</t>
        </is>
      </c>
      <c r="G2502" t="inlineStr">
        <is>
          <t>HÄSSLEHOLM</t>
        </is>
      </c>
      <c r="H2502" t="inlineStr">
        <is>
          <t>Övriga Aktiebolag</t>
        </is>
      </c>
      <c r="I2502" t="n">
        <v>2.3</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40994-2025</t>
        </is>
      </c>
      <c r="B2503" t="inlineStr">
        <is>
          <t>avverkningsanmälan</t>
        </is>
      </c>
      <c r="C2503" t="inlineStr">
        <is>
          <t>Föryngringsavverkning</t>
        </is>
      </c>
      <c r="D2503" s="1" t="n">
        <v>45898</v>
      </c>
      <c r="E2503" s="1" t="n">
        <v>46312</v>
      </c>
      <c r="F2503" t="inlineStr">
        <is>
          <t>SKÅNE LÄN</t>
        </is>
      </c>
      <c r="G2503" t="inlineStr">
        <is>
          <t>HÖRBY</t>
        </is>
      </c>
      <c r="I2503" t="n">
        <v>5.6</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55549-2025</t>
        </is>
      </c>
      <c r="B2504" t="inlineStr">
        <is>
          <t>avverkningsanmälan</t>
        </is>
      </c>
      <c r="C2504" t="inlineStr">
        <is>
          <t>Föryngringsavverkning</t>
        </is>
      </c>
      <c r="D2504" s="1" t="n">
        <v>45971</v>
      </c>
      <c r="E2504" s="1" t="n">
        <v>46312</v>
      </c>
      <c r="F2504" t="inlineStr">
        <is>
          <t>SKÅNE LÄN</t>
        </is>
      </c>
      <c r="G2504" t="inlineStr">
        <is>
          <t>HÄSSLEHOLM</t>
        </is>
      </c>
      <c r="I2504" t="n">
        <v>2.6</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48965-2023</t>
        </is>
      </c>
      <c r="B2505" t="inlineStr">
        <is>
          <t>avverkningsanmälan</t>
        </is>
      </c>
      <c r="C2505" t="inlineStr">
        <is>
          <t>Föryngringsavverkning</t>
        </is>
      </c>
      <c r="D2505" s="1" t="n">
        <v>45209</v>
      </c>
      <c r="E2505" s="1" t="n">
        <v>46312</v>
      </c>
      <c r="F2505" t="inlineStr">
        <is>
          <t>SKÅNE LÄN</t>
        </is>
      </c>
      <c r="G2505" t="inlineStr">
        <is>
          <t>KLIPPAN</t>
        </is>
      </c>
      <c r="I2505" t="n">
        <v>1.9</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12079-2024</t>
        </is>
      </c>
      <c r="B2506" t="inlineStr">
        <is>
          <t>avverkningsanmälan</t>
        </is>
      </c>
      <c r="C2506" t="inlineStr">
        <is>
          <t>Föryngringsavverkning</t>
        </is>
      </c>
      <c r="D2506" s="1" t="n">
        <v>45377</v>
      </c>
      <c r="E2506" s="1" t="n">
        <v>46312</v>
      </c>
      <c r="F2506" t="inlineStr">
        <is>
          <t>SKÅNE LÄN</t>
        </is>
      </c>
      <c r="G2506" t="inlineStr">
        <is>
          <t>ESLÖV</t>
        </is>
      </c>
      <c r="I2506" t="n">
        <v>6.9</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55504-2025</t>
        </is>
      </c>
      <c r="B2507" t="inlineStr">
        <is>
          <t>avverkningsanmälan</t>
        </is>
      </c>
      <c r="C2507" t="inlineStr">
        <is>
          <t>Föryngringsavverkning</t>
        </is>
      </c>
      <c r="D2507" s="1" t="n">
        <v>45971</v>
      </c>
      <c r="E2507" s="1" t="n">
        <v>46312</v>
      </c>
      <c r="F2507" t="inlineStr">
        <is>
          <t>SKÅNE LÄN</t>
        </is>
      </c>
      <c r="G2507" t="inlineStr">
        <is>
          <t>SIMRISHAMN</t>
        </is>
      </c>
      <c r="I2507" t="n">
        <v>0.6</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22964-2026</t>
        </is>
      </c>
      <c r="B2508" t="inlineStr">
        <is>
          <t>avverkningsanmälan</t>
        </is>
      </c>
      <c r="C2508" t="inlineStr">
        <is>
          <t>Föryngringsavverkning</t>
        </is>
      </c>
      <c r="D2508" s="1" t="n">
        <v>46160</v>
      </c>
      <c r="E2508" s="1" t="n">
        <v>46312</v>
      </c>
      <c r="F2508" t="inlineStr">
        <is>
          <t>SKÅNE LÄN</t>
        </is>
      </c>
      <c r="G2508" t="inlineStr">
        <is>
          <t>HÖÖR</t>
        </is>
      </c>
      <c r="I2508" t="n">
        <v>3.1</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9270-2022</t>
        </is>
      </c>
      <c r="B2509" t="inlineStr">
        <is>
          <t>avverkningsanmälan</t>
        </is>
      </c>
      <c r="C2509" t="inlineStr">
        <is>
          <t>Föryngringsavverkning</t>
        </is>
      </c>
      <c r="D2509" s="1" t="n">
        <v>44616</v>
      </c>
      <c r="E2509" s="1" t="n">
        <v>46312</v>
      </c>
      <c r="F2509" t="inlineStr">
        <is>
          <t>SKÅNE LÄN</t>
        </is>
      </c>
      <c r="G2509" t="inlineStr">
        <is>
          <t>KLIPPAN</t>
        </is>
      </c>
      <c r="I2509" t="n">
        <v>1.7</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23411-2026</t>
        </is>
      </c>
      <c r="B2510" t="inlineStr">
        <is>
          <t>avverkningsanmälan</t>
        </is>
      </c>
      <c r="C2510" t="inlineStr">
        <is>
          <t>Föryngringsavverkning</t>
        </is>
      </c>
      <c r="D2510" s="1" t="n">
        <v>46162</v>
      </c>
      <c r="E2510" s="1" t="n">
        <v>46312</v>
      </c>
      <c r="F2510" t="inlineStr">
        <is>
          <t>SKÅNE LÄN</t>
        </is>
      </c>
      <c r="G2510" t="inlineStr">
        <is>
          <t>HÄSSLEHOLM</t>
        </is>
      </c>
      <c r="I2510" t="n">
        <v>2.1</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55849-2025</t>
        </is>
      </c>
      <c r="B2511" t="inlineStr">
        <is>
          <t>avverkningsanmälan</t>
        </is>
      </c>
      <c r="C2511" t="inlineStr">
        <is>
          <t>Föryngringsavverkning</t>
        </is>
      </c>
      <c r="D2511" s="1" t="n">
        <v>45973</v>
      </c>
      <c r="E2511" s="1" t="n">
        <v>46312</v>
      </c>
      <c r="F2511" t="inlineStr">
        <is>
          <t>SKÅNE LÄN</t>
        </is>
      </c>
      <c r="G2511" t="inlineStr">
        <is>
          <t>OSBY</t>
        </is>
      </c>
      <c r="H2511" t="inlineStr">
        <is>
          <t>Sveaskog</t>
        </is>
      </c>
      <c r="I2511" t="n">
        <v>1.4</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55612-2025</t>
        </is>
      </c>
      <c r="B2512" t="inlineStr">
        <is>
          <t>avverkningsanmälan</t>
        </is>
      </c>
      <c r="C2512" t="inlineStr">
        <is>
          <t>Föryngringsavverkning</t>
        </is>
      </c>
      <c r="D2512" s="1" t="n">
        <v>45971</v>
      </c>
      <c r="E2512" s="1" t="n">
        <v>46312</v>
      </c>
      <c r="F2512" t="inlineStr">
        <is>
          <t>SKÅNE LÄN</t>
        </is>
      </c>
      <c r="G2512" t="inlineStr">
        <is>
          <t>OSBY</t>
        </is>
      </c>
      <c r="I2512" t="n">
        <v>6.2</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23259-2026</t>
        </is>
      </c>
      <c r="B2513" t="inlineStr">
        <is>
          <t>avverkningsanmälan</t>
        </is>
      </c>
      <c r="C2513" t="inlineStr">
        <is>
          <t>Föryngringsavverkning</t>
        </is>
      </c>
      <c r="D2513" s="1" t="n">
        <v>46162</v>
      </c>
      <c r="E2513" s="1" t="n">
        <v>46312</v>
      </c>
      <c r="F2513" t="inlineStr">
        <is>
          <t>SKÅNE LÄN</t>
        </is>
      </c>
      <c r="G2513" t="inlineStr">
        <is>
          <t>HÄSSLEHOLM</t>
        </is>
      </c>
      <c r="I2513" t="n">
        <v>0.2</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55458-2025</t>
        </is>
      </c>
      <c r="B2514" t="inlineStr">
        <is>
          <t>avverkningsanmälan</t>
        </is>
      </c>
      <c r="C2514" t="inlineStr">
        <is>
          <t>Föryngringsavverkning</t>
        </is>
      </c>
      <c r="D2514" s="1" t="n">
        <v>45971</v>
      </c>
      <c r="E2514" s="1" t="n">
        <v>46312</v>
      </c>
      <c r="F2514" t="inlineStr">
        <is>
          <t>SKÅNE LÄN</t>
        </is>
      </c>
      <c r="G2514" t="inlineStr">
        <is>
          <t>HÄSSLEHOLM</t>
        </is>
      </c>
      <c r="I2514" t="n">
        <v>0.5</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52615-2023</t>
        </is>
      </c>
      <c r="B2515" t="inlineStr">
        <is>
          <t>avverkningsanmälan</t>
        </is>
      </c>
      <c r="C2515" t="inlineStr">
        <is>
          <t>Föryngringsavverkning</t>
        </is>
      </c>
      <c r="D2515" s="1" t="n">
        <v>45219</v>
      </c>
      <c r="E2515" s="1" t="n">
        <v>46312</v>
      </c>
      <c r="F2515" t="inlineStr">
        <is>
          <t>SKÅNE LÄN</t>
        </is>
      </c>
      <c r="G2515" t="inlineStr">
        <is>
          <t>PERSTORP</t>
        </is>
      </c>
      <c r="H2515" t="inlineStr">
        <is>
          <t>Övriga Aktiebolag</t>
        </is>
      </c>
      <c r="I2515" t="n">
        <v>0.7</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55728-2025</t>
        </is>
      </c>
      <c r="B2516" t="inlineStr">
        <is>
          <t>avverkningsanmälan</t>
        </is>
      </c>
      <c r="C2516" t="inlineStr">
        <is>
          <t>Föryngringsavverkning</t>
        </is>
      </c>
      <c r="D2516" s="1" t="n">
        <v>45972</v>
      </c>
      <c r="E2516" s="1" t="n">
        <v>46312</v>
      </c>
      <c r="F2516" t="inlineStr">
        <is>
          <t>SKÅNE LÄN</t>
        </is>
      </c>
      <c r="G2516" t="inlineStr">
        <is>
          <t>ÄNGELHOLM</t>
        </is>
      </c>
      <c r="I2516" t="n">
        <v>1</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56042-2025</t>
        </is>
      </c>
      <c r="B2517" t="inlineStr">
        <is>
          <t>avverkningsanmälan</t>
        </is>
      </c>
      <c r="C2517" t="inlineStr">
        <is>
          <t>Föryngringsavverkning</t>
        </is>
      </c>
      <c r="D2517" s="1" t="n">
        <v>45973</v>
      </c>
      <c r="E2517" s="1" t="n">
        <v>46312</v>
      </c>
      <c r="F2517" t="inlineStr">
        <is>
          <t>SKÅNE LÄN</t>
        </is>
      </c>
      <c r="G2517" t="inlineStr">
        <is>
          <t>KRISTIANSTAD</t>
        </is>
      </c>
      <c r="H2517" t="inlineStr">
        <is>
          <t>Övriga Aktiebolag</t>
        </is>
      </c>
      <c r="I2517" t="n">
        <v>6.3</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23603-2026</t>
        </is>
      </c>
      <c r="B2518" t="inlineStr">
        <is>
          <t>avverkningsanmälan</t>
        </is>
      </c>
      <c r="C2518" t="inlineStr">
        <is>
          <t>Föryngringsavverkning</t>
        </is>
      </c>
      <c r="D2518" s="1" t="n">
        <v>46163</v>
      </c>
      <c r="E2518" s="1" t="n">
        <v>46312</v>
      </c>
      <c r="F2518" t="inlineStr">
        <is>
          <t>SKÅNE LÄN</t>
        </is>
      </c>
      <c r="G2518" t="inlineStr">
        <is>
          <t>ÖSTRA GÖINGE</t>
        </is>
      </c>
      <c r="I2518" t="n">
        <v>1</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55631-2025</t>
        </is>
      </c>
      <c r="B2519" t="inlineStr">
        <is>
          <t>avverkningsanmälan</t>
        </is>
      </c>
      <c r="C2519" t="inlineStr">
        <is>
          <t>Föryngringsavverkning</t>
        </is>
      </c>
      <c r="D2519" s="1" t="n">
        <v>45972</v>
      </c>
      <c r="E2519" s="1" t="n">
        <v>46312</v>
      </c>
      <c r="F2519" t="inlineStr">
        <is>
          <t>SKÅNE LÄN</t>
        </is>
      </c>
      <c r="G2519" t="inlineStr">
        <is>
          <t>KRISTIANSTAD</t>
        </is>
      </c>
      <c r="I2519" t="n">
        <v>1.1</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56011-2025</t>
        </is>
      </c>
      <c r="B2520" t="inlineStr">
        <is>
          <t>avverkningsanmälan</t>
        </is>
      </c>
      <c r="C2520" t="inlineStr">
        <is>
          <t>Föryngringsavverkning</t>
        </is>
      </c>
      <c r="D2520" s="1" t="n">
        <v>45973</v>
      </c>
      <c r="E2520" s="1" t="n">
        <v>46312</v>
      </c>
      <c r="F2520" t="inlineStr">
        <is>
          <t>SKÅNE LÄN</t>
        </is>
      </c>
      <c r="G2520" t="inlineStr">
        <is>
          <t>KRISTIANSTAD</t>
        </is>
      </c>
      <c r="H2520" t="inlineStr">
        <is>
          <t>Övriga Aktiebolag</t>
        </is>
      </c>
      <c r="I2520" t="n">
        <v>8.6</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23258-2026</t>
        </is>
      </c>
      <c r="B2521" t="inlineStr">
        <is>
          <t>avverkningsanmälan</t>
        </is>
      </c>
      <c r="C2521" t="inlineStr">
        <is>
          <t>Föryngringsavverkning</t>
        </is>
      </c>
      <c r="D2521" s="1" t="n">
        <v>46162</v>
      </c>
      <c r="E2521" s="1" t="n">
        <v>46312</v>
      </c>
      <c r="F2521" t="inlineStr">
        <is>
          <t>SKÅNE LÄN</t>
        </is>
      </c>
      <c r="G2521" t="inlineStr">
        <is>
          <t>HÄSSLEHOLM</t>
        </is>
      </c>
      <c r="I2521" t="n">
        <v>0.6</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23266-2026</t>
        </is>
      </c>
      <c r="B2522" t="inlineStr">
        <is>
          <t>avverkningsanmälan</t>
        </is>
      </c>
      <c r="C2522" t="inlineStr">
        <is>
          <t>Föryngringsavverkning</t>
        </is>
      </c>
      <c r="D2522" s="1" t="n">
        <v>46162</v>
      </c>
      <c r="E2522" s="1" t="n">
        <v>46312</v>
      </c>
      <c r="F2522" t="inlineStr">
        <is>
          <t>SKÅNE LÄN</t>
        </is>
      </c>
      <c r="G2522" t="inlineStr">
        <is>
          <t>HÄSSLEHOLM</t>
        </is>
      </c>
      <c r="I2522" t="n">
        <v>1.2</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19532-2023</t>
        </is>
      </c>
      <c r="B2523" t="inlineStr">
        <is>
          <t>avverkningsanmälan</t>
        </is>
      </c>
      <c r="C2523" t="inlineStr">
        <is>
          <t>Föryngringsavverkning</t>
        </is>
      </c>
      <c r="D2523" s="1" t="n">
        <v>45049</v>
      </c>
      <c r="E2523" s="1" t="n">
        <v>46312</v>
      </c>
      <c r="F2523" t="inlineStr">
        <is>
          <t>SKÅNE LÄN</t>
        </is>
      </c>
      <c r="G2523" t="inlineStr">
        <is>
          <t>KRISTIANSTAD</t>
        </is>
      </c>
      <c r="I2523" t="n">
        <v>0.9</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14495-2023</t>
        </is>
      </c>
      <c r="B2524" t="inlineStr">
        <is>
          <t>avverkningsanmälan</t>
        </is>
      </c>
      <c r="C2524" t="inlineStr">
        <is>
          <t>Föryngringsavverkning</t>
        </is>
      </c>
      <c r="D2524" s="1" t="n">
        <v>45012</v>
      </c>
      <c r="E2524" s="1" t="n">
        <v>46312</v>
      </c>
      <c r="F2524" t="inlineStr">
        <is>
          <t>SKÅNE LÄN</t>
        </is>
      </c>
      <c r="G2524" t="inlineStr">
        <is>
          <t>OSBY</t>
        </is>
      </c>
      <c r="I2524" t="n">
        <v>1.3</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55455-2025</t>
        </is>
      </c>
      <c r="B2525" t="inlineStr">
        <is>
          <t>avverkningsanmälan</t>
        </is>
      </c>
      <c r="C2525" t="inlineStr">
        <is>
          <t>Föryngringsavverkning</t>
        </is>
      </c>
      <c r="D2525" s="1" t="n">
        <v>45971</v>
      </c>
      <c r="E2525" s="1" t="n">
        <v>46312</v>
      </c>
      <c r="F2525" t="inlineStr">
        <is>
          <t>SKÅNE LÄN</t>
        </is>
      </c>
      <c r="G2525" t="inlineStr">
        <is>
          <t>HÄSSLEHOLM</t>
        </is>
      </c>
      <c r="I2525" t="n">
        <v>0.6</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55696-2025</t>
        </is>
      </c>
      <c r="B2526" t="inlineStr">
        <is>
          <t>avverkningsanmälan</t>
        </is>
      </c>
      <c r="C2526" t="inlineStr">
        <is>
          <t>Föryngringsavverkning</t>
        </is>
      </c>
      <c r="D2526" s="1" t="n">
        <v>45972</v>
      </c>
      <c r="E2526" s="1" t="n">
        <v>46312</v>
      </c>
      <c r="F2526" t="inlineStr">
        <is>
          <t>SKÅNE LÄN</t>
        </is>
      </c>
      <c r="G2526" t="inlineStr">
        <is>
          <t>KLIPPAN</t>
        </is>
      </c>
      <c r="I2526" t="n">
        <v>0.7</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55762-2025</t>
        </is>
      </c>
      <c r="B2527" t="inlineStr">
        <is>
          <t>avverkningsanmälan</t>
        </is>
      </c>
      <c r="C2527" t="inlineStr">
        <is>
          <t>Föryngringsavverkning</t>
        </is>
      </c>
      <c r="D2527" s="1" t="n">
        <v>45972</v>
      </c>
      <c r="E2527" s="1" t="n">
        <v>46312</v>
      </c>
      <c r="F2527" t="inlineStr">
        <is>
          <t>SKÅNE LÄN</t>
        </is>
      </c>
      <c r="G2527" t="inlineStr">
        <is>
          <t>BROMÖLLA</t>
        </is>
      </c>
      <c r="I2527" t="n">
        <v>2.3</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55826-2025</t>
        </is>
      </c>
      <c r="B2528" t="inlineStr">
        <is>
          <t>avverkningsanmälan</t>
        </is>
      </c>
      <c r="C2528" t="inlineStr">
        <is>
          <t>Föryngringsavverkning</t>
        </is>
      </c>
      <c r="D2528" s="1" t="n">
        <v>45972</v>
      </c>
      <c r="E2528" s="1" t="n">
        <v>46312</v>
      </c>
      <c r="F2528" t="inlineStr">
        <is>
          <t>SKÅNE LÄN</t>
        </is>
      </c>
      <c r="G2528" t="inlineStr">
        <is>
          <t>ÖSTRA GÖINGE</t>
        </is>
      </c>
      <c r="H2528" t="inlineStr">
        <is>
          <t>Sveaskog</t>
        </is>
      </c>
      <c r="I2528" t="n">
        <v>11</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18503-2026</t>
        </is>
      </c>
      <c r="B2529" t="inlineStr">
        <is>
          <t>avverkningsanmälan</t>
        </is>
      </c>
      <c r="C2529" t="inlineStr">
        <is>
          <t>Föryngringsavverkning</t>
        </is>
      </c>
      <c r="D2529" s="1" t="n">
        <v>46127</v>
      </c>
      <c r="E2529" s="1" t="n">
        <v>46312</v>
      </c>
      <c r="F2529" t="inlineStr">
        <is>
          <t>SKÅNE LÄN</t>
        </is>
      </c>
      <c r="G2529" t="inlineStr">
        <is>
          <t>ESLÖV</t>
        </is>
      </c>
      <c r="I2529" t="n">
        <v>4.9</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8249-2023</t>
        </is>
      </c>
      <c r="B2530" t="inlineStr">
        <is>
          <t>avverkningsanmälan</t>
        </is>
      </c>
      <c r="C2530" t="inlineStr">
        <is>
          <t>Föryngringsavverkning</t>
        </is>
      </c>
      <c r="D2530" s="1" t="n">
        <v>44974</v>
      </c>
      <c r="E2530" s="1" t="n">
        <v>46312</v>
      </c>
      <c r="F2530" t="inlineStr">
        <is>
          <t>SKÅNE LÄN</t>
        </is>
      </c>
      <c r="G2530" t="inlineStr">
        <is>
          <t>HÄSSLEHOLM</t>
        </is>
      </c>
      <c r="I2530" t="n">
        <v>5.8</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36842-2024</t>
        </is>
      </c>
      <c r="B2531" t="inlineStr">
        <is>
          <t>avverkningsanmälan</t>
        </is>
      </c>
      <c r="C2531" t="inlineStr">
        <is>
          <t>Föryngringsavverkning</t>
        </is>
      </c>
      <c r="D2531" s="1" t="n">
        <v>45538</v>
      </c>
      <c r="E2531" s="1" t="n">
        <v>46312</v>
      </c>
      <c r="F2531" t="inlineStr">
        <is>
          <t>SKÅNE LÄN</t>
        </is>
      </c>
      <c r="G2531" t="inlineStr">
        <is>
          <t>KLIPPAN</t>
        </is>
      </c>
      <c r="H2531" t="inlineStr">
        <is>
          <t>Sveaskog</t>
        </is>
      </c>
      <c r="I2531" t="n">
        <v>3.8</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23599-2026</t>
        </is>
      </c>
      <c r="B2532" t="inlineStr">
        <is>
          <t>avverkningsanmälan</t>
        </is>
      </c>
      <c r="C2532" t="inlineStr">
        <is>
          <t>Föryngringsavverkning</t>
        </is>
      </c>
      <c r="D2532" s="1" t="n">
        <v>46163</v>
      </c>
      <c r="E2532" s="1" t="n">
        <v>46312</v>
      </c>
      <c r="F2532" t="inlineStr">
        <is>
          <t>SKÅNE LÄN</t>
        </is>
      </c>
      <c r="G2532" t="inlineStr">
        <is>
          <t>ÖSTRA GÖINGE</t>
        </is>
      </c>
      <c r="I2532" t="n">
        <v>1.8</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33462-2025</t>
        </is>
      </c>
      <c r="B2533" t="inlineStr">
        <is>
          <t>avverkningsanmälan</t>
        </is>
      </c>
      <c r="C2533" t="inlineStr">
        <is>
          <t>Föryngringsavverkning</t>
        </is>
      </c>
      <c r="D2533" s="1" t="n">
        <v>45841</v>
      </c>
      <c r="E2533" s="1" t="n">
        <v>46312</v>
      </c>
      <c r="F2533" t="inlineStr">
        <is>
          <t>SKÅNE LÄN</t>
        </is>
      </c>
      <c r="G2533" t="inlineStr">
        <is>
          <t>KLIPPAN</t>
        </is>
      </c>
      <c r="I2533" t="n">
        <v>1</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45092-2024</t>
        </is>
      </c>
      <c r="B2534" t="inlineStr">
        <is>
          <t>avverkningsanmälan</t>
        </is>
      </c>
      <c r="C2534" t="inlineStr">
        <is>
          <t>Föryngringsavverkning</t>
        </is>
      </c>
      <c r="D2534" s="1" t="n">
        <v>45575</v>
      </c>
      <c r="E2534" s="1" t="n">
        <v>46312</v>
      </c>
      <c r="F2534" t="inlineStr">
        <is>
          <t>SKÅNE LÄN</t>
        </is>
      </c>
      <c r="G2534" t="inlineStr">
        <is>
          <t>HÖÖR</t>
        </is>
      </c>
      <c r="I2534" t="n">
        <v>0.6</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56304-2025</t>
        </is>
      </c>
      <c r="B2535" t="inlineStr">
        <is>
          <t>avverkningsanmälan</t>
        </is>
      </c>
      <c r="C2535" t="inlineStr">
        <is>
          <t>Föryngringsavverkning</t>
        </is>
      </c>
      <c r="D2535" s="1" t="n">
        <v>45974</v>
      </c>
      <c r="E2535" s="1" t="n">
        <v>46312</v>
      </c>
      <c r="F2535" t="inlineStr">
        <is>
          <t>SKÅNE LÄN</t>
        </is>
      </c>
      <c r="G2535" t="inlineStr">
        <is>
          <t>HÖÖR</t>
        </is>
      </c>
      <c r="I2535" t="n">
        <v>1.7</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56307-2025</t>
        </is>
      </c>
      <c r="B2536" t="inlineStr">
        <is>
          <t>avverkningsanmälan</t>
        </is>
      </c>
      <c r="C2536" t="inlineStr">
        <is>
          <t>Föryngringsavverkning</t>
        </is>
      </c>
      <c r="D2536" s="1" t="n">
        <v>45974</v>
      </c>
      <c r="E2536" s="1" t="n">
        <v>46312</v>
      </c>
      <c r="F2536" t="inlineStr">
        <is>
          <t>SKÅNE LÄN</t>
        </is>
      </c>
      <c r="G2536" t="inlineStr">
        <is>
          <t>HÖÖR</t>
        </is>
      </c>
      <c r="I2536" t="n">
        <v>0.8</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814-2024</t>
        </is>
      </c>
      <c r="B2537" t="inlineStr">
        <is>
          <t>avverkningsanmälan</t>
        </is>
      </c>
      <c r="C2537" t="inlineStr">
        <is>
          <t>Föryngringsavverkning</t>
        </is>
      </c>
      <c r="D2537" s="1" t="n">
        <v>45300</v>
      </c>
      <c r="E2537" s="1" t="n">
        <v>46312</v>
      </c>
      <c r="F2537" t="inlineStr">
        <is>
          <t>SKÅNE LÄN</t>
        </is>
      </c>
      <c r="G2537" t="inlineStr">
        <is>
          <t>BROMÖLLA</t>
        </is>
      </c>
      <c r="I2537" t="n">
        <v>3.4</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13263-2024</t>
        </is>
      </c>
      <c r="B2538" t="inlineStr">
        <is>
          <t>avverkningsanmälan</t>
        </is>
      </c>
      <c r="C2538" t="inlineStr">
        <is>
          <t>Föryngringsavverkning</t>
        </is>
      </c>
      <c r="D2538" s="1" t="n">
        <v>45386</v>
      </c>
      <c r="E2538" s="1" t="n">
        <v>46312</v>
      </c>
      <c r="F2538" t="inlineStr">
        <is>
          <t>SKÅNE LÄN</t>
        </is>
      </c>
      <c r="G2538" t="inlineStr">
        <is>
          <t>KRISTIANSTAD</t>
        </is>
      </c>
      <c r="I2538" t="n">
        <v>1</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13273-2024</t>
        </is>
      </c>
      <c r="B2539" t="inlineStr">
        <is>
          <t>avverkningsanmälan</t>
        </is>
      </c>
      <c r="C2539" t="inlineStr">
        <is>
          <t>Föryngringsavverkning</t>
        </is>
      </c>
      <c r="D2539" s="1" t="n">
        <v>45386</v>
      </c>
      <c r="E2539" s="1" t="n">
        <v>46312</v>
      </c>
      <c r="F2539" t="inlineStr">
        <is>
          <t>SKÅNE LÄN</t>
        </is>
      </c>
      <c r="G2539" t="inlineStr">
        <is>
          <t>SVALÖV</t>
        </is>
      </c>
      <c r="I2539" t="n">
        <v>12.4</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23265-2026</t>
        </is>
      </c>
      <c r="B2540" t="inlineStr">
        <is>
          <t>avverkningsanmälan</t>
        </is>
      </c>
      <c r="C2540" t="inlineStr">
        <is>
          <t>Föryngringsavverkning</t>
        </is>
      </c>
      <c r="D2540" s="1" t="n">
        <v>46162</v>
      </c>
      <c r="E2540" s="1" t="n">
        <v>46312</v>
      </c>
      <c r="F2540" t="inlineStr">
        <is>
          <t>SKÅNE LÄN</t>
        </is>
      </c>
      <c r="G2540" t="inlineStr">
        <is>
          <t>HÄSSLEHOLM</t>
        </is>
      </c>
      <c r="I2540" t="n">
        <v>0.7</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9559-2022</t>
        </is>
      </c>
      <c r="B2541" t="inlineStr">
        <is>
          <t>avverkningsanmälan</t>
        </is>
      </c>
      <c r="C2541" t="inlineStr">
        <is>
          <t>Föryngringsavverkning</t>
        </is>
      </c>
      <c r="D2541" s="1" t="n">
        <v>44617</v>
      </c>
      <c r="E2541" s="1" t="n">
        <v>46312</v>
      </c>
      <c r="F2541" t="inlineStr">
        <is>
          <t>SKÅNE LÄN</t>
        </is>
      </c>
      <c r="G2541" t="inlineStr">
        <is>
          <t>ÖRKELLJUNGA</t>
        </is>
      </c>
      <c r="I2541" t="n">
        <v>1.4</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12134-2024</t>
        </is>
      </c>
      <c r="B2542" t="inlineStr">
        <is>
          <t>avverkningsanmälan</t>
        </is>
      </c>
      <c r="C2542" t="inlineStr">
        <is>
          <t>Föryngringsavverkning</t>
        </is>
      </c>
      <c r="D2542" s="1" t="n">
        <v>45377</v>
      </c>
      <c r="E2542" s="1" t="n">
        <v>46312</v>
      </c>
      <c r="F2542" t="inlineStr">
        <is>
          <t>SKÅNE LÄN</t>
        </is>
      </c>
      <c r="G2542" t="inlineStr">
        <is>
          <t>KRISTIANSTAD</t>
        </is>
      </c>
      <c r="I2542" t="n">
        <v>0.7</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56455-2025</t>
        </is>
      </c>
      <c r="B2543" t="inlineStr">
        <is>
          <t>avverkningsanmälan</t>
        </is>
      </c>
      <c r="C2543" t="inlineStr">
        <is>
          <t>Föryngringsavverkning</t>
        </is>
      </c>
      <c r="D2543" s="1" t="n">
        <v>45975</v>
      </c>
      <c r="E2543" s="1" t="n">
        <v>46312</v>
      </c>
      <c r="F2543" t="inlineStr">
        <is>
          <t>SKÅNE LÄN</t>
        </is>
      </c>
      <c r="G2543" t="inlineStr">
        <is>
          <t>ÖRKELLJUNGA</t>
        </is>
      </c>
      <c r="I2543" t="n">
        <v>0.4</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47840-2023</t>
        </is>
      </c>
      <c r="B2544" t="inlineStr">
        <is>
          <t>avverkningsanmälan</t>
        </is>
      </c>
      <c r="C2544" t="inlineStr">
        <is>
          <t>Föryngringsavverkning</t>
        </is>
      </c>
      <c r="D2544" s="1" t="n">
        <v>45204</v>
      </c>
      <c r="E2544" s="1" t="n">
        <v>46312</v>
      </c>
      <c r="F2544" t="inlineStr">
        <is>
          <t>SKÅNE LÄN</t>
        </is>
      </c>
      <c r="G2544" t="inlineStr">
        <is>
          <t>HÄSSLEHOLM</t>
        </is>
      </c>
      <c r="I2544" t="n">
        <v>2.4</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31925-2024</t>
        </is>
      </c>
      <c r="B2545" t="inlineStr">
        <is>
          <t>avverkningsanmälan</t>
        </is>
      </c>
      <c r="C2545" t="inlineStr">
        <is>
          <t>Föryngringsavverkning</t>
        </is>
      </c>
      <c r="D2545" s="1" t="n">
        <v>45510</v>
      </c>
      <c r="E2545" s="1" t="n">
        <v>46312</v>
      </c>
      <c r="F2545" t="inlineStr">
        <is>
          <t>SKÅNE LÄN</t>
        </is>
      </c>
      <c r="G2545" t="inlineStr">
        <is>
          <t>ÖRKELLJUNGA</t>
        </is>
      </c>
      <c r="I2545" t="n">
        <v>2.9</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15181-2022</t>
        </is>
      </c>
      <c r="B2546" t="inlineStr">
        <is>
          <t>avverkningsanmälan</t>
        </is>
      </c>
      <c r="C2546" t="inlineStr">
        <is>
          <t>Föryngringsavverkning</t>
        </is>
      </c>
      <c r="D2546" s="1" t="n">
        <v>44658</v>
      </c>
      <c r="E2546" s="1" t="n">
        <v>46312</v>
      </c>
      <c r="F2546" t="inlineStr">
        <is>
          <t>SKÅNE LÄN</t>
        </is>
      </c>
      <c r="G2546" t="inlineStr">
        <is>
          <t>OSBY</t>
        </is>
      </c>
      <c r="I2546" t="n">
        <v>0.5</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56610-2025</t>
        </is>
      </c>
      <c r="B2547" t="inlineStr">
        <is>
          <t>avverkningsanmälan</t>
        </is>
      </c>
      <c r="C2547" t="inlineStr">
        <is>
          <t>Föryngringsavverkning</t>
        </is>
      </c>
      <c r="D2547" s="1" t="n">
        <v>45975</v>
      </c>
      <c r="E2547" s="1" t="n">
        <v>46312</v>
      </c>
      <c r="F2547" t="inlineStr">
        <is>
          <t>SKÅNE LÄN</t>
        </is>
      </c>
      <c r="G2547" t="inlineStr">
        <is>
          <t>ÖSTRA GÖINGE</t>
        </is>
      </c>
      <c r="I2547" t="n">
        <v>0.6</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56665-2025</t>
        </is>
      </c>
      <c r="B2548" t="inlineStr">
        <is>
          <t>avverkningsanmälan</t>
        </is>
      </c>
      <c r="C2548" t="inlineStr">
        <is>
          <t>Föryngringsavverkning</t>
        </is>
      </c>
      <c r="D2548" s="1" t="n">
        <v>45975</v>
      </c>
      <c r="E2548" s="1" t="n">
        <v>46312</v>
      </c>
      <c r="F2548" t="inlineStr">
        <is>
          <t>SKÅNE LÄN</t>
        </is>
      </c>
      <c r="G2548" t="inlineStr">
        <is>
          <t>OSBY</t>
        </is>
      </c>
      <c r="I2548" t="n">
        <v>3.9</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56667-2025</t>
        </is>
      </c>
      <c r="B2549" t="inlineStr">
        <is>
          <t>avverkningsanmälan</t>
        </is>
      </c>
      <c r="C2549" t="inlineStr">
        <is>
          <t>Föryngringsavverkning</t>
        </is>
      </c>
      <c r="D2549" s="1" t="n">
        <v>45975</v>
      </c>
      <c r="E2549" s="1" t="n">
        <v>46312</v>
      </c>
      <c r="F2549" t="inlineStr">
        <is>
          <t>SKÅNE LÄN</t>
        </is>
      </c>
      <c r="G2549" t="inlineStr">
        <is>
          <t>HÄSSLEHOLM</t>
        </is>
      </c>
      <c r="I2549" t="n">
        <v>4.4</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62277-2023</t>
        </is>
      </c>
      <c r="B2550" t="inlineStr">
        <is>
          <t>avverkningsanmälan</t>
        </is>
      </c>
      <c r="C2550" t="inlineStr">
        <is>
          <t>Föryngringsavverkning</t>
        </is>
      </c>
      <c r="D2550" s="1" t="n">
        <v>45266</v>
      </c>
      <c r="E2550" s="1" t="n">
        <v>46312</v>
      </c>
      <c r="F2550" t="inlineStr">
        <is>
          <t>SKÅNE LÄN</t>
        </is>
      </c>
      <c r="G2550" t="inlineStr">
        <is>
          <t>HÄSSLEHOLM</t>
        </is>
      </c>
      <c r="I2550" t="n">
        <v>1.2</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55703-2024</t>
        </is>
      </c>
      <c r="B2551" t="inlineStr">
        <is>
          <t>avverkningsanmälan</t>
        </is>
      </c>
      <c r="C2551" t="inlineStr">
        <is>
          <t>Föryngringsavverkning</t>
        </is>
      </c>
      <c r="D2551" s="1" t="n">
        <v>45622</v>
      </c>
      <c r="E2551" s="1" t="n">
        <v>46312</v>
      </c>
      <c r="F2551" t="inlineStr">
        <is>
          <t>SKÅNE LÄN</t>
        </is>
      </c>
      <c r="G2551" t="inlineStr">
        <is>
          <t>ÖSTRA GÖINGE</t>
        </is>
      </c>
      <c r="H2551" t="inlineStr">
        <is>
          <t>Sveaskog</t>
        </is>
      </c>
      <c r="I2551" t="n">
        <v>0.7</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34369-2023</t>
        </is>
      </c>
      <c r="B2552" t="inlineStr">
        <is>
          <t>avverkningsanmälan</t>
        </is>
      </c>
      <c r="C2552" t="inlineStr">
        <is>
          <t>Föryngringsavverkning</t>
        </is>
      </c>
      <c r="D2552" s="1" t="n">
        <v>45139</v>
      </c>
      <c r="E2552" s="1" t="n">
        <v>46312</v>
      </c>
      <c r="F2552" t="inlineStr">
        <is>
          <t>SKÅNE LÄN</t>
        </is>
      </c>
      <c r="G2552" t="inlineStr">
        <is>
          <t>HÄSSLEHOLM</t>
        </is>
      </c>
      <c r="I2552" t="n">
        <v>2</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2364-2024</t>
        </is>
      </c>
      <c r="B2553" t="inlineStr">
        <is>
          <t>avverkningsanmälan</t>
        </is>
      </c>
      <c r="C2553" t="inlineStr">
        <is>
          <t>Föryngringsavverkning</t>
        </is>
      </c>
      <c r="D2553" s="1" t="n">
        <v>45310</v>
      </c>
      <c r="E2553" s="1" t="n">
        <v>46312</v>
      </c>
      <c r="F2553" t="inlineStr">
        <is>
          <t>SKÅNE LÄN</t>
        </is>
      </c>
      <c r="G2553" t="inlineStr">
        <is>
          <t>ÖSTRA GÖINGE</t>
        </is>
      </c>
      <c r="I2553" t="n">
        <v>7.7</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23249-2026</t>
        </is>
      </c>
      <c r="B2554" t="inlineStr">
        <is>
          <t>avverkningsanmälan</t>
        </is>
      </c>
      <c r="C2554" t="inlineStr">
        <is>
          <t>Föryngringsavverkning</t>
        </is>
      </c>
      <c r="D2554" s="1" t="n">
        <v>46162</v>
      </c>
      <c r="E2554" s="1" t="n">
        <v>46312</v>
      </c>
      <c r="F2554" t="inlineStr">
        <is>
          <t>SKÅNE LÄN</t>
        </is>
      </c>
      <c r="G2554" t="inlineStr">
        <is>
          <t>HÄSSLEHOLM</t>
        </is>
      </c>
      <c r="I2554" t="n">
        <v>1.4</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23284-2026</t>
        </is>
      </c>
      <c r="B2555" t="inlineStr">
        <is>
          <t>avverkningsanmälan</t>
        </is>
      </c>
      <c r="C2555" t="inlineStr">
        <is>
          <t>Föryngringsavverkning</t>
        </is>
      </c>
      <c r="D2555" s="1" t="n">
        <v>46162</v>
      </c>
      <c r="E2555" s="1" t="n">
        <v>46312</v>
      </c>
      <c r="F2555" t="inlineStr">
        <is>
          <t>SKÅNE LÄN</t>
        </is>
      </c>
      <c r="G2555" t="inlineStr">
        <is>
          <t>HÄSSLEHOLM</t>
        </is>
      </c>
      <c r="I2555" t="n">
        <v>0.9</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23378-2026</t>
        </is>
      </c>
      <c r="B2556" t="inlineStr">
        <is>
          <t>avverkningsanmälan</t>
        </is>
      </c>
      <c r="C2556" t="inlineStr">
        <is>
          <t>Föryngringsavverkning</t>
        </is>
      </c>
      <c r="D2556" s="1" t="n">
        <v>46162</v>
      </c>
      <c r="E2556" s="1" t="n">
        <v>46312</v>
      </c>
      <c r="F2556" t="inlineStr">
        <is>
          <t>SKÅNE LÄN</t>
        </is>
      </c>
      <c r="G2556" t="inlineStr">
        <is>
          <t>HÄSSLEHOLM</t>
        </is>
      </c>
      <c r="I2556" t="n">
        <v>5.3</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48627-2023</t>
        </is>
      </c>
      <c r="B2557" t="inlineStr">
        <is>
          <t>avverkningsanmälan</t>
        </is>
      </c>
      <c r="C2557" t="inlineStr">
        <is>
          <t>Föryngringsavverkning</t>
        </is>
      </c>
      <c r="D2557" s="1" t="n">
        <v>45208</v>
      </c>
      <c r="E2557" s="1" t="n">
        <v>46312</v>
      </c>
      <c r="F2557" t="inlineStr">
        <is>
          <t>SKÅNE LÄN</t>
        </is>
      </c>
      <c r="G2557" t="inlineStr">
        <is>
          <t>HÄSSLEHOLM</t>
        </is>
      </c>
      <c r="I2557" t="n">
        <v>1.9</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11607-2025</t>
        </is>
      </c>
      <c r="B2558" t="inlineStr">
        <is>
          <t>avverkningsanmälan</t>
        </is>
      </c>
      <c r="C2558" t="inlineStr">
        <is>
          <t>Föryngringsavverkning</t>
        </is>
      </c>
      <c r="D2558" s="1" t="n">
        <v>45727</v>
      </c>
      <c r="E2558" s="1" t="n">
        <v>46312</v>
      </c>
      <c r="F2558" t="inlineStr">
        <is>
          <t>SKÅNE LÄN</t>
        </is>
      </c>
      <c r="G2558" t="inlineStr">
        <is>
          <t>HÄSSLEHOLM</t>
        </is>
      </c>
      <c r="I2558" t="n">
        <v>4.1</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13952-2025</t>
        </is>
      </c>
      <c r="B2559" t="inlineStr">
        <is>
          <t>avverkningsanmälan</t>
        </is>
      </c>
      <c r="C2559" t="inlineStr">
        <is>
          <t>Avverkning för annat ändamål</t>
        </is>
      </c>
      <c r="D2559" s="1" t="n">
        <v>45737</v>
      </c>
      <c r="E2559" s="1" t="n">
        <v>46312</v>
      </c>
      <c r="F2559" t="inlineStr">
        <is>
          <t>SKÅNE LÄN</t>
        </is>
      </c>
      <c r="G2559" t="inlineStr">
        <is>
          <t>KRISTIANSTAD</t>
        </is>
      </c>
      <c r="I2559" t="n">
        <v>0.7</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13972-2025</t>
        </is>
      </c>
      <c r="B2560" t="inlineStr">
        <is>
          <t>avverkningsanmälan</t>
        </is>
      </c>
      <c r="C2560" t="inlineStr">
        <is>
          <t>Föryngringsavverkning</t>
        </is>
      </c>
      <c r="D2560" s="1" t="n">
        <v>45738</v>
      </c>
      <c r="E2560" s="1" t="n">
        <v>46312</v>
      </c>
      <c r="F2560" t="inlineStr">
        <is>
          <t>SKÅNE LÄN</t>
        </is>
      </c>
      <c r="G2560" t="inlineStr">
        <is>
          <t>KRISTIANSTAD</t>
        </is>
      </c>
      <c r="I2560" t="n">
        <v>2.5</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57016-2025</t>
        </is>
      </c>
      <c r="B2561" t="inlineStr">
        <is>
          <t>avverkningsanmälan</t>
        </is>
      </c>
      <c r="C2561" t="inlineStr">
        <is>
          <t>Föryngringsavverkning</t>
        </is>
      </c>
      <c r="D2561" s="1" t="n">
        <v>45978</v>
      </c>
      <c r="E2561" s="1" t="n">
        <v>46312</v>
      </c>
      <c r="F2561" t="inlineStr">
        <is>
          <t>SKÅNE LÄN</t>
        </is>
      </c>
      <c r="G2561" t="inlineStr">
        <is>
          <t>KRISTIANSTAD</t>
        </is>
      </c>
      <c r="I2561" t="n">
        <v>7.6</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57269-2025</t>
        </is>
      </c>
      <c r="B2562" t="inlineStr">
        <is>
          <t>avverkningsanmälan</t>
        </is>
      </c>
      <c r="C2562" t="inlineStr">
        <is>
          <t>Föryngringsavverkning</t>
        </is>
      </c>
      <c r="D2562" s="1" t="n">
        <v>45979</v>
      </c>
      <c r="E2562" s="1" t="n">
        <v>46312</v>
      </c>
      <c r="F2562" t="inlineStr">
        <is>
          <t>SKÅNE LÄN</t>
        </is>
      </c>
      <c r="G2562" t="inlineStr">
        <is>
          <t>HÖRBY</t>
        </is>
      </c>
      <c r="H2562" t="inlineStr">
        <is>
          <t>Sveaskog</t>
        </is>
      </c>
      <c r="I2562" t="n">
        <v>5.5</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57351-2025</t>
        </is>
      </c>
      <c r="B2563" t="inlineStr">
        <is>
          <t>avverkningsanmälan</t>
        </is>
      </c>
      <c r="C2563" t="inlineStr">
        <is>
          <t>Föryngringsavverkning</t>
        </is>
      </c>
      <c r="D2563" s="1" t="n">
        <v>45979</v>
      </c>
      <c r="E2563" s="1" t="n">
        <v>46312</v>
      </c>
      <c r="F2563" t="inlineStr">
        <is>
          <t>SKÅNE LÄN</t>
        </is>
      </c>
      <c r="G2563" t="inlineStr">
        <is>
          <t>KRISTIANSTAD</t>
        </is>
      </c>
      <c r="I2563" t="n">
        <v>0.5</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720-2025</t>
        </is>
      </c>
      <c r="B2564" t="inlineStr">
        <is>
          <t>avverkningsanmälan</t>
        </is>
      </c>
      <c r="C2564" t="inlineStr">
        <is>
          <t>Föryngringsavverkning</t>
        </is>
      </c>
      <c r="D2564" s="1" t="n">
        <v>45665</v>
      </c>
      <c r="E2564" s="1" t="n">
        <v>46312</v>
      </c>
      <c r="F2564" t="inlineStr">
        <is>
          <t>SKÅNE LÄN</t>
        </is>
      </c>
      <c r="G2564" t="inlineStr">
        <is>
          <t>HÄSSLEHOLM</t>
        </is>
      </c>
      <c r="I2564" t="n">
        <v>1.3</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23285-2026</t>
        </is>
      </c>
      <c r="B2565" t="inlineStr">
        <is>
          <t>avverkningsanmälan</t>
        </is>
      </c>
      <c r="C2565" t="inlineStr">
        <is>
          <t>Föryngringsavverkning</t>
        </is>
      </c>
      <c r="D2565" s="1" t="n">
        <v>46162</v>
      </c>
      <c r="E2565" s="1" t="n">
        <v>46312</v>
      </c>
      <c r="F2565" t="inlineStr">
        <is>
          <t>SKÅNE LÄN</t>
        </is>
      </c>
      <c r="G2565" t="inlineStr">
        <is>
          <t>HÄSSLEHOLM</t>
        </is>
      </c>
      <c r="I2565" t="n">
        <v>0.4</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10714-2024</t>
        </is>
      </c>
      <c r="B2566" t="inlineStr">
        <is>
          <t>avverkningsanmälan</t>
        </is>
      </c>
      <c r="C2566" t="inlineStr">
        <is>
          <t>Föryngringsavverkning</t>
        </is>
      </c>
      <c r="D2566" s="1" t="n">
        <v>45369</v>
      </c>
      <c r="E2566" s="1" t="n">
        <v>46312</v>
      </c>
      <c r="F2566" t="inlineStr">
        <is>
          <t>SKÅNE LÄN</t>
        </is>
      </c>
      <c r="G2566" t="inlineStr">
        <is>
          <t>OSBY</t>
        </is>
      </c>
      <c r="I2566" t="n">
        <v>0.4</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3534-2025</t>
        </is>
      </c>
      <c r="B2567" t="inlineStr">
        <is>
          <t>avverkningsanmälan</t>
        </is>
      </c>
      <c r="C2567" t="inlineStr">
        <is>
          <t>Föryngringsavverkning</t>
        </is>
      </c>
      <c r="D2567" s="1" t="n">
        <v>45680</v>
      </c>
      <c r="E2567" s="1" t="n">
        <v>46312</v>
      </c>
      <c r="F2567" t="inlineStr">
        <is>
          <t>SKÅNE LÄN</t>
        </is>
      </c>
      <c r="G2567" t="inlineStr">
        <is>
          <t>HÖRBY</t>
        </is>
      </c>
      <c r="H2567" t="inlineStr">
        <is>
          <t>Kyrkan</t>
        </is>
      </c>
      <c r="I2567" t="n">
        <v>4.8</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34776-2023</t>
        </is>
      </c>
      <c r="B2568" t="inlineStr">
        <is>
          <t>avverkningsanmälan</t>
        </is>
      </c>
      <c r="C2568" t="inlineStr">
        <is>
          <t>Avverkning för annat ändamål</t>
        </is>
      </c>
      <c r="D2568" s="1" t="n">
        <v>45140</v>
      </c>
      <c r="E2568" s="1" t="n">
        <v>46312</v>
      </c>
      <c r="F2568" t="inlineStr">
        <is>
          <t>SKÅNE LÄN</t>
        </is>
      </c>
      <c r="G2568" t="inlineStr">
        <is>
          <t>SJÖBO</t>
        </is>
      </c>
      <c r="I2568" t="n">
        <v>1.3</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20595-2024</t>
        </is>
      </c>
      <c r="B2569" t="inlineStr">
        <is>
          <t>avverkningsanmälan</t>
        </is>
      </c>
      <c r="C2569" t="inlineStr">
        <is>
          <t>Föryngringsavverkning</t>
        </is>
      </c>
      <c r="D2569" s="1" t="n">
        <v>45436</v>
      </c>
      <c r="E2569" s="1" t="n">
        <v>46312</v>
      </c>
      <c r="F2569" t="inlineStr">
        <is>
          <t>SKÅNE LÄN</t>
        </is>
      </c>
      <c r="G2569" t="inlineStr">
        <is>
          <t>HÖRBY</t>
        </is>
      </c>
      <c r="H2569" t="inlineStr">
        <is>
          <t>Sveaskog</t>
        </is>
      </c>
      <c r="I2569" t="n">
        <v>3.5</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23283-2026</t>
        </is>
      </c>
      <c r="B2570" t="inlineStr">
        <is>
          <t>avverkningsanmälan</t>
        </is>
      </c>
      <c r="C2570" t="inlineStr">
        <is>
          <t>Föryngringsavverkning</t>
        </is>
      </c>
      <c r="D2570" s="1" t="n">
        <v>46162</v>
      </c>
      <c r="E2570" s="1" t="n">
        <v>46312</v>
      </c>
      <c r="F2570" t="inlineStr">
        <is>
          <t>SKÅNE LÄN</t>
        </is>
      </c>
      <c r="G2570" t="inlineStr">
        <is>
          <t>HÄSSLEHOLM</t>
        </is>
      </c>
      <c r="I2570" t="n">
        <v>0.7</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11204-2023</t>
        </is>
      </c>
      <c r="B2571" t="inlineStr">
        <is>
          <t>avverkningsanmälan</t>
        </is>
      </c>
      <c r="C2571" t="inlineStr">
        <is>
          <t>Föryngringsavverkning</t>
        </is>
      </c>
      <c r="D2571" s="1" t="n">
        <v>44992</v>
      </c>
      <c r="E2571" s="1" t="n">
        <v>46312</v>
      </c>
      <c r="F2571" t="inlineStr">
        <is>
          <t>SKÅNE LÄN</t>
        </is>
      </c>
      <c r="G2571" t="inlineStr">
        <is>
          <t>ESLÖV</t>
        </is>
      </c>
      <c r="I2571" t="n">
        <v>0.7</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29284-2023</t>
        </is>
      </c>
      <c r="B2572" t="inlineStr">
        <is>
          <t>avverkningsanmälan</t>
        </is>
      </c>
      <c r="C2572" t="inlineStr">
        <is>
          <t>Föryngringsavverkning</t>
        </is>
      </c>
      <c r="D2572" s="1" t="n">
        <v>45105</v>
      </c>
      <c r="E2572" s="1" t="n">
        <v>46312</v>
      </c>
      <c r="F2572" t="inlineStr">
        <is>
          <t>SKÅNE LÄN</t>
        </is>
      </c>
      <c r="G2572" t="inlineStr">
        <is>
          <t>ÖSTRA GÖINGE</t>
        </is>
      </c>
      <c r="I2572" t="n">
        <v>3.2</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55569-2025</t>
        </is>
      </c>
      <c r="B2573" t="inlineStr">
        <is>
          <t>avverkningsanmälan</t>
        </is>
      </c>
      <c r="C2573" t="inlineStr">
        <is>
          <t>Föryngringsavverkning</t>
        </is>
      </c>
      <c r="D2573" s="1" t="n">
        <v>45971</v>
      </c>
      <c r="E2573" s="1" t="n">
        <v>46312</v>
      </c>
      <c r="F2573" t="inlineStr">
        <is>
          <t>SKÅNE LÄN</t>
        </is>
      </c>
      <c r="G2573" t="inlineStr">
        <is>
          <t>HÄSSLEHOLM</t>
        </is>
      </c>
      <c r="I2573" t="n">
        <v>4.2</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16483-2024</t>
        </is>
      </c>
      <c r="B2574" t="inlineStr">
        <is>
          <t>avverkningsanmälan</t>
        </is>
      </c>
      <c r="C2574" t="inlineStr">
        <is>
          <t>Föryngringsavverkning</t>
        </is>
      </c>
      <c r="D2574" s="1" t="n">
        <v>45408</v>
      </c>
      <c r="E2574" s="1" t="n">
        <v>46312</v>
      </c>
      <c r="F2574" t="inlineStr">
        <is>
          <t>SKÅNE LÄN</t>
        </is>
      </c>
      <c r="G2574" t="inlineStr">
        <is>
          <t>TOMELILLA</t>
        </is>
      </c>
      <c r="I2574" t="n">
        <v>0.7</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22406-2022</t>
        </is>
      </c>
      <c r="B2575" t="inlineStr">
        <is>
          <t>avverkningsanmälan</t>
        </is>
      </c>
      <c r="C2575" t="inlineStr">
        <is>
          <t>Föryngringsavverkning</t>
        </is>
      </c>
      <c r="D2575" s="1" t="n">
        <v>44713</v>
      </c>
      <c r="E2575" s="1" t="n">
        <v>46312</v>
      </c>
      <c r="F2575" t="inlineStr">
        <is>
          <t>SKÅNE LÄN</t>
        </is>
      </c>
      <c r="G2575" t="inlineStr">
        <is>
          <t>SJÖBO</t>
        </is>
      </c>
      <c r="I2575" t="n">
        <v>2.8</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57343-2025</t>
        </is>
      </c>
      <c r="B2576" t="inlineStr">
        <is>
          <t>avverkningsanmälan</t>
        </is>
      </c>
      <c r="C2576" t="inlineStr">
        <is>
          <t>Föryngringsavverkning</t>
        </is>
      </c>
      <c r="D2576" s="1" t="n">
        <v>45980</v>
      </c>
      <c r="E2576" s="1" t="n">
        <v>46312</v>
      </c>
      <c r="F2576" t="inlineStr">
        <is>
          <t>SKÅNE LÄN</t>
        </is>
      </c>
      <c r="G2576" t="inlineStr">
        <is>
          <t>ÖRKELLJUNGA</t>
        </is>
      </c>
      <c r="I2576" t="n">
        <v>0.7</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57817-2025</t>
        </is>
      </c>
      <c r="B2577" t="inlineStr">
        <is>
          <t>avverkningsanmälan</t>
        </is>
      </c>
      <c r="C2577" t="inlineStr">
        <is>
          <t>Föryngringsavverkning</t>
        </is>
      </c>
      <c r="D2577" s="1" t="n">
        <v>45981</v>
      </c>
      <c r="E2577" s="1" t="n">
        <v>46312</v>
      </c>
      <c r="F2577" t="inlineStr">
        <is>
          <t>SKÅNE LÄN</t>
        </is>
      </c>
      <c r="G2577" t="inlineStr">
        <is>
          <t>HÄSSLEHOLM</t>
        </is>
      </c>
      <c r="I2577" t="n">
        <v>3.8</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30638-2023</t>
        </is>
      </c>
      <c r="B2578" t="inlineStr">
        <is>
          <t>avverkningsanmälan</t>
        </is>
      </c>
      <c r="C2578" t="inlineStr">
        <is>
          <t>Föryngringsavverkning</t>
        </is>
      </c>
      <c r="D2578" s="1" t="n">
        <v>45112</v>
      </c>
      <c r="E2578" s="1" t="n">
        <v>46312</v>
      </c>
      <c r="F2578" t="inlineStr">
        <is>
          <t>SKÅNE LÄN</t>
        </is>
      </c>
      <c r="G2578" t="inlineStr">
        <is>
          <t>ÖRKELLJUNGA</t>
        </is>
      </c>
      <c r="I2578" t="n">
        <v>2.9</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50516-2022</t>
        </is>
      </c>
      <c r="B2579" t="inlineStr">
        <is>
          <t>avverkningsanmälan</t>
        </is>
      </c>
      <c r="C2579" t="inlineStr">
        <is>
          <t>Föryngringsavverkning</t>
        </is>
      </c>
      <c r="D2579" s="1" t="n">
        <v>44866</v>
      </c>
      <c r="E2579" s="1" t="n">
        <v>46312</v>
      </c>
      <c r="F2579" t="inlineStr">
        <is>
          <t>SKÅNE LÄN</t>
        </is>
      </c>
      <c r="G2579" t="inlineStr">
        <is>
          <t>KRISTIANSTAD</t>
        </is>
      </c>
      <c r="I2579" t="n">
        <v>0.9</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4594-2023</t>
        </is>
      </c>
      <c r="B2580" t="inlineStr">
        <is>
          <t>avverkningsanmälan</t>
        </is>
      </c>
      <c r="C2580" t="inlineStr">
        <is>
          <t>Föryngringsavverkning</t>
        </is>
      </c>
      <c r="D2580" s="1" t="n">
        <v>44956</v>
      </c>
      <c r="E2580" s="1" t="n">
        <v>46312</v>
      </c>
      <c r="F2580" t="inlineStr">
        <is>
          <t>SKÅNE LÄN</t>
        </is>
      </c>
      <c r="G2580" t="inlineStr">
        <is>
          <t>ÖSTRA GÖINGE</t>
        </is>
      </c>
      <c r="I2580" t="n">
        <v>2.3</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57434-2025</t>
        </is>
      </c>
      <c r="B2581" t="inlineStr">
        <is>
          <t>avverkningsanmälan</t>
        </is>
      </c>
      <c r="C2581" t="inlineStr">
        <is>
          <t>Föryngringsavverkning</t>
        </is>
      </c>
      <c r="D2581" s="1" t="n">
        <v>45980</v>
      </c>
      <c r="E2581" s="1" t="n">
        <v>46312</v>
      </c>
      <c r="F2581" t="inlineStr">
        <is>
          <t>SKÅNE LÄN</t>
        </is>
      </c>
      <c r="G2581" t="inlineStr">
        <is>
          <t>ÖSTRA GÖINGE</t>
        </is>
      </c>
      <c r="I2581" t="n">
        <v>1.3</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11010-2024</t>
        </is>
      </c>
      <c r="B2582" t="inlineStr">
        <is>
          <t>avverkningsanmälan</t>
        </is>
      </c>
      <c r="C2582" t="inlineStr">
        <is>
          <t>Föryngringsavverkning</t>
        </is>
      </c>
      <c r="D2582" s="1" t="n">
        <v>45370</v>
      </c>
      <c r="E2582" s="1" t="n">
        <v>46312</v>
      </c>
      <c r="F2582" t="inlineStr">
        <is>
          <t>SKÅNE LÄN</t>
        </is>
      </c>
      <c r="G2582" t="inlineStr">
        <is>
          <t>KRISTIANSTAD</t>
        </is>
      </c>
      <c r="I2582" t="n">
        <v>1</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11012-2024</t>
        </is>
      </c>
      <c r="B2583" t="inlineStr">
        <is>
          <t>avverkningsanmälan</t>
        </is>
      </c>
      <c r="C2583" t="inlineStr">
        <is>
          <t>Föryngringsavverkning</t>
        </is>
      </c>
      <c r="D2583" s="1" t="n">
        <v>45370</v>
      </c>
      <c r="E2583" s="1" t="n">
        <v>46312</v>
      </c>
      <c r="F2583" t="inlineStr">
        <is>
          <t>SKÅNE LÄN</t>
        </is>
      </c>
      <c r="G2583" t="inlineStr">
        <is>
          <t>KRISTIANSTAD</t>
        </is>
      </c>
      <c r="I2583" t="n">
        <v>0.6</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60848-2022</t>
        </is>
      </c>
      <c r="B2584" t="inlineStr">
        <is>
          <t>avverkningsanmälan</t>
        </is>
      </c>
      <c r="C2584" t="inlineStr">
        <is>
          <t>Föryngringsavverkning</t>
        </is>
      </c>
      <c r="D2584" s="1" t="n">
        <v>44914</v>
      </c>
      <c r="E2584" s="1" t="n">
        <v>46312</v>
      </c>
      <c r="F2584" t="inlineStr">
        <is>
          <t>SKÅNE LÄN</t>
        </is>
      </c>
      <c r="G2584" t="inlineStr">
        <is>
          <t>HÄSSLEHOLM</t>
        </is>
      </c>
      <c r="I2584" t="n">
        <v>0.5</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57771-2025</t>
        </is>
      </c>
      <c r="B2585" t="inlineStr">
        <is>
          <t>avverkningsanmälan</t>
        </is>
      </c>
      <c r="C2585" t="inlineStr">
        <is>
          <t>Avverkning för annat ändamål</t>
        </is>
      </c>
      <c r="D2585" s="1" t="n">
        <v>45981</v>
      </c>
      <c r="E2585" s="1" t="n">
        <v>46312</v>
      </c>
      <c r="F2585" t="inlineStr">
        <is>
          <t>SKÅNE LÄN</t>
        </is>
      </c>
      <c r="G2585" t="inlineStr">
        <is>
          <t>PERSTORP</t>
        </is>
      </c>
      <c r="I2585" t="n">
        <v>2.2</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57725-2025</t>
        </is>
      </c>
      <c r="B2586" t="inlineStr">
        <is>
          <t>avverkningsanmälan</t>
        </is>
      </c>
      <c r="C2586" t="inlineStr">
        <is>
          <t>Föryngringsavverkning</t>
        </is>
      </c>
      <c r="D2586" s="1" t="n">
        <v>45981</v>
      </c>
      <c r="E2586" s="1" t="n">
        <v>46312</v>
      </c>
      <c r="F2586" t="inlineStr">
        <is>
          <t>SKÅNE LÄN</t>
        </is>
      </c>
      <c r="G2586" t="inlineStr">
        <is>
          <t>ÄNGELHOLM</t>
        </is>
      </c>
      <c r="I2586" t="n">
        <v>2.1</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6229-2022</t>
        </is>
      </c>
      <c r="B2587" t="inlineStr">
        <is>
          <t>avverkningsanmälan</t>
        </is>
      </c>
      <c r="C2587" t="inlineStr">
        <is>
          <t>Föryngringsavverkning</t>
        </is>
      </c>
      <c r="D2587" s="1" t="n">
        <v>44600</v>
      </c>
      <c r="E2587" s="1" t="n">
        <v>46312</v>
      </c>
      <c r="F2587" t="inlineStr">
        <is>
          <t>SKÅNE LÄN</t>
        </is>
      </c>
      <c r="G2587" t="inlineStr">
        <is>
          <t>SJÖBO</t>
        </is>
      </c>
      <c r="I2587" t="n">
        <v>3.2</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429-2023</t>
        </is>
      </c>
      <c r="B2588" t="inlineStr">
        <is>
          <t>avverkningsanmälan</t>
        </is>
      </c>
      <c r="C2588" t="inlineStr">
        <is>
          <t>Föryngringsavverkning</t>
        </is>
      </c>
      <c r="D2588" s="1" t="n">
        <v>44923</v>
      </c>
      <c r="E2588" s="1" t="n">
        <v>46312</v>
      </c>
      <c r="F2588" t="inlineStr">
        <is>
          <t>SKÅNE LÄN</t>
        </is>
      </c>
      <c r="G2588" t="inlineStr">
        <is>
          <t>KRISTIANSTAD</t>
        </is>
      </c>
      <c r="I2588" t="n">
        <v>2.1</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57790-2025</t>
        </is>
      </c>
      <c r="B2589" t="inlineStr">
        <is>
          <t>avverkningsanmälan</t>
        </is>
      </c>
      <c r="C2589" t="inlineStr">
        <is>
          <t>Föryngringsavverkning</t>
        </is>
      </c>
      <c r="D2589" s="1" t="n">
        <v>45981</v>
      </c>
      <c r="E2589" s="1" t="n">
        <v>46312</v>
      </c>
      <c r="F2589" t="inlineStr">
        <is>
          <t>SKÅNE LÄN</t>
        </is>
      </c>
      <c r="G2589" t="inlineStr">
        <is>
          <t>ÖRKELLJUNGA</t>
        </is>
      </c>
      <c r="I2589" t="n">
        <v>0.8</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30092-2025</t>
        </is>
      </c>
      <c r="B2590" t="inlineStr">
        <is>
          <t>avverkningsanmälan</t>
        </is>
      </c>
      <c r="C2590" t="inlineStr">
        <is>
          <t>Föryngringsavverkning</t>
        </is>
      </c>
      <c r="D2590" s="1" t="n">
        <v>45826</v>
      </c>
      <c r="E2590" s="1" t="n">
        <v>46312</v>
      </c>
      <c r="F2590" t="inlineStr">
        <is>
          <t>SKÅNE LÄN</t>
        </is>
      </c>
      <c r="G2590" t="inlineStr">
        <is>
          <t>HÄSSLEHOLM</t>
        </is>
      </c>
      <c r="I2590" t="n">
        <v>1.4</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2088-2023</t>
        </is>
      </c>
      <c r="B2591" t="inlineStr">
        <is>
          <t>avverkningsanmälan</t>
        </is>
      </c>
      <c r="C2591" t="inlineStr">
        <is>
          <t>Föryngringsavverkning</t>
        </is>
      </c>
      <c r="D2591" s="1" t="n">
        <v>44939</v>
      </c>
      <c r="E2591" s="1" t="n">
        <v>46312</v>
      </c>
      <c r="F2591" t="inlineStr">
        <is>
          <t>SKÅNE LÄN</t>
        </is>
      </c>
      <c r="G2591" t="inlineStr">
        <is>
          <t>ÖRKELLJUNGA</t>
        </is>
      </c>
      <c r="I2591" t="n">
        <v>2.4</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43871-2023</t>
        </is>
      </c>
      <c r="B2592" t="inlineStr">
        <is>
          <t>avverkningsanmälan</t>
        </is>
      </c>
      <c r="C2592" t="inlineStr">
        <is>
          <t>Föryngringsavverkning</t>
        </is>
      </c>
      <c r="D2592" s="1" t="n">
        <v>45187</v>
      </c>
      <c r="E2592" s="1" t="n">
        <v>46312</v>
      </c>
      <c r="F2592" t="inlineStr">
        <is>
          <t>SKÅNE LÄN</t>
        </is>
      </c>
      <c r="G2592" t="inlineStr">
        <is>
          <t>KRISTIANSTAD</t>
        </is>
      </c>
      <c r="I2592" t="n">
        <v>2.5</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43937-2023</t>
        </is>
      </c>
      <c r="B2593" t="inlineStr">
        <is>
          <t>avverkningsanmälan</t>
        </is>
      </c>
      <c r="C2593" t="inlineStr">
        <is>
          <t>Föryngringsavverkning</t>
        </is>
      </c>
      <c r="D2593" s="1" t="n">
        <v>45187</v>
      </c>
      <c r="E2593" s="1" t="n">
        <v>46312</v>
      </c>
      <c r="F2593" t="inlineStr">
        <is>
          <t>SKÅNE LÄN</t>
        </is>
      </c>
      <c r="G2593" t="inlineStr">
        <is>
          <t>HÖRBY</t>
        </is>
      </c>
      <c r="I2593" t="n">
        <v>2.6</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43939-2023</t>
        </is>
      </c>
      <c r="B2594" t="inlineStr">
        <is>
          <t>avverkningsanmälan</t>
        </is>
      </c>
      <c r="C2594" t="inlineStr">
        <is>
          <t>Föryngringsavverkning</t>
        </is>
      </c>
      <c r="D2594" s="1" t="n">
        <v>45187</v>
      </c>
      <c r="E2594" s="1" t="n">
        <v>46312</v>
      </c>
      <c r="F2594" t="inlineStr">
        <is>
          <t>SKÅNE LÄN</t>
        </is>
      </c>
      <c r="G2594" t="inlineStr">
        <is>
          <t>HÖRBY</t>
        </is>
      </c>
      <c r="I2594" t="n">
        <v>0.6</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30109-2025</t>
        </is>
      </c>
      <c r="B2595" t="inlineStr">
        <is>
          <t>avverkningsanmälan</t>
        </is>
      </c>
      <c r="C2595" t="inlineStr">
        <is>
          <t>Föryngringsavverkning</t>
        </is>
      </c>
      <c r="D2595" s="1" t="n">
        <v>45826</v>
      </c>
      <c r="E2595" s="1" t="n">
        <v>46312</v>
      </c>
      <c r="F2595" t="inlineStr">
        <is>
          <t>SKÅNE LÄN</t>
        </is>
      </c>
      <c r="G2595" t="inlineStr">
        <is>
          <t>HÄSSLEHOLM</t>
        </is>
      </c>
      <c r="I2595" t="n">
        <v>2.4</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6164-2023</t>
        </is>
      </c>
      <c r="B2596" t="inlineStr">
        <is>
          <t>avverkningsanmälan</t>
        </is>
      </c>
      <c r="C2596" t="inlineStr">
        <is>
          <t>Föryngringsavverkning</t>
        </is>
      </c>
      <c r="D2596" s="1" t="n">
        <v>44964</v>
      </c>
      <c r="E2596" s="1" t="n">
        <v>46312</v>
      </c>
      <c r="F2596" t="inlineStr">
        <is>
          <t>SKÅNE LÄN</t>
        </is>
      </c>
      <c r="G2596" t="inlineStr">
        <is>
          <t>HÄSSLEHOLM</t>
        </is>
      </c>
      <c r="I2596" t="n">
        <v>0.7</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23852-2026</t>
        </is>
      </c>
      <c r="B2597" t="inlineStr">
        <is>
          <t>avverkningsanmälan</t>
        </is>
      </c>
      <c r="C2597" t="inlineStr">
        <is>
          <t>Föryngringsavverkning</t>
        </is>
      </c>
      <c r="D2597" s="1" t="n">
        <v>46167</v>
      </c>
      <c r="E2597" s="1" t="n">
        <v>46312</v>
      </c>
      <c r="F2597" t="inlineStr">
        <is>
          <t>SKÅNE LÄN</t>
        </is>
      </c>
      <c r="G2597" t="inlineStr">
        <is>
          <t>ÖSTRA GÖINGE</t>
        </is>
      </c>
      <c r="I2597" t="n">
        <v>7.8</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1169-2023</t>
        </is>
      </c>
      <c r="B2598" t="inlineStr">
        <is>
          <t>avverkningsanmälan</t>
        </is>
      </c>
      <c r="C2598" t="inlineStr">
        <is>
          <t>Föryngringsavverkning</t>
        </is>
      </c>
      <c r="D2598" s="1" t="n">
        <v>44935</v>
      </c>
      <c r="E2598" s="1" t="n">
        <v>46312</v>
      </c>
      <c r="F2598" t="inlineStr">
        <is>
          <t>SKÅNE LÄN</t>
        </is>
      </c>
      <c r="G2598" t="inlineStr">
        <is>
          <t>ÖSTRA GÖINGE</t>
        </is>
      </c>
      <c r="I2598" t="n">
        <v>2.4</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57465-2025</t>
        </is>
      </c>
      <c r="B2599" t="inlineStr">
        <is>
          <t>avverkningsanmälan</t>
        </is>
      </c>
      <c r="C2599" t="inlineStr">
        <is>
          <t>Föryngringsavverkning</t>
        </is>
      </c>
      <c r="D2599" s="1" t="n">
        <v>45980</v>
      </c>
      <c r="E2599" s="1" t="n">
        <v>46312</v>
      </c>
      <c r="F2599" t="inlineStr">
        <is>
          <t>SKÅNE LÄN</t>
        </is>
      </c>
      <c r="G2599" t="inlineStr">
        <is>
          <t>ÖSTRA GÖINGE</t>
        </is>
      </c>
      <c r="I2599" t="n">
        <v>1.4</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57468-2025</t>
        </is>
      </c>
      <c r="B2600" t="inlineStr">
        <is>
          <t>avverkningsanmälan</t>
        </is>
      </c>
      <c r="C2600" t="inlineStr">
        <is>
          <t>Föryngringsavverkning</t>
        </is>
      </c>
      <c r="D2600" s="1" t="n">
        <v>45980</v>
      </c>
      <c r="E2600" s="1" t="n">
        <v>46312</v>
      </c>
      <c r="F2600" t="inlineStr">
        <is>
          <t>SKÅNE LÄN</t>
        </is>
      </c>
      <c r="G2600" t="inlineStr">
        <is>
          <t>ÖSTRA GÖINGE</t>
        </is>
      </c>
      <c r="I2600" t="n">
        <v>1.5</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58101-2025</t>
        </is>
      </c>
      <c r="B2601" t="inlineStr">
        <is>
          <t>avverkningsanmälan</t>
        </is>
      </c>
      <c r="C2601" t="inlineStr">
        <is>
          <t>Föryngringsavverkning</t>
        </is>
      </c>
      <c r="D2601" s="1" t="n">
        <v>45982</v>
      </c>
      <c r="E2601" s="1" t="n">
        <v>46312</v>
      </c>
      <c r="F2601" t="inlineStr">
        <is>
          <t>SKÅNE LÄN</t>
        </is>
      </c>
      <c r="G2601" t="inlineStr">
        <is>
          <t>OSBY</t>
        </is>
      </c>
      <c r="I2601" t="n">
        <v>10.2</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12680-2025</t>
        </is>
      </c>
      <c r="B2602" t="inlineStr">
        <is>
          <t>avverkningsanmälan</t>
        </is>
      </c>
      <c r="C2602" t="inlineStr">
        <is>
          <t>Avverkning för att bevara och utveckla /försöksver</t>
        </is>
      </c>
      <c r="D2602" s="1" t="n">
        <v>45733</v>
      </c>
      <c r="E2602" s="1" t="n">
        <v>46312</v>
      </c>
      <c r="F2602" t="inlineStr">
        <is>
          <t>SKÅNE LÄN</t>
        </is>
      </c>
      <c r="G2602" t="inlineStr">
        <is>
          <t>OSBY</t>
        </is>
      </c>
      <c r="H2602" t="inlineStr">
        <is>
          <t>Sveaskog</t>
        </is>
      </c>
      <c r="I2602" t="n">
        <v>2.1</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58335-2025</t>
        </is>
      </c>
      <c r="B2603" t="inlineStr">
        <is>
          <t>avverkningsanmälan</t>
        </is>
      </c>
      <c r="C2603" t="inlineStr">
        <is>
          <t>Föryngringsavverkning</t>
        </is>
      </c>
      <c r="D2603" s="1" t="n">
        <v>45985</v>
      </c>
      <c r="E2603" s="1" t="n">
        <v>46312</v>
      </c>
      <c r="F2603" t="inlineStr">
        <is>
          <t>SKÅNE LÄN</t>
        </is>
      </c>
      <c r="G2603" t="inlineStr">
        <is>
          <t>LUND</t>
        </is>
      </c>
      <c r="I2603" t="n">
        <v>2.5</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4321-2024</t>
        </is>
      </c>
      <c r="B2604" t="inlineStr">
        <is>
          <t>avverkningsanmälan</t>
        </is>
      </c>
      <c r="C2604" t="inlineStr">
        <is>
          <t>Föryngringsavverkning</t>
        </is>
      </c>
      <c r="D2604" s="1" t="n">
        <v>45324</v>
      </c>
      <c r="E2604" s="1" t="n">
        <v>46312</v>
      </c>
      <c r="F2604" t="inlineStr">
        <is>
          <t>SKÅNE LÄN</t>
        </is>
      </c>
      <c r="G2604" t="inlineStr">
        <is>
          <t>KLIPPAN</t>
        </is>
      </c>
      <c r="I2604" t="n">
        <v>0.7</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45392-2024</t>
        </is>
      </c>
      <c r="B2605" t="inlineStr">
        <is>
          <t>avverkningsanmälan</t>
        </is>
      </c>
      <c r="C2605" t="inlineStr">
        <is>
          <t>Föryngringsavverkning</t>
        </is>
      </c>
      <c r="D2605" s="1" t="n">
        <v>45576</v>
      </c>
      <c r="E2605" s="1" t="n">
        <v>46312</v>
      </c>
      <c r="F2605" t="inlineStr">
        <is>
          <t>SKÅNE LÄN</t>
        </is>
      </c>
      <c r="G2605" t="inlineStr">
        <is>
          <t>HÄSSLEHOLM</t>
        </is>
      </c>
      <c r="I2605" t="n">
        <v>0.7</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16454-2023</t>
        </is>
      </c>
      <c r="B2606" t="inlineStr">
        <is>
          <t>avverkningsanmälan</t>
        </is>
      </c>
      <c r="C2606" t="inlineStr">
        <is>
          <t>Föryngringsavverkning</t>
        </is>
      </c>
      <c r="D2606" s="1" t="n">
        <v>45029</v>
      </c>
      <c r="E2606" s="1" t="n">
        <v>46312</v>
      </c>
      <c r="F2606" t="inlineStr">
        <is>
          <t>SKÅNE LÄN</t>
        </is>
      </c>
      <c r="G2606" t="inlineStr">
        <is>
          <t>HÄSSLEHOLM</t>
        </is>
      </c>
      <c r="I2606" t="n">
        <v>0.5</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17335-2024</t>
        </is>
      </c>
      <c r="B2607" t="inlineStr">
        <is>
          <t>avverkningsanmälan</t>
        </is>
      </c>
      <c r="C2607" t="inlineStr">
        <is>
          <t>Föryngringsavverkning</t>
        </is>
      </c>
      <c r="D2607" s="1" t="n">
        <v>45414</v>
      </c>
      <c r="E2607" s="1" t="n">
        <v>46312</v>
      </c>
      <c r="F2607" t="inlineStr">
        <is>
          <t>SKÅNE LÄN</t>
        </is>
      </c>
      <c r="G2607" t="inlineStr">
        <is>
          <t>HÄSSLEHOLM</t>
        </is>
      </c>
      <c r="I2607" t="n">
        <v>1.5</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58477-2025</t>
        </is>
      </c>
      <c r="B2608" t="inlineStr">
        <is>
          <t>avverkningsanmälan</t>
        </is>
      </c>
      <c r="C2608" t="inlineStr">
        <is>
          <t>Föryngringsavverkning</t>
        </is>
      </c>
      <c r="D2608" s="1" t="n">
        <v>45985</v>
      </c>
      <c r="E2608" s="1" t="n">
        <v>46312</v>
      </c>
      <c r="F2608" t="inlineStr">
        <is>
          <t>SKÅNE LÄN</t>
        </is>
      </c>
      <c r="G2608" t="inlineStr">
        <is>
          <t>KRISTIANSTAD</t>
        </is>
      </c>
      <c r="I2608" t="n">
        <v>5.1</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11505-2023</t>
        </is>
      </c>
      <c r="B2609" t="inlineStr">
        <is>
          <t>avverkningsanmälan</t>
        </is>
      </c>
      <c r="C2609" t="inlineStr">
        <is>
          <t>Föryngringsavverkning</t>
        </is>
      </c>
      <c r="D2609" s="1" t="n">
        <v>44993</v>
      </c>
      <c r="E2609" s="1" t="n">
        <v>46312</v>
      </c>
      <c r="F2609" t="inlineStr">
        <is>
          <t>SKÅNE LÄN</t>
        </is>
      </c>
      <c r="G2609" t="inlineStr">
        <is>
          <t>KRISTIANSTAD</t>
        </is>
      </c>
      <c r="I2609" t="n">
        <v>3.3</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58337-2025</t>
        </is>
      </c>
      <c r="B2610" t="inlineStr">
        <is>
          <t>avverkningsanmälan</t>
        </is>
      </c>
      <c r="C2610" t="inlineStr">
        <is>
          <t>Föryngringsavverkning</t>
        </is>
      </c>
      <c r="D2610" s="1" t="n">
        <v>45985</v>
      </c>
      <c r="E2610" s="1" t="n">
        <v>46312</v>
      </c>
      <c r="F2610" t="inlineStr">
        <is>
          <t>SKÅNE LÄN</t>
        </is>
      </c>
      <c r="G2610" t="inlineStr">
        <is>
          <t>LUND</t>
        </is>
      </c>
      <c r="I2610" t="n">
        <v>2</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50294-2024</t>
        </is>
      </c>
      <c r="B2611" t="inlineStr">
        <is>
          <t>avverkningsanmälan</t>
        </is>
      </c>
      <c r="C2611" t="inlineStr">
        <is>
          <t>Föryngringsavverkning</t>
        </is>
      </c>
      <c r="D2611" s="1" t="n">
        <v>45600</v>
      </c>
      <c r="E2611" s="1" t="n">
        <v>46312</v>
      </c>
      <c r="F2611" t="inlineStr">
        <is>
          <t>SKÅNE LÄN</t>
        </is>
      </c>
      <c r="G2611" t="inlineStr">
        <is>
          <t>KRISTIANSTAD</t>
        </is>
      </c>
      <c r="I2611" t="n">
        <v>1.4</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57428-2023</t>
        </is>
      </c>
      <c r="B2612" t="inlineStr">
        <is>
          <t>avverkningsanmälan</t>
        </is>
      </c>
      <c r="C2612" t="inlineStr">
        <is>
          <t>Föryngringsavverkning</t>
        </is>
      </c>
      <c r="D2612" s="1" t="n">
        <v>45240</v>
      </c>
      <c r="E2612" s="1" t="n">
        <v>46312</v>
      </c>
      <c r="F2612" t="inlineStr">
        <is>
          <t>SKÅNE LÄN</t>
        </is>
      </c>
      <c r="G2612" t="inlineStr">
        <is>
          <t>HÖÖR</t>
        </is>
      </c>
      <c r="I2612" t="n">
        <v>1.5</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28501-2023</t>
        </is>
      </c>
      <c r="B2613" t="inlineStr">
        <is>
          <t>avverkningsanmälan</t>
        </is>
      </c>
      <c r="C2613" t="inlineStr">
        <is>
          <t>Föryngringsavverkning</t>
        </is>
      </c>
      <c r="D2613" s="1" t="n">
        <v>45103</v>
      </c>
      <c r="E2613" s="1" t="n">
        <v>46312</v>
      </c>
      <c r="F2613" t="inlineStr">
        <is>
          <t>SKÅNE LÄN</t>
        </is>
      </c>
      <c r="G2613" t="inlineStr">
        <is>
          <t>HÖRBY</t>
        </is>
      </c>
      <c r="I2613" t="n">
        <v>3.6</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28527-2023</t>
        </is>
      </c>
      <c r="B2614" t="inlineStr">
        <is>
          <t>avverkningsanmälan</t>
        </is>
      </c>
      <c r="C2614" t="inlineStr">
        <is>
          <t>Föryngringsavverkning</t>
        </is>
      </c>
      <c r="D2614" s="1" t="n">
        <v>45103</v>
      </c>
      <c r="E2614" s="1" t="n">
        <v>46312</v>
      </c>
      <c r="F2614" t="inlineStr">
        <is>
          <t>SKÅNE LÄN</t>
        </is>
      </c>
      <c r="G2614" t="inlineStr">
        <is>
          <t>HÖRBY</t>
        </is>
      </c>
      <c r="I2614" t="n">
        <v>0.7</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24246-2023</t>
        </is>
      </c>
      <c r="B2615" t="inlineStr">
        <is>
          <t>avverkningsanmälan</t>
        </is>
      </c>
      <c r="C2615" t="inlineStr">
        <is>
          <t>Föryngringsavverkning</t>
        </is>
      </c>
      <c r="D2615" s="1" t="n">
        <v>45079</v>
      </c>
      <c r="E2615" s="1" t="n">
        <v>46312</v>
      </c>
      <c r="F2615" t="inlineStr">
        <is>
          <t>SKÅNE LÄN</t>
        </is>
      </c>
      <c r="G2615" t="inlineStr">
        <is>
          <t>HÄSSLEHOLM</t>
        </is>
      </c>
      <c r="I2615" t="n">
        <v>0.9</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24249-2023</t>
        </is>
      </c>
      <c r="B2616" t="inlineStr">
        <is>
          <t>avverkningsanmälan</t>
        </is>
      </c>
      <c r="C2616" t="inlineStr">
        <is>
          <t>Föryngringsavverkning</t>
        </is>
      </c>
      <c r="D2616" s="1" t="n">
        <v>45079</v>
      </c>
      <c r="E2616" s="1" t="n">
        <v>46312</v>
      </c>
      <c r="F2616" t="inlineStr">
        <is>
          <t>SKÅNE LÄN</t>
        </is>
      </c>
      <c r="G2616" t="inlineStr">
        <is>
          <t>HÄSSLEHOLM</t>
        </is>
      </c>
      <c r="I2616" t="n">
        <v>0.7</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57982-2025</t>
        </is>
      </c>
      <c r="B2617" t="inlineStr">
        <is>
          <t>avverkningsanmälan</t>
        </is>
      </c>
      <c r="C2617" t="inlineStr">
        <is>
          <t>Föryngringsavverkning</t>
        </is>
      </c>
      <c r="D2617" s="1" t="n">
        <v>45982</v>
      </c>
      <c r="E2617" s="1" t="n">
        <v>46312</v>
      </c>
      <c r="F2617" t="inlineStr">
        <is>
          <t>SKÅNE LÄN</t>
        </is>
      </c>
      <c r="G2617" t="inlineStr">
        <is>
          <t>HÖÖR</t>
        </is>
      </c>
      <c r="I2617" t="n">
        <v>4</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8380-2023</t>
        </is>
      </c>
      <c r="B2618" t="inlineStr">
        <is>
          <t>avverkningsanmälan</t>
        </is>
      </c>
      <c r="C2618" t="inlineStr">
        <is>
          <t>Föryngringsavverkning</t>
        </is>
      </c>
      <c r="D2618" s="1" t="n">
        <v>44977</v>
      </c>
      <c r="E2618" s="1" t="n">
        <v>46312</v>
      </c>
      <c r="F2618" t="inlineStr">
        <is>
          <t>SKÅNE LÄN</t>
        </is>
      </c>
      <c r="G2618" t="inlineStr">
        <is>
          <t>ÖSTRA GÖINGE</t>
        </is>
      </c>
      <c r="I2618" t="n">
        <v>0.4</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6955-2024</t>
        </is>
      </c>
      <c r="B2619" t="inlineStr">
        <is>
          <t>avverkningsanmälan</t>
        </is>
      </c>
      <c r="C2619" t="inlineStr">
        <is>
          <t>Föryngringsavverkning</t>
        </is>
      </c>
      <c r="D2619" s="1" t="n">
        <v>45343</v>
      </c>
      <c r="E2619" s="1" t="n">
        <v>46312</v>
      </c>
      <c r="F2619" t="inlineStr">
        <is>
          <t>SKÅNE LÄN</t>
        </is>
      </c>
      <c r="G2619" t="inlineStr">
        <is>
          <t>KRISTIANSTAD</t>
        </is>
      </c>
      <c r="I2619" t="n">
        <v>1.2</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31989-2024</t>
        </is>
      </c>
      <c r="B2620" t="inlineStr">
        <is>
          <t>avverkningsanmälan</t>
        </is>
      </c>
      <c r="C2620" t="inlineStr">
        <is>
          <t>Föryngringsavverkning</t>
        </is>
      </c>
      <c r="D2620" s="1" t="n">
        <v>45510</v>
      </c>
      <c r="E2620" s="1" t="n">
        <v>46312</v>
      </c>
      <c r="F2620" t="inlineStr">
        <is>
          <t>SKÅNE LÄN</t>
        </is>
      </c>
      <c r="G2620" t="inlineStr">
        <is>
          <t>HÄSSLEHOLM</t>
        </is>
      </c>
      <c r="I2620" t="n">
        <v>0.6</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1120-2024</t>
        </is>
      </c>
      <c r="B2621" t="inlineStr">
        <is>
          <t>avverkningsanmälan</t>
        </is>
      </c>
      <c r="C2621" t="inlineStr">
        <is>
          <t>Föryngringsavverkning</t>
        </is>
      </c>
      <c r="D2621" s="1" t="n">
        <v>45302</v>
      </c>
      <c r="E2621" s="1" t="n">
        <v>46312</v>
      </c>
      <c r="F2621" t="inlineStr">
        <is>
          <t>SKÅNE LÄN</t>
        </is>
      </c>
      <c r="G2621" t="inlineStr">
        <is>
          <t>HÄSSLEHOLM</t>
        </is>
      </c>
      <c r="I2621" t="n">
        <v>2.7</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8500-2023</t>
        </is>
      </c>
      <c r="B2622" t="inlineStr">
        <is>
          <t>avverkningsanmälan</t>
        </is>
      </c>
      <c r="C2622" t="inlineStr">
        <is>
          <t>Föryngringsavverkning</t>
        </is>
      </c>
      <c r="D2622" s="1" t="n">
        <v>44977</v>
      </c>
      <c r="E2622" s="1" t="n">
        <v>46312</v>
      </c>
      <c r="F2622" t="inlineStr">
        <is>
          <t>SKÅNE LÄN</t>
        </is>
      </c>
      <c r="G2622" t="inlineStr">
        <is>
          <t>KLIPPAN</t>
        </is>
      </c>
      <c r="I2622" t="n">
        <v>1</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54894-2023</t>
        </is>
      </c>
      <c r="B2623" t="inlineStr">
        <is>
          <t>avverkningsanmälan</t>
        </is>
      </c>
      <c r="C2623" t="inlineStr">
        <is>
          <t>Föryngringsavverkning</t>
        </is>
      </c>
      <c r="D2623" s="1" t="n">
        <v>45236</v>
      </c>
      <c r="E2623" s="1" t="n">
        <v>46312</v>
      </c>
      <c r="F2623" t="inlineStr">
        <is>
          <t>SKÅNE LÄN</t>
        </is>
      </c>
      <c r="G2623" t="inlineStr">
        <is>
          <t>HÖRBY</t>
        </is>
      </c>
      <c r="I2623" t="n">
        <v>0.6</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60973-2024</t>
        </is>
      </c>
      <c r="B2624" t="inlineStr">
        <is>
          <t>avverkningsanmälan</t>
        </is>
      </c>
      <c r="C2624" t="inlineStr">
        <is>
          <t>Föryngringsavverkning</t>
        </is>
      </c>
      <c r="D2624" s="1" t="n">
        <v>45644</v>
      </c>
      <c r="E2624" s="1" t="n">
        <v>46312</v>
      </c>
      <c r="F2624" t="inlineStr">
        <is>
          <t>SKÅNE LÄN</t>
        </is>
      </c>
      <c r="G2624" t="inlineStr">
        <is>
          <t>HÄSSLEHOLM</t>
        </is>
      </c>
      <c r="I2624" t="n">
        <v>3.6</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61147-2021</t>
        </is>
      </c>
      <c r="B2625" t="inlineStr">
        <is>
          <t>avverkningsanmälan</t>
        </is>
      </c>
      <c r="C2625" t="inlineStr">
        <is>
          <t>Föryngringsavverkning</t>
        </is>
      </c>
      <c r="D2625" s="1" t="n">
        <v>44497</v>
      </c>
      <c r="E2625" s="1" t="n">
        <v>46312</v>
      </c>
      <c r="F2625" t="inlineStr">
        <is>
          <t>SKÅNE LÄN</t>
        </is>
      </c>
      <c r="G2625" t="inlineStr">
        <is>
          <t>KRISTIANSTAD</t>
        </is>
      </c>
      <c r="I2625" t="n">
        <v>2.7</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55933-2023</t>
        </is>
      </c>
      <c r="B2626" t="inlineStr">
        <is>
          <t>avverkningsanmälan</t>
        </is>
      </c>
      <c r="C2626" t="inlineStr">
        <is>
          <t>Föryngringsavverkning</t>
        </is>
      </c>
      <c r="D2626" s="1" t="n">
        <v>45239</v>
      </c>
      <c r="E2626" s="1" t="n">
        <v>46312</v>
      </c>
      <c r="F2626" t="inlineStr">
        <is>
          <t>SKÅNE LÄN</t>
        </is>
      </c>
      <c r="G2626" t="inlineStr">
        <is>
          <t>ÖSTRA GÖINGE</t>
        </is>
      </c>
      <c r="I2626" t="n">
        <v>10.6</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35552-2023</t>
        </is>
      </c>
      <c r="B2627" t="inlineStr">
        <is>
          <t>avverkningsanmälan</t>
        </is>
      </c>
      <c r="C2627" t="inlineStr">
        <is>
          <t>Föryngringsavverkning</t>
        </is>
      </c>
      <c r="D2627" s="1" t="n">
        <v>45146</v>
      </c>
      <c r="E2627" s="1" t="n">
        <v>46312</v>
      </c>
      <c r="F2627" t="inlineStr">
        <is>
          <t>SKÅNE LÄN</t>
        </is>
      </c>
      <c r="G2627" t="inlineStr">
        <is>
          <t>ÖSTRA GÖINGE</t>
        </is>
      </c>
      <c r="I2627" t="n">
        <v>2.6</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27478-2023</t>
        </is>
      </c>
      <c r="B2628" t="inlineStr">
        <is>
          <t>avverkningsanmälan</t>
        </is>
      </c>
      <c r="C2628" t="inlineStr">
        <is>
          <t>Föryngringsavverkning</t>
        </is>
      </c>
      <c r="D2628" s="1" t="n">
        <v>45092</v>
      </c>
      <c r="E2628" s="1" t="n">
        <v>46312</v>
      </c>
      <c r="F2628" t="inlineStr">
        <is>
          <t>SKÅNE LÄN</t>
        </is>
      </c>
      <c r="G2628" t="inlineStr">
        <is>
          <t>HÄSSLEHOLM</t>
        </is>
      </c>
      <c r="I2628" t="n">
        <v>0.8</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58879-2025</t>
        </is>
      </c>
      <c r="B2629" t="inlineStr">
        <is>
          <t>avverkningsanmälan</t>
        </is>
      </c>
      <c r="C2629" t="inlineStr">
        <is>
          <t>Föryngringsavverkning</t>
        </is>
      </c>
      <c r="D2629" s="1" t="n">
        <v>45987</v>
      </c>
      <c r="E2629" s="1" t="n">
        <v>46312</v>
      </c>
      <c r="F2629" t="inlineStr">
        <is>
          <t>SKÅNE LÄN</t>
        </is>
      </c>
      <c r="G2629" t="inlineStr">
        <is>
          <t>KRISTIANSTAD</t>
        </is>
      </c>
      <c r="H2629" t="inlineStr">
        <is>
          <t>Sveaskog</t>
        </is>
      </c>
      <c r="I2629" t="n">
        <v>5.3</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26641-2023</t>
        </is>
      </c>
      <c r="B2630" t="inlineStr">
        <is>
          <t>avverkningsanmälan</t>
        </is>
      </c>
      <c r="C2630" t="inlineStr">
        <is>
          <t>Föryngringsavverkning</t>
        </is>
      </c>
      <c r="D2630" s="1" t="n">
        <v>45092</v>
      </c>
      <c r="E2630" s="1" t="n">
        <v>46312</v>
      </c>
      <c r="F2630" t="inlineStr">
        <is>
          <t>SKÅNE LÄN</t>
        </is>
      </c>
      <c r="G2630" t="inlineStr">
        <is>
          <t>HÄSSLEHOLM</t>
        </is>
      </c>
      <c r="I2630" t="n">
        <v>0.5</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6241-2024</t>
        </is>
      </c>
      <c r="B2631" t="inlineStr">
        <is>
          <t>avverkningsanmälan</t>
        </is>
      </c>
      <c r="C2631" t="inlineStr">
        <is>
          <t>Föryngringsavverkning</t>
        </is>
      </c>
      <c r="D2631" s="1" t="n">
        <v>45337</v>
      </c>
      <c r="E2631" s="1" t="n">
        <v>46312</v>
      </c>
      <c r="F2631" t="inlineStr">
        <is>
          <t>SKÅNE LÄN</t>
        </is>
      </c>
      <c r="G2631" t="inlineStr">
        <is>
          <t>KRISTIANSTAD</t>
        </is>
      </c>
      <c r="H2631" t="inlineStr">
        <is>
          <t>Övriga Aktiebolag</t>
        </is>
      </c>
      <c r="I2631" t="n">
        <v>1.5</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11753-2025</t>
        </is>
      </c>
      <c r="B2632" t="inlineStr">
        <is>
          <t>avverkningsanmälan</t>
        </is>
      </c>
      <c r="C2632" t="inlineStr">
        <is>
          <t>Föryngringsavverkning</t>
        </is>
      </c>
      <c r="D2632" s="1" t="n">
        <v>45727</v>
      </c>
      <c r="E2632" s="1" t="n">
        <v>46312</v>
      </c>
      <c r="F2632" t="inlineStr">
        <is>
          <t>SKÅNE LÄN</t>
        </is>
      </c>
      <c r="G2632" t="inlineStr">
        <is>
          <t>HÄSSLEHOLM</t>
        </is>
      </c>
      <c r="I2632" t="n">
        <v>2.7</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18090-2022</t>
        </is>
      </c>
      <c r="B2633" t="inlineStr">
        <is>
          <t>avverkningsanmälan</t>
        </is>
      </c>
      <c r="C2633" t="inlineStr">
        <is>
          <t>Avverkning för annat ändamål</t>
        </is>
      </c>
      <c r="D2633" s="1" t="n">
        <v>44684</v>
      </c>
      <c r="E2633" s="1" t="n">
        <v>46312</v>
      </c>
      <c r="F2633" t="inlineStr">
        <is>
          <t>SKÅNE LÄN</t>
        </is>
      </c>
      <c r="G2633" t="inlineStr">
        <is>
          <t>YSTAD</t>
        </is>
      </c>
      <c r="I2633" t="n">
        <v>4.9</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18118-2022</t>
        </is>
      </c>
      <c r="B2634" t="inlineStr">
        <is>
          <t>avverkningsanmälan</t>
        </is>
      </c>
      <c r="C2634" t="inlineStr">
        <is>
          <t>Föryngringsavverkning</t>
        </is>
      </c>
      <c r="D2634" s="1" t="n">
        <v>44684</v>
      </c>
      <c r="E2634" s="1" t="n">
        <v>46312</v>
      </c>
      <c r="F2634" t="inlineStr">
        <is>
          <t>SKÅNE LÄN</t>
        </is>
      </c>
      <c r="G2634" t="inlineStr">
        <is>
          <t>BJUV</t>
        </is>
      </c>
      <c r="I2634" t="n">
        <v>4.2</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12663-2022</t>
        </is>
      </c>
      <c r="B2635" t="inlineStr">
        <is>
          <t>avverkningsanmälan</t>
        </is>
      </c>
      <c r="C2635" t="inlineStr">
        <is>
          <t>Föryngringsavverkning</t>
        </is>
      </c>
      <c r="D2635" s="1" t="n">
        <v>44641</v>
      </c>
      <c r="E2635" s="1" t="n">
        <v>46312</v>
      </c>
      <c r="F2635" t="inlineStr">
        <is>
          <t>SKÅNE LÄN</t>
        </is>
      </c>
      <c r="G2635" t="inlineStr">
        <is>
          <t>TOMELILLA</t>
        </is>
      </c>
      <c r="H2635" t="inlineStr">
        <is>
          <t>Övriga Aktiebolag</t>
        </is>
      </c>
      <c r="I2635" t="n">
        <v>12.4</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54426-2025</t>
        </is>
      </c>
      <c r="B2636" t="inlineStr">
        <is>
          <t>avverkningsanmälan</t>
        </is>
      </c>
      <c r="C2636" t="inlineStr">
        <is>
          <t>Föryngringsavverkning</t>
        </is>
      </c>
      <c r="D2636" s="1" t="n">
        <v>45965</v>
      </c>
      <c r="E2636" s="1" t="n">
        <v>46312</v>
      </c>
      <c r="F2636" t="inlineStr">
        <is>
          <t>SKÅNE LÄN</t>
        </is>
      </c>
      <c r="G2636" t="inlineStr">
        <is>
          <t>HÄSSLEHOLM</t>
        </is>
      </c>
      <c r="I2636" t="n">
        <v>2.5</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55291-2023</t>
        </is>
      </c>
      <c r="B2637" t="inlineStr">
        <is>
          <t>avverkningsanmälan</t>
        </is>
      </c>
      <c r="C2637" t="inlineStr">
        <is>
          <t>Föryngringsavverkning</t>
        </is>
      </c>
      <c r="D2637" s="1" t="n">
        <v>45237</v>
      </c>
      <c r="E2637" s="1" t="n">
        <v>46312</v>
      </c>
      <c r="F2637" t="inlineStr">
        <is>
          <t>SKÅNE LÄN</t>
        </is>
      </c>
      <c r="G2637" t="inlineStr">
        <is>
          <t>KLIPPAN</t>
        </is>
      </c>
      <c r="I2637" t="n">
        <v>2.1</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55294-2023</t>
        </is>
      </c>
      <c r="B2638" t="inlineStr">
        <is>
          <t>avverkningsanmälan</t>
        </is>
      </c>
      <c r="C2638" t="inlineStr">
        <is>
          <t>Föryngringsavverkning</t>
        </is>
      </c>
      <c r="D2638" s="1" t="n">
        <v>45237</v>
      </c>
      <c r="E2638" s="1" t="n">
        <v>46312</v>
      </c>
      <c r="F2638" t="inlineStr">
        <is>
          <t>SKÅNE LÄN</t>
        </is>
      </c>
      <c r="G2638" t="inlineStr">
        <is>
          <t>OSBY</t>
        </is>
      </c>
      <c r="I2638" t="n">
        <v>2.2</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40037-2022</t>
        </is>
      </c>
      <c r="B2639" t="inlineStr">
        <is>
          <t>avverkningsanmälan</t>
        </is>
      </c>
      <c r="C2639" t="inlineStr">
        <is>
          <t>Föryngringsavverkning</t>
        </is>
      </c>
      <c r="D2639" s="1" t="n">
        <v>44818</v>
      </c>
      <c r="E2639" s="1" t="n">
        <v>46312</v>
      </c>
      <c r="F2639" t="inlineStr">
        <is>
          <t>SKÅNE LÄN</t>
        </is>
      </c>
      <c r="G2639" t="inlineStr">
        <is>
          <t>KRISTIANSTAD</t>
        </is>
      </c>
      <c r="I2639" t="n">
        <v>1.4</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50356-2023</t>
        </is>
      </c>
      <c r="B2640" t="inlineStr">
        <is>
          <t>avverkningsanmälan</t>
        </is>
      </c>
      <c r="C2640" t="inlineStr">
        <is>
          <t>Föryngringsavverkning</t>
        </is>
      </c>
      <c r="D2640" s="1" t="n">
        <v>45209</v>
      </c>
      <c r="E2640" s="1" t="n">
        <v>46312</v>
      </c>
      <c r="F2640" t="inlineStr">
        <is>
          <t>SKÅNE LÄN</t>
        </is>
      </c>
      <c r="G2640" t="inlineStr">
        <is>
          <t>ÖSTRA GÖINGE</t>
        </is>
      </c>
      <c r="I2640" t="n">
        <v>6.4</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16397-2022</t>
        </is>
      </c>
      <c r="B2641" t="inlineStr">
        <is>
          <t>avverkningsanmälan</t>
        </is>
      </c>
      <c r="C2641" t="inlineStr">
        <is>
          <t>Föryngringsavverkning</t>
        </is>
      </c>
      <c r="D2641" s="1" t="n">
        <v>44671</v>
      </c>
      <c r="E2641" s="1" t="n">
        <v>46312</v>
      </c>
      <c r="F2641" t="inlineStr">
        <is>
          <t>SKÅNE LÄN</t>
        </is>
      </c>
      <c r="G2641" t="inlineStr">
        <is>
          <t>HÄSSLEHOLM</t>
        </is>
      </c>
      <c r="I2641" t="n">
        <v>2.7</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16398-2022</t>
        </is>
      </c>
      <c r="B2642" t="inlineStr">
        <is>
          <t>avverkningsanmälan</t>
        </is>
      </c>
      <c r="C2642" t="inlineStr">
        <is>
          <t>Föryngringsavverkning</t>
        </is>
      </c>
      <c r="D2642" s="1" t="n">
        <v>44671</v>
      </c>
      <c r="E2642" s="1" t="n">
        <v>46312</v>
      </c>
      <c r="F2642" t="inlineStr">
        <is>
          <t>SKÅNE LÄN</t>
        </is>
      </c>
      <c r="G2642" t="inlineStr">
        <is>
          <t>HÄSSLEHOLM</t>
        </is>
      </c>
      <c r="I2642" t="n">
        <v>0.8</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58603-2025</t>
        </is>
      </c>
      <c r="B2643" t="inlineStr">
        <is>
          <t>avverkningsanmälan</t>
        </is>
      </c>
      <c r="C2643" t="inlineStr">
        <is>
          <t>Föryngringsavverkning</t>
        </is>
      </c>
      <c r="D2643" s="1" t="n">
        <v>45986</v>
      </c>
      <c r="E2643" s="1" t="n">
        <v>46312</v>
      </c>
      <c r="F2643" t="inlineStr">
        <is>
          <t>SKÅNE LÄN</t>
        </is>
      </c>
      <c r="G2643" t="inlineStr">
        <is>
          <t>OSBY</t>
        </is>
      </c>
      <c r="I2643" t="n">
        <v>0.7</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14104-2024</t>
        </is>
      </c>
      <c r="B2644" t="inlineStr">
        <is>
          <t>avverkningsanmälan</t>
        </is>
      </c>
      <c r="C2644" t="inlineStr">
        <is>
          <t>Föryngringsavverkning</t>
        </is>
      </c>
      <c r="D2644" s="1" t="n">
        <v>45392</v>
      </c>
      <c r="E2644" s="1" t="n">
        <v>46312</v>
      </c>
      <c r="F2644" t="inlineStr">
        <is>
          <t>SKÅNE LÄN</t>
        </is>
      </c>
      <c r="G2644" t="inlineStr">
        <is>
          <t>SIMRISHAMN</t>
        </is>
      </c>
      <c r="I2644" t="n">
        <v>5.3</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14106-2024</t>
        </is>
      </c>
      <c r="B2645" t="inlineStr">
        <is>
          <t>avverkningsanmälan</t>
        </is>
      </c>
      <c r="C2645" t="inlineStr">
        <is>
          <t>Föryngringsavverkning</t>
        </is>
      </c>
      <c r="D2645" s="1" t="n">
        <v>45392</v>
      </c>
      <c r="E2645" s="1" t="n">
        <v>46312</v>
      </c>
      <c r="F2645" t="inlineStr">
        <is>
          <t>SKÅNE LÄN</t>
        </is>
      </c>
      <c r="G2645" t="inlineStr">
        <is>
          <t>SIMRISHAMN</t>
        </is>
      </c>
      <c r="I2645" t="n">
        <v>0.6</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9651-2024</t>
        </is>
      </c>
      <c r="B2646" t="inlineStr">
        <is>
          <t>avverkningsanmälan</t>
        </is>
      </c>
      <c r="C2646" t="inlineStr">
        <is>
          <t>Föryngringsavverkning</t>
        </is>
      </c>
      <c r="D2646" s="1" t="n">
        <v>45360</v>
      </c>
      <c r="E2646" s="1" t="n">
        <v>46312</v>
      </c>
      <c r="F2646" t="inlineStr">
        <is>
          <t>SKÅNE LÄN</t>
        </is>
      </c>
      <c r="G2646" t="inlineStr">
        <is>
          <t>OSBY</t>
        </is>
      </c>
      <c r="I2646" t="n">
        <v>1.5</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23874-2026</t>
        </is>
      </c>
      <c r="B2647" t="inlineStr">
        <is>
          <t>avverkningsanmälan</t>
        </is>
      </c>
      <c r="C2647" t="inlineStr">
        <is>
          <t>Föryngringsavverkning</t>
        </is>
      </c>
      <c r="D2647" s="1" t="n">
        <v>46167</v>
      </c>
      <c r="E2647" s="1" t="n">
        <v>46312</v>
      </c>
      <c r="F2647" t="inlineStr">
        <is>
          <t>SKÅNE LÄN</t>
        </is>
      </c>
      <c r="G2647" t="inlineStr">
        <is>
          <t>PERSTORP</t>
        </is>
      </c>
      <c r="I2647" t="n">
        <v>0.8</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52051-2022</t>
        </is>
      </c>
      <c r="B2648" t="inlineStr">
        <is>
          <t>avverkningsanmälan</t>
        </is>
      </c>
      <c r="C2648" t="inlineStr">
        <is>
          <t>Föryngringsavverkning</t>
        </is>
      </c>
      <c r="D2648" s="1" t="n">
        <v>44873</v>
      </c>
      <c r="E2648" s="1" t="n">
        <v>46312</v>
      </c>
      <c r="F2648" t="inlineStr">
        <is>
          <t>SKÅNE LÄN</t>
        </is>
      </c>
      <c r="G2648" t="inlineStr">
        <is>
          <t>ÖSTRA GÖINGE</t>
        </is>
      </c>
      <c r="I2648" t="n">
        <v>5</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59308-2025</t>
        </is>
      </c>
      <c r="B2649" t="inlineStr">
        <is>
          <t>avverkningsanmälan</t>
        </is>
      </c>
      <c r="C2649" t="inlineStr">
        <is>
          <t>Föryngringsavverkning</t>
        </is>
      </c>
      <c r="D2649" s="1" t="n">
        <v>45989</v>
      </c>
      <c r="E2649" s="1" t="n">
        <v>46312</v>
      </c>
      <c r="F2649" t="inlineStr">
        <is>
          <t>SKÅNE LÄN</t>
        </is>
      </c>
      <c r="G2649" t="inlineStr">
        <is>
          <t>HÖRBY</t>
        </is>
      </c>
      <c r="I2649" t="n">
        <v>1.2</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4512-2024</t>
        </is>
      </c>
      <c r="B2650" t="inlineStr">
        <is>
          <t>avverkningsanmälan</t>
        </is>
      </c>
      <c r="C2650" t="inlineStr">
        <is>
          <t>Föryngringsavverkning</t>
        </is>
      </c>
      <c r="D2650" s="1" t="n">
        <v>45327</v>
      </c>
      <c r="E2650" s="1" t="n">
        <v>46312</v>
      </c>
      <c r="F2650" t="inlineStr">
        <is>
          <t>SKÅNE LÄN</t>
        </is>
      </c>
      <c r="G2650" t="inlineStr">
        <is>
          <t>HÄSSLEHOLM</t>
        </is>
      </c>
      <c r="I2650" t="n">
        <v>2</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18438-2026</t>
        </is>
      </c>
      <c r="B2651" t="inlineStr">
        <is>
          <t>avverkningsanmälan</t>
        </is>
      </c>
      <c r="C2651" t="inlineStr">
        <is>
          <t>Föryngringsavverkning</t>
        </is>
      </c>
      <c r="D2651" s="1" t="n">
        <v>46127</v>
      </c>
      <c r="E2651" s="1" t="n">
        <v>46312</v>
      </c>
      <c r="F2651" t="inlineStr">
        <is>
          <t>SKÅNE LÄN</t>
        </is>
      </c>
      <c r="G2651" t="inlineStr">
        <is>
          <t>SVALÖV</t>
        </is>
      </c>
      <c r="I2651" t="n">
        <v>1.6</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22792-2024</t>
        </is>
      </c>
      <c r="B2652" t="inlineStr">
        <is>
          <t>avverkningsanmälan</t>
        </is>
      </c>
      <c r="C2652" t="inlineStr">
        <is>
          <t>Föryngringsavverkning</t>
        </is>
      </c>
      <c r="D2652" s="1" t="n">
        <v>45448</v>
      </c>
      <c r="E2652" s="1" t="n">
        <v>46312</v>
      </c>
      <c r="F2652" t="inlineStr">
        <is>
          <t>SKÅNE LÄN</t>
        </is>
      </c>
      <c r="G2652" t="inlineStr">
        <is>
          <t>SVALÖV</t>
        </is>
      </c>
      <c r="I2652" t="n">
        <v>0.5</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35875-2023</t>
        </is>
      </c>
      <c r="B2653" t="inlineStr">
        <is>
          <t>avverkningsanmälan</t>
        </is>
      </c>
      <c r="C2653" t="inlineStr">
        <is>
          <t>Föryngringsavverkning</t>
        </is>
      </c>
      <c r="D2653" s="1" t="n">
        <v>45148</v>
      </c>
      <c r="E2653" s="1" t="n">
        <v>46312</v>
      </c>
      <c r="F2653" t="inlineStr">
        <is>
          <t>SKÅNE LÄN</t>
        </is>
      </c>
      <c r="G2653" t="inlineStr">
        <is>
          <t>OSBY</t>
        </is>
      </c>
      <c r="I2653" t="n">
        <v>1.1</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11500-2024</t>
        </is>
      </c>
      <c r="B2654" t="inlineStr">
        <is>
          <t>avverkningsanmälan</t>
        </is>
      </c>
      <c r="C2654" t="inlineStr">
        <is>
          <t>Föryngringsavverkning</t>
        </is>
      </c>
      <c r="D2654" s="1" t="n">
        <v>45372</v>
      </c>
      <c r="E2654" s="1" t="n">
        <v>46312</v>
      </c>
      <c r="F2654" t="inlineStr">
        <is>
          <t>SKÅNE LÄN</t>
        </is>
      </c>
      <c r="G2654" t="inlineStr">
        <is>
          <t>SJÖBO</t>
        </is>
      </c>
      <c r="I2654" t="n">
        <v>0.9</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49913-2025</t>
        </is>
      </c>
      <c r="B2655" t="inlineStr">
        <is>
          <t>avverkningsanmälan</t>
        </is>
      </c>
      <c r="C2655" t="inlineStr">
        <is>
          <t>Avverkning för annat ändamål</t>
        </is>
      </c>
      <c r="D2655" s="1" t="n">
        <v>45940</v>
      </c>
      <c r="E2655" s="1" t="n">
        <v>46312</v>
      </c>
      <c r="F2655" t="inlineStr">
        <is>
          <t>SKÅNE LÄN</t>
        </is>
      </c>
      <c r="G2655" t="inlineStr">
        <is>
          <t>TOMELILLA</t>
        </is>
      </c>
      <c r="I2655" t="n">
        <v>0.9</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39044-2024</t>
        </is>
      </c>
      <c r="B2656" t="inlineStr">
        <is>
          <t>avverkningsanmälan</t>
        </is>
      </c>
      <c r="C2656" t="inlineStr">
        <is>
          <t>Föryngringsavverkning</t>
        </is>
      </c>
      <c r="D2656" s="1" t="n">
        <v>45548</v>
      </c>
      <c r="E2656" s="1" t="n">
        <v>46312</v>
      </c>
      <c r="F2656" t="inlineStr">
        <is>
          <t>SKÅNE LÄN</t>
        </is>
      </c>
      <c r="G2656" t="inlineStr">
        <is>
          <t>HÄSSLEHOLM</t>
        </is>
      </c>
      <c r="I2656" t="n">
        <v>2.8</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59534-2025</t>
        </is>
      </c>
      <c r="B2657" t="inlineStr">
        <is>
          <t>avverkningsanmälan</t>
        </is>
      </c>
      <c r="C2657" t="inlineStr">
        <is>
          <t>Föryngringsavverkning</t>
        </is>
      </c>
      <c r="D2657" s="1" t="n">
        <v>45989</v>
      </c>
      <c r="E2657" s="1" t="n">
        <v>46312</v>
      </c>
      <c r="F2657" t="inlineStr">
        <is>
          <t>SKÅNE LÄN</t>
        </is>
      </c>
      <c r="G2657" t="inlineStr">
        <is>
          <t>KRISTIANSTAD</t>
        </is>
      </c>
      <c r="H2657" t="inlineStr">
        <is>
          <t>Övriga Aktiebolag</t>
        </is>
      </c>
      <c r="I2657" t="n">
        <v>2.5</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18146-2022</t>
        </is>
      </c>
      <c r="B2658" t="inlineStr">
        <is>
          <t>avverkningsanmälan</t>
        </is>
      </c>
      <c r="C2658" t="inlineStr">
        <is>
          <t>Föryngringsavverkning</t>
        </is>
      </c>
      <c r="D2658" s="1" t="n">
        <v>44684</v>
      </c>
      <c r="E2658" s="1" t="n">
        <v>46312</v>
      </c>
      <c r="F2658" t="inlineStr">
        <is>
          <t>SKÅNE LÄN</t>
        </is>
      </c>
      <c r="G2658" t="inlineStr">
        <is>
          <t>KRISTIANSTAD</t>
        </is>
      </c>
      <c r="I2658" t="n">
        <v>1.1</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1475-2022</t>
        </is>
      </c>
      <c r="B2659" t="inlineStr">
        <is>
          <t>avverkningsanmälan</t>
        </is>
      </c>
      <c r="C2659" t="inlineStr">
        <is>
          <t>Föryngringsavverkning</t>
        </is>
      </c>
      <c r="D2659" s="1" t="n">
        <v>44573</v>
      </c>
      <c r="E2659" s="1" t="n">
        <v>46312</v>
      </c>
      <c r="F2659" t="inlineStr">
        <is>
          <t>SKÅNE LÄN</t>
        </is>
      </c>
      <c r="G2659" t="inlineStr">
        <is>
          <t>HÖÖR</t>
        </is>
      </c>
      <c r="I2659" t="n">
        <v>4.6</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30806-2023</t>
        </is>
      </c>
      <c r="B2660" t="inlineStr">
        <is>
          <t>avverkningsanmälan</t>
        </is>
      </c>
      <c r="C2660" t="inlineStr">
        <is>
          <t>Föryngringsavverkning</t>
        </is>
      </c>
      <c r="D2660" s="1" t="n">
        <v>45112</v>
      </c>
      <c r="E2660" s="1" t="n">
        <v>46312</v>
      </c>
      <c r="F2660" t="inlineStr">
        <is>
          <t>SKÅNE LÄN</t>
        </is>
      </c>
      <c r="G2660" t="inlineStr">
        <is>
          <t>TOMELILLA</t>
        </is>
      </c>
      <c r="H2660" t="inlineStr">
        <is>
          <t>Övriga Aktiebolag</t>
        </is>
      </c>
      <c r="I2660" t="n">
        <v>0.7</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60055-2025</t>
        </is>
      </c>
      <c r="B2661" t="inlineStr">
        <is>
          <t>avverkningsanmälan</t>
        </is>
      </c>
      <c r="C2661" t="inlineStr">
        <is>
          <t>Föryngringsavverkning</t>
        </is>
      </c>
      <c r="D2661" s="1" t="n">
        <v>45993</v>
      </c>
      <c r="E2661" s="1" t="n">
        <v>46312</v>
      </c>
      <c r="F2661" t="inlineStr">
        <is>
          <t>SKÅNE LÄN</t>
        </is>
      </c>
      <c r="G2661" t="inlineStr">
        <is>
          <t>BROMÖLLA</t>
        </is>
      </c>
      <c r="H2661" t="inlineStr">
        <is>
          <t>Kyrkan</t>
        </is>
      </c>
      <c r="I2661" t="n">
        <v>1.1</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41623-2023</t>
        </is>
      </c>
      <c r="B2662" t="inlineStr">
        <is>
          <t>avverkningsanmälan</t>
        </is>
      </c>
      <c r="C2662" t="inlineStr">
        <is>
          <t>Föryngringsavverkning</t>
        </is>
      </c>
      <c r="D2662" s="1" t="n">
        <v>45175</v>
      </c>
      <c r="E2662" s="1" t="n">
        <v>46312</v>
      </c>
      <c r="F2662" t="inlineStr">
        <is>
          <t>SKÅNE LÄN</t>
        </is>
      </c>
      <c r="G2662" t="inlineStr">
        <is>
          <t>HÖÖR</t>
        </is>
      </c>
      <c r="I2662" t="n">
        <v>3.2</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14546-2024</t>
        </is>
      </c>
      <c r="B2663" t="inlineStr">
        <is>
          <t>avverkningsanmälan</t>
        </is>
      </c>
      <c r="C2663" t="inlineStr">
        <is>
          <t>Föryngringsavverkning</t>
        </is>
      </c>
      <c r="D2663" s="1" t="n">
        <v>45394</v>
      </c>
      <c r="E2663" s="1" t="n">
        <v>46312</v>
      </c>
      <c r="F2663" t="inlineStr">
        <is>
          <t>SKÅNE LÄN</t>
        </is>
      </c>
      <c r="G2663" t="inlineStr">
        <is>
          <t>SVALÖV</t>
        </is>
      </c>
      <c r="I2663" t="n">
        <v>1</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18571-2025</t>
        </is>
      </c>
      <c r="B2664" t="inlineStr">
        <is>
          <t>avverkningsanmälan</t>
        </is>
      </c>
      <c r="C2664" t="inlineStr">
        <is>
          <t>Föryngringsavverkning</t>
        </is>
      </c>
      <c r="D2664" s="1" t="n">
        <v>45763</v>
      </c>
      <c r="E2664" s="1" t="n">
        <v>46312</v>
      </c>
      <c r="F2664" t="inlineStr">
        <is>
          <t>SKÅNE LÄN</t>
        </is>
      </c>
      <c r="G2664" t="inlineStr">
        <is>
          <t>ÄNGELHOLM</t>
        </is>
      </c>
      <c r="I2664" t="n">
        <v>0.9</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60007-2025</t>
        </is>
      </c>
      <c r="B2665" t="inlineStr">
        <is>
          <t>avverkningsanmälan</t>
        </is>
      </c>
      <c r="C2665" t="inlineStr">
        <is>
          <t>Föryngringsavverkning</t>
        </is>
      </c>
      <c r="D2665" s="1" t="n">
        <v>45993</v>
      </c>
      <c r="E2665" s="1" t="n">
        <v>46312</v>
      </c>
      <c r="F2665" t="inlineStr">
        <is>
          <t>SKÅNE LÄN</t>
        </is>
      </c>
      <c r="G2665" t="inlineStr">
        <is>
          <t>KRISTIANSTAD</t>
        </is>
      </c>
      <c r="H2665" t="inlineStr">
        <is>
          <t>Övriga Aktiebolag</t>
        </is>
      </c>
      <c r="I2665" t="n">
        <v>0.6</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60018-2025</t>
        </is>
      </c>
      <c r="B2666" t="inlineStr">
        <is>
          <t>avverkningsanmälan</t>
        </is>
      </c>
      <c r="C2666" t="inlineStr">
        <is>
          <t>Föryngringsavverkning</t>
        </is>
      </c>
      <c r="D2666" s="1" t="n">
        <v>45993</v>
      </c>
      <c r="E2666" s="1" t="n">
        <v>46312</v>
      </c>
      <c r="F2666" t="inlineStr">
        <is>
          <t>SKÅNE LÄN</t>
        </is>
      </c>
      <c r="G2666" t="inlineStr">
        <is>
          <t>ÖSTRA GÖINGE</t>
        </is>
      </c>
      <c r="I2666" t="n">
        <v>1.7</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19020-2024</t>
        </is>
      </c>
      <c r="B2667" t="inlineStr">
        <is>
          <t>avverkningsanmälan</t>
        </is>
      </c>
      <c r="C2667" t="inlineStr">
        <is>
          <t>Föryngringsavverkning</t>
        </is>
      </c>
      <c r="D2667" s="1" t="n">
        <v>45427</v>
      </c>
      <c r="E2667" s="1" t="n">
        <v>46312</v>
      </c>
      <c r="F2667" t="inlineStr">
        <is>
          <t>SKÅNE LÄN</t>
        </is>
      </c>
      <c r="G2667" t="inlineStr">
        <is>
          <t>HÄSSLEHOLM</t>
        </is>
      </c>
      <c r="I2667" t="n">
        <v>2.3</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40734-2024</t>
        </is>
      </c>
      <c r="B2668" t="inlineStr">
        <is>
          <t>avverkningsanmälan</t>
        </is>
      </c>
      <c r="C2668" t="inlineStr">
        <is>
          <t>Föryngringsavverkning</t>
        </is>
      </c>
      <c r="D2668" s="1" t="n">
        <v>45558</v>
      </c>
      <c r="E2668" s="1" t="n">
        <v>46312</v>
      </c>
      <c r="F2668" t="inlineStr">
        <is>
          <t>SKÅNE LÄN</t>
        </is>
      </c>
      <c r="G2668" t="inlineStr">
        <is>
          <t>HÄSSLEHOLM</t>
        </is>
      </c>
      <c r="I2668" t="n">
        <v>1.4</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40738-2024</t>
        </is>
      </c>
      <c r="B2669" t="inlineStr">
        <is>
          <t>avverkningsanmälan</t>
        </is>
      </c>
      <c r="C2669" t="inlineStr">
        <is>
          <t>Föryngringsavverkning</t>
        </is>
      </c>
      <c r="D2669" s="1" t="n">
        <v>45558</v>
      </c>
      <c r="E2669" s="1" t="n">
        <v>46312</v>
      </c>
      <c r="F2669" t="inlineStr">
        <is>
          <t>SKÅNE LÄN</t>
        </is>
      </c>
      <c r="G2669" t="inlineStr">
        <is>
          <t>HÄSSLEHOLM</t>
        </is>
      </c>
      <c r="I2669" t="n">
        <v>2.6</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37276-2024</t>
        </is>
      </c>
      <c r="B2670" t="inlineStr">
        <is>
          <t>avverkningsanmälan</t>
        </is>
      </c>
      <c r="C2670" t="inlineStr">
        <is>
          <t>Föryngringsavverkning</t>
        </is>
      </c>
      <c r="D2670" s="1" t="n">
        <v>45540</v>
      </c>
      <c r="E2670" s="1" t="n">
        <v>46312</v>
      </c>
      <c r="F2670" t="inlineStr">
        <is>
          <t>SKÅNE LÄN</t>
        </is>
      </c>
      <c r="G2670" t="inlineStr">
        <is>
          <t>HÖRBY</t>
        </is>
      </c>
      <c r="I2670" t="n">
        <v>1.6</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16419-2023</t>
        </is>
      </c>
      <c r="B2671" t="inlineStr">
        <is>
          <t>avverkningsanmälan</t>
        </is>
      </c>
      <c r="C2671" t="inlineStr">
        <is>
          <t>Föryngringsavverkning</t>
        </is>
      </c>
      <c r="D2671" s="1" t="n">
        <v>45022</v>
      </c>
      <c r="E2671" s="1" t="n">
        <v>46312</v>
      </c>
      <c r="F2671" t="inlineStr">
        <is>
          <t>SKÅNE LÄN</t>
        </is>
      </c>
      <c r="G2671" t="inlineStr">
        <is>
          <t>ÄNGELHOLM</t>
        </is>
      </c>
      <c r="I2671" t="n">
        <v>4.2</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60008-2025</t>
        </is>
      </c>
      <c r="B2672" t="inlineStr">
        <is>
          <t>avverkningsanmälan</t>
        </is>
      </c>
      <c r="C2672" t="inlineStr">
        <is>
          <t>Föryngringsavverkning</t>
        </is>
      </c>
      <c r="D2672" s="1" t="n">
        <v>45993</v>
      </c>
      <c r="E2672" s="1" t="n">
        <v>46312</v>
      </c>
      <c r="F2672" t="inlineStr">
        <is>
          <t>SKÅNE LÄN</t>
        </is>
      </c>
      <c r="G2672" t="inlineStr">
        <is>
          <t>KRISTIANSTAD</t>
        </is>
      </c>
      <c r="H2672" t="inlineStr">
        <is>
          <t>Övriga Aktiebolag</t>
        </is>
      </c>
      <c r="I2672" t="n">
        <v>1.3</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60012-2025</t>
        </is>
      </c>
      <c r="B2673" t="inlineStr">
        <is>
          <t>avverkningsanmälan</t>
        </is>
      </c>
      <c r="C2673" t="inlineStr">
        <is>
          <t>Föryngringsavverkning</t>
        </is>
      </c>
      <c r="D2673" s="1" t="n">
        <v>45993</v>
      </c>
      <c r="E2673" s="1" t="n">
        <v>46312</v>
      </c>
      <c r="F2673" t="inlineStr">
        <is>
          <t>SKÅNE LÄN</t>
        </is>
      </c>
      <c r="G2673" t="inlineStr">
        <is>
          <t>KRISTIANSTAD</t>
        </is>
      </c>
      <c r="H2673" t="inlineStr">
        <is>
          <t>Övriga Aktiebolag</t>
        </is>
      </c>
      <c r="I2673" t="n">
        <v>1</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59535-2025</t>
        </is>
      </c>
      <c r="B2674" t="inlineStr">
        <is>
          <t>avverkningsanmälan</t>
        </is>
      </c>
      <c r="C2674" t="inlineStr">
        <is>
          <t>Föryngringsavverkning</t>
        </is>
      </c>
      <c r="D2674" s="1" t="n">
        <v>45989</v>
      </c>
      <c r="E2674" s="1" t="n">
        <v>46312</v>
      </c>
      <c r="F2674" t="inlineStr">
        <is>
          <t>SKÅNE LÄN</t>
        </is>
      </c>
      <c r="G2674" t="inlineStr">
        <is>
          <t>KRISTIANSTAD</t>
        </is>
      </c>
      <c r="H2674" t="inlineStr">
        <is>
          <t>Övriga Aktiebolag</t>
        </is>
      </c>
      <c r="I2674" t="n">
        <v>9.199999999999999</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49199-2024</t>
        </is>
      </c>
      <c r="B2675" t="inlineStr">
        <is>
          <t>avverkningsanmälan</t>
        </is>
      </c>
      <c r="C2675" t="inlineStr">
        <is>
          <t>Föryngringsavverkning</t>
        </is>
      </c>
      <c r="D2675" s="1" t="n">
        <v>45595</v>
      </c>
      <c r="E2675" s="1" t="n">
        <v>46312</v>
      </c>
      <c r="F2675" t="inlineStr">
        <is>
          <t>SKÅNE LÄN</t>
        </is>
      </c>
      <c r="G2675" t="inlineStr">
        <is>
          <t>HÄSSLEHOLM</t>
        </is>
      </c>
      <c r="I2675" t="n">
        <v>5.2</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27551-2023</t>
        </is>
      </c>
      <c r="B2676" t="inlineStr">
        <is>
          <t>avverkningsanmälan</t>
        </is>
      </c>
      <c r="C2676" t="inlineStr">
        <is>
          <t>Föryngringsavverkning</t>
        </is>
      </c>
      <c r="D2676" s="1" t="n">
        <v>45097</v>
      </c>
      <c r="E2676" s="1" t="n">
        <v>46312</v>
      </c>
      <c r="F2676" t="inlineStr">
        <is>
          <t>SKÅNE LÄN</t>
        </is>
      </c>
      <c r="G2676" t="inlineStr">
        <is>
          <t>ÄNGELHOLM</t>
        </is>
      </c>
      <c r="I2676" t="n">
        <v>0.6</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1616-2025</t>
        </is>
      </c>
      <c r="B2677" t="inlineStr">
        <is>
          <t>avverkningsanmälan</t>
        </is>
      </c>
      <c r="C2677" t="inlineStr">
        <is>
          <t>Föryngringsavverkning</t>
        </is>
      </c>
      <c r="D2677" s="1" t="n">
        <v>45670</v>
      </c>
      <c r="E2677" s="1" t="n">
        <v>46312</v>
      </c>
      <c r="F2677" t="inlineStr">
        <is>
          <t>SKÅNE LÄN</t>
        </is>
      </c>
      <c r="G2677" t="inlineStr">
        <is>
          <t>HÄSSLEHOLM</t>
        </is>
      </c>
      <c r="I2677" t="n">
        <v>3.6</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37052-2025</t>
        </is>
      </c>
      <c r="B2678" t="inlineStr">
        <is>
          <t>avverkningsanmälan</t>
        </is>
      </c>
      <c r="C2678" t="inlineStr">
        <is>
          <t>Föryngringsavverkning</t>
        </is>
      </c>
      <c r="D2678" s="1" t="n">
        <v>45875</v>
      </c>
      <c r="E2678" s="1" t="n">
        <v>46312</v>
      </c>
      <c r="F2678" t="inlineStr">
        <is>
          <t>SKÅNE LÄN</t>
        </is>
      </c>
      <c r="G2678" t="inlineStr">
        <is>
          <t>SIMRISHAMN</t>
        </is>
      </c>
      <c r="I2678" t="n">
        <v>0.9</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17855-2025</t>
        </is>
      </c>
      <c r="B2679" t="inlineStr">
        <is>
          <t>avverkningsanmälan</t>
        </is>
      </c>
      <c r="C2679" t="inlineStr">
        <is>
          <t>Föryngringsavverkning</t>
        </is>
      </c>
      <c r="D2679" s="1" t="n">
        <v>45758</v>
      </c>
      <c r="E2679" s="1" t="n">
        <v>46312</v>
      </c>
      <c r="F2679" t="inlineStr">
        <is>
          <t>SKÅNE LÄN</t>
        </is>
      </c>
      <c r="G2679" t="inlineStr">
        <is>
          <t>ÖSTRA GÖINGE</t>
        </is>
      </c>
      <c r="H2679" t="inlineStr">
        <is>
          <t>Sveaskog</t>
        </is>
      </c>
      <c r="I2679" t="n">
        <v>4.3</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17860-2025</t>
        </is>
      </c>
      <c r="B2680" t="inlineStr">
        <is>
          <t>avverkningsanmälan</t>
        </is>
      </c>
      <c r="C2680" t="inlineStr">
        <is>
          <t>Föryngringsavverkning</t>
        </is>
      </c>
      <c r="D2680" s="1" t="n">
        <v>45758</v>
      </c>
      <c r="E2680" s="1" t="n">
        <v>46312</v>
      </c>
      <c r="F2680" t="inlineStr">
        <is>
          <t>SKÅNE LÄN</t>
        </is>
      </c>
      <c r="G2680" t="inlineStr">
        <is>
          <t>ÖSTRA GÖINGE</t>
        </is>
      </c>
      <c r="H2680" t="inlineStr">
        <is>
          <t>Sveaskog</t>
        </is>
      </c>
      <c r="I2680" t="n">
        <v>9.1</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16505-2024</t>
        </is>
      </c>
      <c r="B2681" t="inlineStr">
        <is>
          <t>avverkningsanmälan</t>
        </is>
      </c>
      <c r="C2681" t="inlineStr">
        <is>
          <t>Föryngringsavverkning</t>
        </is>
      </c>
      <c r="D2681" s="1" t="n">
        <v>45408</v>
      </c>
      <c r="E2681" s="1" t="n">
        <v>46312</v>
      </c>
      <c r="F2681" t="inlineStr">
        <is>
          <t>SKÅNE LÄN</t>
        </is>
      </c>
      <c r="G2681" t="inlineStr">
        <is>
          <t>ÖSTRA GÖINGE</t>
        </is>
      </c>
      <c r="I2681" t="n">
        <v>4.6</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16509-2024</t>
        </is>
      </c>
      <c r="B2682" t="inlineStr">
        <is>
          <t>avverkningsanmälan</t>
        </is>
      </c>
      <c r="C2682" t="inlineStr">
        <is>
          <t>Föryngringsavverkning</t>
        </is>
      </c>
      <c r="D2682" s="1" t="n">
        <v>45408</v>
      </c>
      <c r="E2682" s="1" t="n">
        <v>46312</v>
      </c>
      <c r="F2682" t="inlineStr">
        <is>
          <t>SKÅNE LÄN</t>
        </is>
      </c>
      <c r="G2682" t="inlineStr">
        <is>
          <t>ÖSTRA GÖINGE</t>
        </is>
      </c>
      <c r="I2682" t="n">
        <v>8.5</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62316-2025</t>
        </is>
      </c>
      <c r="B2683" t="inlineStr">
        <is>
          <t>avverkningsanmälan</t>
        </is>
      </c>
      <c r="C2683" t="inlineStr">
        <is>
          <t>Föryngringsavverkning</t>
        </is>
      </c>
      <c r="D2683" s="1" t="n">
        <v>46006</v>
      </c>
      <c r="E2683" s="1" t="n">
        <v>46312</v>
      </c>
      <c r="F2683" t="inlineStr">
        <is>
          <t>SKÅNE LÄN</t>
        </is>
      </c>
      <c r="G2683" t="inlineStr">
        <is>
          <t>SIMRISHAMN</t>
        </is>
      </c>
      <c r="I2683" t="n">
        <v>3.5</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10819-2026</t>
        </is>
      </c>
      <c r="B2684" t="inlineStr">
        <is>
          <t>avverkningsanmälan</t>
        </is>
      </c>
      <c r="C2684" t="inlineStr">
        <is>
          <t>Föryngringsavverkning</t>
        </is>
      </c>
      <c r="D2684" s="1" t="n">
        <v>46078</v>
      </c>
      <c r="E2684" s="1" t="n">
        <v>46312</v>
      </c>
      <c r="F2684" t="inlineStr">
        <is>
          <t>SKÅNE LÄN</t>
        </is>
      </c>
      <c r="G2684" t="inlineStr">
        <is>
          <t>ESLÖV</t>
        </is>
      </c>
      <c r="I2684" t="n">
        <v>4.9</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6245-2024</t>
        </is>
      </c>
      <c r="B2685" t="inlineStr">
        <is>
          <t>avverkningsanmälan</t>
        </is>
      </c>
      <c r="C2685" t="inlineStr">
        <is>
          <t>Föryngringsavverkning</t>
        </is>
      </c>
      <c r="D2685" s="1" t="n">
        <v>45337</v>
      </c>
      <c r="E2685" s="1" t="n">
        <v>46312</v>
      </c>
      <c r="F2685" t="inlineStr">
        <is>
          <t>SKÅNE LÄN</t>
        </is>
      </c>
      <c r="G2685" t="inlineStr">
        <is>
          <t>KRISTIANSTAD</t>
        </is>
      </c>
      <c r="H2685" t="inlineStr">
        <is>
          <t>Övriga Aktiebolag</t>
        </is>
      </c>
      <c r="I2685" t="n">
        <v>8.699999999999999</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10454-2022</t>
        </is>
      </c>
      <c r="B2686" t="inlineStr">
        <is>
          <t>avverkningsanmälan</t>
        </is>
      </c>
      <c r="C2686" t="inlineStr">
        <is>
          <t>Föryngringsavverkning</t>
        </is>
      </c>
      <c r="D2686" s="1" t="n">
        <v>44623</v>
      </c>
      <c r="E2686" s="1" t="n">
        <v>46312</v>
      </c>
      <c r="F2686" t="inlineStr">
        <is>
          <t>SKÅNE LÄN</t>
        </is>
      </c>
      <c r="G2686" t="inlineStr">
        <is>
          <t>SJÖBO</t>
        </is>
      </c>
      <c r="I2686" t="n">
        <v>2.6</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53218-2023</t>
        </is>
      </c>
      <c r="B2687" t="inlineStr">
        <is>
          <t>avverkningsanmälan</t>
        </is>
      </c>
      <c r="C2687" t="inlineStr">
        <is>
          <t>Föryngringsavverkning</t>
        </is>
      </c>
      <c r="D2687" s="1" t="n">
        <v>45229</v>
      </c>
      <c r="E2687" s="1" t="n">
        <v>46312</v>
      </c>
      <c r="F2687" t="inlineStr">
        <is>
          <t>SKÅNE LÄN</t>
        </is>
      </c>
      <c r="G2687" t="inlineStr">
        <is>
          <t>BJUV</t>
        </is>
      </c>
      <c r="I2687" t="n">
        <v>5.4</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34722-2023</t>
        </is>
      </c>
      <c r="B2688" t="inlineStr">
        <is>
          <t>avverkningsanmälan</t>
        </is>
      </c>
      <c r="C2688" t="inlineStr">
        <is>
          <t>Föryngringsavverkning</t>
        </is>
      </c>
      <c r="D2688" s="1" t="n">
        <v>45139</v>
      </c>
      <c r="E2688" s="1" t="n">
        <v>46312</v>
      </c>
      <c r="F2688" t="inlineStr">
        <is>
          <t>SKÅNE LÄN</t>
        </is>
      </c>
      <c r="G2688" t="inlineStr">
        <is>
          <t>ÖSTRA GÖINGE</t>
        </is>
      </c>
      <c r="I2688" t="n">
        <v>1.4</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43466-2025</t>
        </is>
      </c>
      <c r="B2689" t="inlineStr">
        <is>
          <t>avverkningsanmälan</t>
        </is>
      </c>
      <c r="C2689" t="inlineStr">
        <is>
          <t>Föryngringsavverkning</t>
        </is>
      </c>
      <c r="D2689" s="1" t="n">
        <v>45911</v>
      </c>
      <c r="E2689" s="1" t="n">
        <v>46312</v>
      </c>
      <c r="F2689" t="inlineStr">
        <is>
          <t>SKÅNE LÄN</t>
        </is>
      </c>
      <c r="G2689" t="inlineStr">
        <is>
          <t>SVALÖV</t>
        </is>
      </c>
      <c r="I2689" t="n">
        <v>4.5</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74016-2021</t>
        </is>
      </c>
      <c r="B2690" t="inlineStr">
        <is>
          <t>avverkningsanmälan</t>
        </is>
      </c>
      <c r="C2690" t="inlineStr">
        <is>
          <t>Föryngringsavverkning</t>
        </is>
      </c>
      <c r="D2690" s="1" t="n">
        <v>44557</v>
      </c>
      <c r="E2690" s="1" t="n">
        <v>46312</v>
      </c>
      <c r="F2690" t="inlineStr">
        <is>
          <t>SKÅNE LÄN</t>
        </is>
      </c>
      <c r="G2690" t="inlineStr">
        <is>
          <t>OSBY</t>
        </is>
      </c>
      <c r="I2690" t="n">
        <v>2.8</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2712-2024</t>
        </is>
      </c>
      <c r="B2691" t="inlineStr">
        <is>
          <t>avverkningsanmälan</t>
        </is>
      </c>
      <c r="C2691" t="inlineStr">
        <is>
          <t>Föryngringsavverkning</t>
        </is>
      </c>
      <c r="D2691" s="1" t="n">
        <v>45314</v>
      </c>
      <c r="E2691" s="1" t="n">
        <v>46312</v>
      </c>
      <c r="F2691" t="inlineStr">
        <is>
          <t>SKÅNE LÄN</t>
        </is>
      </c>
      <c r="G2691" t="inlineStr">
        <is>
          <t>HÄSSLEHOLM</t>
        </is>
      </c>
      <c r="I2691" t="n">
        <v>11.3</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15733-2024</t>
        </is>
      </c>
      <c r="B2692" t="inlineStr">
        <is>
          <t>avverkningsanmälan</t>
        </is>
      </c>
      <c r="C2692" t="inlineStr">
        <is>
          <t>Föryngringsavverkning</t>
        </is>
      </c>
      <c r="D2692" s="1" t="n">
        <v>45404</v>
      </c>
      <c r="E2692" s="1" t="n">
        <v>46312</v>
      </c>
      <c r="F2692" t="inlineStr">
        <is>
          <t>SKÅNE LÄN</t>
        </is>
      </c>
      <c r="G2692" t="inlineStr">
        <is>
          <t>OSBY</t>
        </is>
      </c>
      <c r="I2692" t="n">
        <v>4.8</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60059-2025</t>
        </is>
      </c>
      <c r="B2693" t="inlineStr">
        <is>
          <t>avverkningsanmälan</t>
        </is>
      </c>
      <c r="C2693" t="inlineStr">
        <is>
          <t>Föryngringsavverkning</t>
        </is>
      </c>
      <c r="D2693" s="1" t="n">
        <v>45993</v>
      </c>
      <c r="E2693" s="1" t="n">
        <v>46312</v>
      </c>
      <c r="F2693" t="inlineStr">
        <is>
          <t>SKÅNE LÄN</t>
        </is>
      </c>
      <c r="G2693" t="inlineStr">
        <is>
          <t>SIMRISHAMN</t>
        </is>
      </c>
      <c r="H2693" t="inlineStr">
        <is>
          <t>Övriga Aktiebolag</t>
        </is>
      </c>
      <c r="I2693" t="n">
        <v>7.8</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36951-2023</t>
        </is>
      </c>
      <c r="B2694" t="inlineStr">
        <is>
          <t>avverkningsanmälan</t>
        </is>
      </c>
      <c r="C2694" t="inlineStr">
        <is>
          <t>Föryngringsavverkning</t>
        </is>
      </c>
      <c r="D2694" s="1" t="n">
        <v>45154</v>
      </c>
      <c r="E2694" s="1" t="n">
        <v>46312</v>
      </c>
      <c r="F2694" t="inlineStr">
        <is>
          <t>SKÅNE LÄN</t>
        </is>
      </c>
      <c r="G2694" t="inlineStr">
        <is>
          <t>OSBY</t>
        </is>
      </c>
      <c r="I2694" t="n">
        <v>0.6</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24084-2026</t>
        </is>
      </c>
      <c r="B2695" t="inlineStr">
        <is>
          <t>avverkningsanmälan</t>
        </is>
      </c>
      <c r="C2695" t="inlineStr">
        <is>
          <t>Föryngringsavverkning</t>
        </is>
      </c>
      <c r="D2695" s="1" t="n">
        <v>46168</v>
      </c>
      <c r="E2695" s="1" t="n">
        <v>46312</v>
      </c>
      <c r="F2695" t="inlineStr">
        <is>
          <t>SKÅNE LÄN</t>
        </is>
      </c>
      <c r="G2695" t="inlineStr">
        <is>
          <t>HÄSSLEHOLM</t>
        </is>
      </c>
      <c r="I2695" t="n">
        <v>0.3</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37074-2024</t>
        </is>
      </c>
      <c r="B2696" t="inlineStr">
        <is>
          <t>avverkningsanmälan</t>
        </is>
      </c>
      <c r="C2696" t="inlineStr">
        <is>
          <t>Föryngringsavverkning</t>
        </is>
      </c>
      <c r="D2696" s="1" t="n">
        <v>45539</v>
      </c>
      <c r="E2696" s="1" t="n">
        <v>46312</v>
      </c>
      <c r="F2696" t="inlineStr">
        <is>
          <t>SKÅNE LÄN</t>
        </is>
      </c>
      <c r="G2696" t="inlineStr">
        <is>
          <t>HÖÖR</t>
        </is>
      </c>
      <c r="I2696" t="n">
        <v>2.9</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33741-2024</t>
        </is>
      </c>
      <c r="B2697" t="inlineStr">
        <is>
          <t>avverkningsanmälan</t>
        </is>
      </c>
      <c r="C2697" t="inlineStr">
        <is>
          <t>Föryngringsavverkning</t>
        </is>
      </c>
      <c r="D2697" s="1" t="n">
        <v>45520</v>
      </c>
      <c r="E2697" s="1" t="n">
        <v>46312</v>
      </c>
      <c r="F2697" t="inlineStr">
        <is>
          <t>SKÅNE LÄN</t>
        </is>
      </c>
      <c r="G2697" t="inlineStr">
        <is>
          <t>OSBY</t>
        </is>
      </c>
      <c r="I2697" t="n">
        <v>8.800000000000001</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24347-2026</t>
        </is>
      </c>
      <c r="B2698" t="inlineStr">
        <is>
          <t>avverkningsanmälan</t>
        </is>
      </c>
      <c r="C2698" t="inlineStr">
        <is>
          <t>Föryngringsavverkning</t>
        </is>
      </c>
      <c r="D2698" s="1" t="n">
        <v>46169</v>
      </c>
      <c r="E2698" s="1" t="n">
        <v>46312</v>
      </c>
      <c r="F2698" t="inlineStr">
        <is>
          <t>SKÅNE LÄN</t>
        </is>
      </c>
      <c r="G2698" t="inlineStr">
        <is>
          <t>KRISTIANSTAD</t>
        </is>
      </c>
      <c r="I2698" t="n">
        <v>0.9</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60600-2022</t>
        </is>
      </c>
      <c r="B2699" t="inlineStr">
        <is>
          <t>avverkningsanmälan</t>
        </is>
      </c>
      <c r="C2699" t="inlineStr">
        <is>
          <t>Föryngringsavverkning</t>
        </is>
      </c>
      <c r="D2699" s="1" t="n">
        <v>44911</v>
      </c>
      <c r="E2699" s="1" t="n">
        <v>46312</v>
      </c>
      <c r="F2699" t="inlineStr">
        <is>
          <t>SKÅNE LÄN</t>
        </is>
      </c>
      <c r="G2699" t="inlineStr">
        <is>
          <t>OSBY</t>
        </is>
      </c>
      <c r="I2699" t="n">
        <v>15.4</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56986-2024</t>
        </is>
      </c>
      <c r="B2700" t="inlineStr">
        <is>
          <t>avverkningsanmälan</t>
        </is>
      </c>
      <c r="C2700" t="inlineStr">
        <is>
          <t>Föryngringsavverkning</t>
        </is>
      </c>
      <c r="D2700" s="1" t="n">
        <v>45626</v>
      </c>
      <c r="E2700" s="1" t="n">
        <v>46312</v>
      </c>
      <c r="F2700" t="inlineStr">
        <is>
          <t>SKÅNE LÄN</t>
        </is>
      </c>
      <c r="G2700" t="inlineStr">
        <is>
          <t>HÄSSLEHOLM</t>
        </is>
      </c>
      <c r="I2700" t="n">
        <v>0.5</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46222-2022</t>
        </is>
      </c>
      <c r="B2701" t="inlineStr">
        <is>
          <t>avverkningsanmälan</t>
        </is>
      </c>
      <c r="C2701" t="inlineStr">
        <is>
          <t>Föryngringsavverkning</t>
        </is>
      </c>
      <c r="D2701" s="1" t="n">
        <v>44847</v>
      </c>
      <c r="E2701" s="1" t="n">
        <v>46312</v>
      </c>
      <c r="F2701" t="inlineStr">
        <is>
          <t>SKÅNE LÄN</t>
        </is>
      </c>
      <c r="G2701" t="inlineStr">
        <is>
          <t>HÄSSLEHOLM</t>
        </is>
      </c>
      <c r="I2701" t="n">
        <v>6.3</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2567-2024</t>
        </is>
      </c>
      <c r="B2702" t="inlineStr">
        <is>
          <t>avverkningsanmälan</t>
        </is>
      </c>
      <c r="C2702" t="inlineStr">
        <is>
          <t>Föryngringsavverkning</t>
        </is>
      </c>
      <c r="D2702" s="1" t="n">
        <v>45313</v>
      </c>
      <c r="E2702" s="1" t="n">
        <v>46312</v>
      </c>
      <c r="F2702" t="inlineStr">
        <is>
          <t>SKÅNE LÄN</t>
        </is>
      </c>
      <c r="G2702" t="inlineStr">
        <is>
          <t>HÄSSLEHOLM</t>
        </is>
      </c>
      <c r="I2702" t="n">
        <v>1.1</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2575-2024</t>
        </is>
      </c>
      <c r="B2703" t="inlineStr">
        <is>
          <t>avverkningsanmälan</t>
        </is>
      </c>
      <c r="C2703" t="inlineStr">
        <is>
          <t>Föryngringsavverkning</t>
        </is>
      </c>
      <c r="D2703" s="1" t="n">
        <v>45313</v>
      </c>
      <c r="E2703" s="1" t="n">
        <v>46312</v>
      </c>
      <c r="F2703" t="inlineStr">
        <is>
          <t>SKÅNE LÄN</t>
        </is>
      </c>
      <c r="G2703" t="inlineStr">
        <is>
          <t>ÄNGELHOLM</t>
        </is>
      </c>
      <c r="I2703" t="n">
        <v>1</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57391-2024</t>
        </is>
      </c>
      <c r="B2704" t="inlineStr">
        <is>
          <t>avverkningsanmälan</t>
        </is>
      </c>
      <c r="C2704" t="inlineStr">
        <is>
          <t>Föryngringsavverkning</t>
        </is>
      </c>
      <c r="D2704" s="1" t="n">
        <v>45629</v>
      </c>
      <c r="E2704" s="1" t="n">
        <v>46312</v>
      </c>
      <c r="F2704" t="inlineStr">
        <is>
          <t>SKÅNE LÄN</t>
        </is>
      </c>
      <c r="G2704" t="inlineStr">
        <is>
          <t>BJUV</t>
        </is>
      </c>
      <c r="I2704" t="n">
        <v>1.8</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17316-2024</t>
        </is>
      </c>
      <c r="B2705" t="inlineStr">
        <is>
          <t>avverkningsanmälan</t>
        </is>
      </c>
      <c r="C2705" t="inlineStr">
        <is>
          <t>Föryngringsavverkning</t>
        </is>
      </c>
      <c r="D2705" s="1" t="n">
        <v>45414</v>
      </c>
      <c r="E2705" s="1" t="n">
        <v>46312</v>
      </c>
      <c r="F2705" t="inlineStr">
        <is>
          <t>SKÅNE LÄN</t>
        </is>
      </c>
      <c r="G2705" t="inlineStr">
        <is>
          <t>TOMELILLA</t>
        </is>
      </c>
      <c r="H2705" t="inlineStr">
        <is>
          <t>Övriga Aktiebolag</t>
        </is>
      </c>
      <c r="I2705" t="n">
        <v>4.3</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24286-2026</t>
        </is>
      </c>
      <c r="B2706" t="inlineStr">
        <is>
          <t>avverkningsanmälan</t>
        </is>
      </c>
      <c r="C2706" t="inlineStr">
        <is>
          <t>Föryngringsavverkning</t>
        </is>
      </c>
      <c r="D2706" s="1" t="n">
        <v>46169</v>
      </c>
      <c r="E2706" s="1" t="n">
        <v>46312</v>
      </c>
      <c r="F2706" t="inlineStr">
        <is>
          <t>SKÅNE LÄN</t>
        </is>
      </c>
      <c r="G2706" t="inlineStr">
        <is>
          <t>SVALÖV</t>
        </is>
      </c>
      <c r="I2706" t="n">
        <v>0.9</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54450-2025</t>
        </is>
      </c>
      <c r="B2707" t="inlineStr">
        <is>
          <t>avverkningsanmälan</t>
        </is>
      </c>
      <c r="C2707" t="inlineStr">
        <is>
          <t>Föryngringsavverkning</t>
        </is>
      </c>
      <c r="D2707" s="1" t="n">
        <v>45965</v>
      </c>
      <c r="E2707" s="1" t="n">
        <v>46312</v>
      </c>
      <c r="F2707" t="inlineStr">
        <is>
          <t>SKÅNE LÄN</t>
        </is>
      </c>
      <c r="G2707" t="inlineStr">
        <is>
          <t>ÖSTRA GÖINGE</t>
        </is>
      </c>
      <c r="I2707" t="n">
        <v>5.1</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28632-2024</t>
        </is>
      </c>
      <c r="B2708" t="inlineStr">
        <is>
          <t>avverkningsanmälan</t>
        </is>
      </c>
      <c r="C2708" t="inlineStr">
        <is>
          <t>Föryngringsavverkning</t>
        </is>
      </c>
      <c r="D2708" s="1" t="n">
        <v>45478</v>
      </c>
      <c r="E2708" s="1" t="n">
        <v>46312</v>
      </c>
      <c r="F2708" t="inlineStr">
        <is>
          <t>SKÅNE LÄN</t>
        </is>
      </c>
      <c r="G2708" t="inlineStr">
        <is>
          <t>HÄSSLEHOLM</t>
        </is>
      </c>
      <c r="I2708" t="n">
        <v>4</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28654-2024</t>
        </is>
      </c>
      <c r="B2709" t="inlineStr">
        <is>
          <t>avverkningsanmälan</t>
        </is>
      </c>
      <c r="C2709" t="inlineStr">
        <is>
          <t>Föryngringsavverkning</t>
        </is>
      </c>
      <c r="D2709" s="1" t="n">
        <v>45478</v>
      </c>
      <c r="E2709" s="1" t="n">
        <v>46312</v>
      </c>
      <c r="F2709" t="inlineStr">
        <is>
          <t>SKÅNE LÄN</t>
        </is>
      </c>
      <c r="G2709" t="inlineStr">
        <is>
          <t>KRISTIANSTAD</t>
        </is>
      </c>
      <c r="I2709" t="n">
        <v>2.1</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69041-2021</t>
        </is>
      </c>
      <c r="B2710" t="inlineStr">
        <is>
          <t>avverkningsanmälan</t>
        </is>
      </c>
      <c r="C2710" t="inlineStr">
        <is>
          <t>Avverkning för annat ändamål</t>
        </is>
      </c>
      <c r="D2710" s="1" t="n">
        <v>44529</v>
      </c>
      <c r="E2710" s="1" t="n">
        <v>46312</v>
      </c>
      <c r="F2710" t="inlineStr">
        <is>
          <t>SKÅNE LÄN</t>
        </is>
      </c>
      <c r="G2710" t="inlineStr">
        <is>
          <t>KLIPPAN</t>
        </is>
      </c>
      <c r="I2710" t="n">
        <v>0.8</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3940-2024</t>
        </is>
      </c>
      <c r="B2711" t="inlineStr">
        <is>
          <t>avverkningsanmälan</t>
        </is>
      </c>
      <c r="C2711" t="inlineStr">
        <is>
          <t>Föryngringsavverkning</t>
        </is>
      </c>
      <c r="D2711" s="1" t="n">
        <v>45322</v>
      </c>
      <c r="E2711" s="1" t="n">
        <v>46312</v>
      </c>
      <c r="F2711" t="inlineStr">
        <is>
          <t>SKÅNE LÄN</t>
        </is>
      </c>
      <c r="G2711" t="inlineStr">
        <is>
          <t>HÖÖR</t>
        </is>
      </c>
      <c r="I2711" t="n">
        <v>1.5</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54580-2023</t>
        </is>
      </c>
      <c r="B2712" t="inlineStr">
        <is>
          <t>avverkningsanmälan</t>
        </is>
      </c>
      <c r="C2712" t="inlineStr">
        <is>
          <t>Föryngringsavverkning</t>
        </is>
      </c>
      <c r="D2712" s="1" t="n">
        <v>45233</v>
      </c>
      <c r="E2712" s="1" t="n">
        <v>46312</v>
      </c>
      <c r="F2712" t="inlineStr">
        <is>
          <t>SKÅNE LÄN</t>
        </is>
      </c>
      <c r="G2712" t="inlineStr">
        <is>
          <t>SVEDALA</t>
        </is>
      </c>
      <c r="I2712" t="n">
        <v>0.5</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62783-2023</t>
        </is>
      </c>
      <c r="B2713" t="inlineStr">
        <is>
          <t>avverkningsanmälan</t>
        </is>
      </c>
      <c r="C2713" t="inlineStr">
        <is>
          <t>Föryngringsavverkning</t>
        </is>
      </c>
      <c r="D2713" s="1" t="n">
        <v>45271</v>
      </c>
      <c r="E2713" s="1" t="n">
        <v>46312</v>
      </c>
      <c r="F2713" t="inlineStr">
        <is>
          <t>SKÅNE LÄN</t>
        </is>
      </c>
      <c r="G2713" t="inlineStr">
        <is>
          <t>ÖSTRA GÖINGE</t>
        </is>
      </c>
      <c r="I2713" t="n">
        <v>2.2</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48513-2023</t>
        </is>
      </c>
      <c r="B2714" t="inlineStr">
        <is>
          <t>avverkningsanmälan</t>
        </is>
      </c>
      <c r="C2714" t="inlineStr">
        <is>
          <t>Föryngringsavverkning</t>
        </is>
      </c>
      <c r="D2714" s="1" t="n">
        <v>45208</v>
      </c>
      <c r="E2714" s="1" t="n">
        <v>46312</v>
      </c>
      <c r="F2714" t="inlineStr">
        <is>
          <t>SKÅNE LÄN</t>
        </is>
      </c>
      <c r="G2714" t="inlineStr">
        <is>
          <t>OSBY</t>
        </is>
      </c>
      <c r="I2714" t="n">
        <v>4.7</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69357-2021</t>
        </is>
      </c>
      <c r="B2715" t="inlineStr">
        <is>
          <t>avverkningsanmälan</t>
        </is>
      </c>
      <c r="C2715" t="inlineStr">
        <is>
          <t>Föryngringsavverkning</t>
        </is>
      </c>
      <c r="D2715" s="1" t="n">
        <v>44531</v>
      </c>
      <c r="E2715" s="1" t="n">
        <v>46312</v>
      </c>
      <c r="F2715" t="inlineStr">
        <is>
          <t>SKÅNE LÄN</t>
        </is>
      </c>
      <c r="G2715" t="inlineStr">
        <is>
          <t>HÄSSLEHOLM</t>
        </is>
      </c>
      <c r="I2715" t="n">
        <v>1.6</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60743-2025</t>
        </is>
      </c>
      <c r="B2716" t="inlineStr">
        <is>
          <t>avverkningsanmälan</t>
        </is>
      </c>
      <c r="C2716" t="inlineStr">
        <is>
          <t>Föryngringsavverkning</t>
        </is>
      </c>
      <c r="D2716" s="1" t="n">
        <v>45996</v>
      </c>
      <c r="E2716" s="1" t="n">
        <v>46312</v>
      </c>
      <c r="F2716" t="inlineStr">
        <is>
          <t>SKÅNE LÄN</t>
        </is>
      </c>
      <c r="G2716" t="inlineStr">
        <is>
          <t>OSBY</t>
        </is>
      </c>
      <c r="I2716" t="n">
        <v>1.7</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60789-2025</t>
        </is>
      </c>
      <c r="B2717" t="inlineStr">
        <is>
          <t>avverkningsanmälan</t>
        </is>
      </c>
      <c r="C2717" t="inlineStr">
        <is>
          <t>Föryngringsavverkning</t>
        </is>
      </c>
      <c r="D2717" s="1" t="n">
        <v>45999</v>
      </c>
      <c r="E2717" s="1" t="n">
        <v>46312</v>
      </c>
      <c r="F2717" t="inlineStr">
        <is>
          <t>SKÅNE LÄN</t>
        </is>
      </c>
      <c r="G2717" t="inlineStr">
        <is>
          <t>ÖRKELLJUNGA</t>
        </is>
      </c>
      <c r="I2717" t="n">
        <v>2.9</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22094-2024</t>
        </is>
      </c>
      <c r="B2718" t="inlineStr">
        <is>
          <t>avverkningsanmälan</t>
        </is>
      </c>
      <c r="C2718" t="inlineStr">
        <is>
          <t>Föryngringsavverkning</t>
        </is>
      </c>
      <c r="D2718" s="1" t="n">
        <v>45443</v>
      </c>
      <c r="E2718" s="1" t="n">
        <v>46312</v>
      </c>
      <c r="F2718" t="inlineStr">
        <is>
          <t>SKÅNE LÄN</t>
        </is>
      </c>
      <c r="G2718" t="inlineStr">
        <is>
          <t>ÖSTRA GÖINGE</t>
        </is>
      </c>
      <c r="I2718" t="n">
        <v>0.7</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1953-2023</t>
        </is>
      </c>
      <c r="B2719" t="inlineStr">
        <is>
          <t>avverkningsanmälan</t>
        </is>
      </c>
      <c r="C2719" t="inlineStr">
        <is>
          <t>Föryngringsavverkning</t>
        </is>
      </c>
      <c r="D2719" s="1" t="n">
        <v>44937</v>
      </c>
      <c r="E2719" s="1" t="n">
        <v>46312</v>
      </c>
      <c r="F2719" t="inlineStr">
        <is>
          <t>SKÅNE LÄN</t>
        </is>
      </c>
      <c r="G2719" t="inlineStr">
        <is>
          <t>ÖSTRA GÖINGE</t>
        </is>
      </c>
      <c r="I2719" t="n">
        <v>1.2</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3855-2023</t>
        </is>
      </c>
      <c r="B2720" t="inlineStr">
        <is>
          <t>avverkningsanmälan</t>
        </is>
      </c>
      <c r="C2720" t="inlineStr">
        <is>
          <t>Föryngringsavverkning</t>
        </is>
      </c>
      <c r="D2720" s="1" t="n">
        <v>44951</v>
      </c>
      <c r="E2720" s="1" t="n">
        <v>46312</v>
      </c>
      <c r="F2720" t="inlineStr">
        <is>
          <t>SKÅNE LÄN</t>
        </is>
      </c>
      <c r="G2720" t="inlineStr">
        <is>
          <t>HÄSSLEHOLM</t>
        </is>
      </c>
      <c r="I2720" t="n">
        <v>2.3</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42006-2025</t>
        </is>
      </c>
      <c r="B2721" t="inlineStr">
        <is>
          <t>avverkningsanmälan</t>
        </is>
      </c>
      <c r="C2721" t="inlineStr">
        <is>
          <t>Föryngringsavverkning</t>
        </is>
      </c>
      <c r="D2721" s="1" t="n">
        <v>45903</v>
      </c>
      <c r="E2721" s="1" t="n">
        <v>46312</v>
      </c>
      <c r="F2721" t="inlineStr">
        <is>
          <t>SKÅNE LÄN</t>
        </is>
      </c>
      <c r="G2721" t="inlineStr">
        <is>
          <t>KLIPPAN</t>
        </is>
      </c>
      <c r="I2721" t="n">
        <v>1.8</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20636-2024</t>
        </is>
      </c>
      <c r="B2722" t="inlineStr">
        <is>
          <t>avverkningsanmälan</t>
        </is>
      </c>
      <c r="C2722" t="inlineStr">
        <is>
          <t>Föryngringsavverkning</t>
        </is>
      </c>
      <c r="D2722" s="1" t="n">
        <v>45436</v>
      </c>
      <c r="E2722" s="1" t="n">
        <v>46312</v>
      </c>
      <c r="F2722" t="inlineStr">
        <is>
          <t>SKÅNE LÄN</t>
        </is>
      </c>
      <c r="G2722" t="inlineStr">
        <is>
          <t>OSBY</t>
        </is>
      </c>
      <c r="I2722" t="n">
        <v>3.4</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66526-2021</t>
        </is>
      </c>
      <c r="B2723" t="inlineStr">
        <is>
          <t>avverkningsanmälan</t>
        </is>
      </c>
      <c r="C2723" t="inlineStr">
        <is>
          <t>Föryngringsavverkning</t>
        </is>
      </c>
      <c r="D2723" s="1" t="n">
        <v>44519</v>
      </c>
      <c r="E2723" s="1" t="n">
        <v>46312</v>
      </c>
      <c r="F2723" t="inlineStr">
        <is>
          <t>SKÅNE LÄN</t>
        </is>
      </c>
      <c r="G2723" t="inlineStr">
        <is>
          <t>ÖSTRA GÖINGE</t>
        </is>
      </c>
      <c r="I2723" t="n">
        <v>0</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33481-2024</t>
        </is>
      </c>
      <c r="B2724" t="inlineStr">
        <is>
          <t>avverkningsanmälan</t>
        </is>
      </c>
      <c r="C2724" t="inlineStr">
        <is>
          <t>Föryngringsavverkning</t>
        </is>
      </c>
      <c r="D2724" s="1" t="n">
        <v>45519</v>
      </c>
      <c r="E2724" s="1" t="n">
        <v>46312</v>
      </c>
      <c r="F2724" t="inlineStr">
        <is>
          <t>SKÅNE LÄN</t>
        </is>
      </c>
      <c r="G2724" t="inlineStr">
        <is>
          <t>HÄSSLEHOLM</t>
        </is>
      </c>
      <c r="I2724" t="n">
        <v>3</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60698-2025</t>
        </is>
      </c>
      <c r="B2725" t="inlineStr">
        <is>
          <t>avverkningsanmälan</t>
        </is>
      </c>
      <c r="C2725" t="inlineStr">
        <is>
          <t>Föryngringsavverkning</t>
        </is>
      </c>
      <c r="D2725" s="1" t="n">
        <v>45996</v>
      </c>
      <c r="E2725" s="1" t="n">
        <v>46312</v>
      </c>
      <c r="F2725" t="inlineStr">
        <is>
          <t>SKÅNE LÄN</t>
        </is>
      </c>
      <c r="G2725" t="inlineStr">
        <is>
          <t>BROMÖLLA</t>
        </is>
      </c>
      <c r="I2725" t="n">
        <v>0.8</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42248-2023</t>
        </is>
      </c>
      <c r="B2726" t="inlineStr">
        <is>
          <t>avverkningsanmälan</t>
        </is>
      </c>
      <c r="C2726" t="inlineStr">
        <is>
          <t>Föryngringsavverkning</t>
        </is>
      </c>
      <c r="D2726" s="1" t="n">
        <v>45180</v>
      </c>
      <c r="E2726" s="1" t="n">
        <v>46312</v>
      </c>
      <c r="F2726" t="inlineStr">
        <is>
          <t>SKÅNE LÄN</t>
        </is>
      </c>
      <c r="G2726" t="inlineStr">
        <is>
          <t>KRISTIANSTAD</t>
        </is>
      </c>
      <c r="I2726" t="n">
        <v>6.1</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43004-2025</t>
        </is>
      </c>
      <c r="B2727" t="inlineStr">
        <is>
          <t>avverkningsanmälan</t>
        </is>
      </c>
      <c r="C2727" t="inlineStr">
        <is>
          <t>Föryngringsavverkning</t>
        </is>
      </c>
      <c r="D2727" s="1" t="n">
        <v>45909</v>
      </c>
      <c r="E2727" s="1" t="n">
        <v>46312</v>
      </c>
      <c r="F2727" t="inlineStr">
        <is>
          <t>SKÅNE LÄN</t>
        </is>
      </c>
      <c r="G2727" t="inlineStr">
        <is>
          <t>SVALÖV</t>
        </is>
      </c>
      <c r="I2727" t="n">
        <v>1.6</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7881-2025</t>
        </is>
      </c>
      <c r="B2728" t="inlineStr">
        <is>
          <t>avverkningsanmälan</t>
        </is>
      </c>
      <c r="C2728" t="inlineStr">
        <is>
          <t>Föryngringsavverkning</t>
        </is>
      </c>
      <c r="D2728" s="1" t="n">
        <v>45706</v>
      </c>
      <c r="E2728" s="1" t="n">
        <v>46312</v>
      </c>
      <c r="F2728" t="inlineStr">
        <is>
          <t>SKÅNE LÄN</t>
        </is>
      </c>
      <c r="G2728" t="inlineStr">
        <is>
          <t>OSBY</t>
        </is>
      </c>
      <c r="I2728" t="n">
        <v>1.4</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60696-2025</t>
        </is>
      </c>
      <c r="B2729" t="inlineStr">
        <is>
          <t>avverkningsanmälan</t>
        </is>
      </c>
      <c r="C2729" t="inlineStr">
        <is>
          <t>Föryngringsavverkning</t>
        </is>
      </c>
      <c r="D2729" s="1" t="n">
        <v>45996</v>
      </c>
      <c r="E2729" s="1" t="n">
        <v>46312</v>
      </c>
      <c r="F2729" t="inlineStr">
        <is>
          <t>SKÅNE LÄN</t>
        </is>
      </c>
      <c r="G2729" t="inlineStr">
        <is>
          <t>BROMÖLLA</t>
        </is>
      </c>
      <c r="I2729" t="n">
        <v>0.5</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54280-2023</t>
        </is>
      </c>
      <c r="B2730" t="inlineStr">
        <is>
          <t>avverkningsanmälan</t>
        </is>
      </c>
      <c r="C2730" t="inlineStr">
        <is>
          <t>Föryngringsavverkning</t>
        </is>
      </c>
      <c r="D2730" s="1" t="n">
        <v>45232</v>
      </c>
      <c r="E2730" s="1" t="n">
        <v>46312</v>
      </c>
      <c r="F2730" t="inlineStr">
        <is>
          <t>SKÅNE LÄN</t>
        </is>
      </c>
      <c r="G2730" t="inlineStr">
        <is>
          <t>SVEDALA</t>
        </is>
      </c>
      <c r="I2730" t="n">
        <v>1.4</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42092-2025</t>
        </is>
      </c>
      <c r="B2731" t="inlineStr">
        <is>
          <t>avverkningsanmälan</t>
        </is>
      </c>
      <c r="C2731" t="inlineStr">
        <is>
          <t>Föryngringsavverkning</t>
        </is>
      </c>
      <c r="D2731" s="1" t="n">
        <v>45903</v>
      </c>
      <c r="E2731" s="1" t="n">
        <v>46312</v>
      </c>
      <c r="F2731" t="inlineStr">
        <is>
          <t>SKÅNE LÄN</t>
        </is>
      </c>
      <c r="G2731" t="inlineStr">
        <is>
          <t>KRISTIANSTAD</t>
        </is>
      </c>
      <c r="I2731" t="n">
        <v>7.6</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48974-2025</t>
        </is>
      </c>
      <c r="B2732" t="inlineStr">
        <is>
          <t>avverkningsanmälan</t>
        </is>
      </c>
      <c r="C2732" t="inlineStr">
        <is>
          <t>Föryngringsavverkning</t>
        </is>
      </c>
      <c r="D2732" s="1" t="n">
        <v>45937</v>
      </c>
      <c r="E2732" s="1" t="n">
        <v>46312</v>
      </c>
      <c r="F2732" t="inlineStr">
        <is>
          <t>SKÅNE LÄN</t>
        </is>
      </c>
      <c r="G2732" t="inlineStr">
        <is>
          <t>BROMÖLLA</t>
        </is>
      </c>
      <c r="I2732" t="n">
        <v>1.1</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1289-2024</t>
        </is>
      </c>
      <c r="B2733" t="inlineStr">
        <is>
          <t>avverkningsanmälan</t>
        </is>
      </c>
      <c r="C2733" t="inlineStr">
        <is>
          <t>Föryngringsavverkning</t>
        </is>
      </c>
      <c r="D2733" s="1" t="n">
        <v>45303</v>
      </c>
      <c r="E2733" s="1" t="n">
        <v>46312</v>
      </c>
      <c r="F2733" t="inlineStr">
        <is>
          <t>SKÅNE LÄN</t>
        </is>
      </c>
      <c r="G2733" t="inlineStr">
        <is>
          <t>HÄSSLEHOLM</t>
        </is>
      </c>
      <c r="I2733" t="n">
        <v>4.6</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425-2023</t>
        </is>
      </c>
      <c r="B2734" t="inlineStr">
        <is>
          <t>avverkningsanmälan</t>
        </is>
      </c>
      <c r="C2734" t="inlineStr">
        <is>
          <t>Föryngringsavverkning</t>
        </is>
      </c>
      <c r="D2734" s="1" t="n">
        <v>44929</v>
      </c>
      <c r="E2734" s="1" t="n">
        <v>46312</v>
      </c>
      <c r="F2734" t="inlineStr">
        <is>
          <t>SKÅNE LÄN</t>
        </is>
      </c>
      <c r="G2734" t="inlineStr">
        <is>
          <t>ÖSTRA GÖINGE</t>
        </is>
      </c>
      <c r="I2734" t="n">
        <v>2.7</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54176-2022</t>
        </is>
      </c>
      <c r="B2735" t="inlineStr">
        <is>
          <t>avverkningsanmälan</t>
        </is>
      </c>
      <c r="C2735" t="inlineStr">
        <is>
          <t>Föryngringsavverkning</t>
        </is>
      </c>
      <c r="D2735" s="1" t="n">
        <v>44881</v>
      </c>
      <c r="E2735" s="1" t="n">
        <v>46312</v>
      </c>
      <c r="F2735" t="inlineStr">
        <is>
          <t>SKÅNE LÄN</t>
        </is>
      </c>
      <c r="G2735" t="inlineStr">
        <is>
          <t>HÄSSLEHOLM</t>
        </is>
      </c>
      <c r="I2735" t="n">
        <v>1.1</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61175-2025</t>
        </is>
      </c>
      <c r="B2736" t="inlineStr">
        <is>
          <t>avverkningsanmälan</t>
        </is>
      </c>
      <c r="C2736" t="inlineStr">
        <is>
          <t>Föryngringsavverkning</t>
        </is>
      </c>
      <c r="D2736" s="1" t="n">
        <v>46000</v>
      </c>
      <c r="E2736" s="1" t="n">
        <v>46312</v>
      </c>
      <c r="F2736" t="inlineStr">
        <is>
          <t>SKÅNE LÄN</t>
        </is>
      </c>
      <c r="G2736" t="inlineStr">
        <is>
          <t>HÖÖR</t>
        </is>
      </c>
      <c r="I2736" t="n">
        <v>2.2</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7152-2025</t>
        </is>
      </c>
      <c r="B2737" t="inlineStr">
        <is>
          <t>avverkningsanmälan</t>
        </is>
      </c>
      <c r="C2737" t="inlineStr">
        <is>
          <t>Föryngringsavverkning</t>
        </is>
      </c>
      <c r="D2737" s="1" t="n">
        <v>45702</v>
      </c>
      <c r="E2737" s="1" t="n">
        <v>46312</v>
      </c>
      <c r="F2737" t="inlineStr">
        <is>
          <t>SKÅNE LÄN</t>
        </is>
      </c>
      <c r="G2737" t="inlineStr">
        <is>
          <t>HÄSSLEHOLM</t>
        </is>
      </c>
      <c r="I2737" t="n">
        <v>1.3</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1872-2024</t>
        </is>
      </c>
      <c r="B2738" t="inlineStr">
        <is>
          <t>avverkningsanmälan</t>
        </is>
      </c>
      <c r="C2738" t="inlineStr">
        <is>
          <t>Föryngringsavverkning</t>
        </is>
      </c>
      <c r="D2738" s="1" t="n">
        <v>45307</v>
      </c>
      <c r="E2738" s="1" t="n">
        <v>46312</v>
      </c>
      <c r="F2738" t="inlineStr">
        <is>
          <t>SKÅNE LÄN</t>
        </is>
      </c>
      <c r="G2738" t="inlineStr">
        <is>
          <t>KRISTIANSTAD</t>
        </is>
      </c>
      <c r="H2738" t="inlineStr">
        <is>
          <t>Övriga Aktiebolag</t>
        </is>
      </c>
      <c r="I2738" t="n">
        <v>1.3</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61431-2025</t>
        </is>
      </c>
      <c r="B2739" t="inlineStr">
        <is>
          <t>avverkningsanmälan</t>
        </is>
      </c>
      <c r="C2739" t="inlineStr">
        <is>
          <t>Föryngringsavverkning</t>
        </is>
      </c>
      <c r="D2739" s="1" t="n">
        <v>46001</v>
      </c>
      <c r="E2739" s="1" t="n">
        <v>46312</v>
      </c>
      <c r="F2739" t="inlineStr">
        <is>
          <t>SKÅNE LÄN</t>
        </is>
      </c>
      <c r="G2739" t="inlineStr">
        <is>
          <t>SJÖBO</t>
        </is>
      </c>
      <c r="I2739" t="n">
        <v>0.8</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56647-2023</t>
        </is>
      </c>
      <c r="B2740" t="inlineStr">
        <is>
          <t>avverkningsanmälan</t>
        </is>
      </c>
      <c r="C2740" t="inlineStr">
        <is>
          <t>Föryngringsavverkning</t>
        </is>
      </c>
      <c r="D2740" s="1" t="n">
        <v>45243</v>
      </c>
      <c r="E2740" s="1" t="n">
        <v>46312</v>
      </c>
      <c r="F2740" t="inlineStr">
        <is>
          <t>SKÅNE LÄN</t>
        </is>
      </c>
      <c r="G2740" t="inlineStr">
        <is>
          <t>ÖSTRA GÖINGE</t>
        </is>
      </c>
      <c r="I2740" t="n">
        <v>7.7</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46525-2023</t>
        </is>
      </c>
      <c r="B2741" t="inlineStr">
        <is>
          <t>avverkningsanmälan</t>
        </is>
      </c>
      <c r="C2741" t="inlineStr">
        <is>
          <t>Föryngringsavverkning</t>
        </is>
      </c>
      <c r="D2741" s="1" t="n">
        <v>45197</v>
      </c>
      <c r="E2741" s="1" t="n">
        <v>46312</v>
      </c>
      <c r="F2741" t="inlineStr">
        <is>
          <t>SKÅNE LÄN</t>
        </is>
      </c>
      <c r="G2741" t="inlineStr">
        <is>
          <t>KRISTIANSTAD</t>
        </is>
      </c>
      <c r="I2741" t="n">
        <v>5.5</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27291-2023</t>
        </is>
      </c>
      <c r="B2742" t="inlineStr">
        <is>
          <t>avverkningsanmälan</t>
        </is>
      </c>
      <c r="C2742" t="inlineStr">
        <is>
          <t>Föryngringsavverkning</t>
        </is>
      </c>
      <c r="D2742" s="1" t="n">
        <v>45096</v>
      </c>
      <c r="E2742" s="1" t="n">
        <v>46312</v>
      </c>
      <c r="F2742" t="inlineStr">
        <is>
          <t>SKÅNE LÄN</t>
        </is>
      </c>
      <c r="G2742" t="inlineStr">
        <is>
          <t>HÄSSLEHOLM</t>
        </is>
      </c>
      <c r="I2742" t="n">
        <v>3.5</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53460-2022</t>
        </is>
      </c>
      <c r="B2743" t="inlineStr">
        <is>
          <t>avverkningsanmälan</t>
        </is>
      </c>
      <c r="C2743" t="inlineStr">
        <is>
          <t>Föryngringsavverkning</t>
        </is>
      </c>
      <c r="D2743" s="1" t="n">
        <v>44879</v>
      </c>
      <c r="E2743" s="1" t="n">
        <v>46312</v>
      </c>
      <c r="F2743" t="inlineStr">
        <is>
          <t>SKÅNE LÄN</t>
        </is>
      </c>
      <c r="G2743" t="inlineStr">
        <is>
          <t>HÖÖR</t>
        </is>
      </c>
      <c r="I2743" t="n">
        <v>0.5</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53466-2022</t>
        </is>
      </c>
      <c r="B2744" t="inlineStr">
        <is>
          <t>avverkningsanmälan</t>
        </is>
      </c>
      <c r="C2744" t="inlineStr">
        <is>
          <t>Föryngringsavverkning</t>
        </is>
      </c>
      <c r="D2744" s="1" t="n">
        <v>44879</v>
      </c>
      <c r="E2744" s="1" t="n">
        <v>46312</v>
      </c>
      <c r="F2744" t="inlineStr">
        <is>
          <t>SKÅNE LÄN</t>
        </is>
      </c>
      <c r="G2744" t="inlineStr">
        <is>
          <t>KRISTIANSTAD</t>
        </is>
      </c>
      <c r="H2744" t="inlineStr">
        <is>
          <t>Sveaskog</t>
        </is>
      </c>
      <c r="I2744" t="n">
        <v>0.5</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61356-2023</t>
        </is>
      </c>
      <c r="B2745" t="inlineStr">
        <is>
          <t>avverkningsanmälan</t>
        </is>
      </c>
      <c r="C2745" t="inlineStr">
        <is>
          <t>Föryngringsavverkning</t>
        </is>
      </c>
      <c r="D2745" s="1" t="n">
        <v>45260</v>
      </c>
      <c r="E2745" s="1" t="n">
        <v>46312</v>
      </c>
      <c r="F2745" t="inlineStr">
        <is>
          <t>SKÅNE LÄN</t>
        </is>
      </c>
      <c r="G2745" t="inlineStr">
        <is>
          <t>KRISTIANSTAD</t>
        </is>
      </c>
      <c r="I2745" t="n">
        <v>3.1</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13140-2024</t>
        </is>
      </c>
      <c r="B2746" t="inlineStr">
        <is>
          <t>avverkningsanmälan</t>
        </is>
      </c>
      <c r="C2746" t="inlineStr">
        <is>
          <t>Föryngringsavverkning</t>
        </is>
      </c>
      <c r="D2746" s="1" t="n">
        <v>45386</v>
      </c>
      <c r="E2746" s="1" t="n">
        <v>46312</v>
      </c>
      <c r="F2746" t="inlineStr">
        <is>
          <t>SKÅNE LÄN</t>
        </is>
      </c>
      <c r="G2746" t="inlineStr">
        <is>
          <t>ÖSTRA GÖINGE</t>
        </is>
      </c>
      <c r="I2746" t="n">
        <v>1.3</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14441-2023</t>
        </is>
      </c>
      <c r="B2747" t="inlineStr">
        <is>
          <t>avverkningsanmälan</t>
        </is>
      </c>
      <c r="C2747" t="inlineStr">
        <is>
          <t>Föryngringsavverkning</t>
        </is>
      </c>
      <c r="D2747" s="1" t="n">
        <v>45012</v>
      </c>
      <c r="E2747" s="1" t="n">
        <v>46312</v>
      </c>
      <c r="F2747" t="inlineStr">
        <is>
          <t>SKÅNE LÄN</t>
        </is>
      </c>
      <c r="G2747" t="inlineStr">
        <is>
          <t>KRISTIANSTAD</t>
        </is>
      </c>
      <c r="I2747" t="n">
        <v>4.7</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441-2022</t>
        </is>
      </c>
      <c r="B2748" t="inlineStr">
        <is>
          <t>avverkningsanmälan</t>
        </is>
      </c>
      <c r="C2748" t="inlineStr">
        <is>
          <t>Föryngringsavverkning</t>
        </is>
      </c>
      <c r="D2748" s="1" t="n">
        <v>44565</v>
      </c>
      <c r="E2748" s="1" t="n">
        <v>46312</v>
      </c>
      <c r="F2748" t="inlineStr">
        <is>
          <t>SKÅNE LÄN</t>
        </is>
      </c>
      <c r="G2748" t="inlineStr">
        <is>
          <t>HÄSSLEHOLM</t>
        </is>
      </c>
      <c r="I2748" t="n">
        <v>2.1</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16611-2026</t>
        </is>
      </c>
      <c r="B2749" t="inlineStr">
        <is>
          <t>avverkningsanmälan</t>
        </is>
      </c>
      <c r="C2749" t="inlineStr">
        <is>
          <t>Föryngringsavverkning</t>
        </is>
      </c>
      <c r="D2749" s="1" t="n">
        <v>46112</v>
      </c>
      <c r="E2749" s="1" t="n">
        <v>46312</v>
      </c>
      <c r="F2749" t="inlineStr">
        <is>
          <t>SKÅNE LÄN</t>
        </is>
      </c>
      <c r="G2749" t="inlineStr">
        <is>
          <t>TOMELILLA</t>
        </is>
      </c>
      <c r="H2749" t="inlineStr">
        <is>
          <t>Kommuner</t>
        </is>
      </c>
      <c r="I2749" t="n">
        <v>0.7</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9482-2023</t>
        </is>
      </c>
      <c r="B2750" t="inlineStr">
        <is>
          <t>avverkningsanmälan</t>
        </is>
      </c>
      <c r="C2750" t="inlineStr">
        <is>
          <t>Föryngringsavverkning</t>
        </is>
      </c>
      <c r="D2750" s="1" t="n">
        <v>44981</v>
      </c>
      <c r="E2750" s="1" t="n">
        <v>46312</v>
      </c>
      <c r="F2750" t="inlineStr">
        <is>
          <t>SKÅNE LÄN</t>
        </is>
      </c>
      <c r="G2750" t="inlineStr">
        <is>
          <t>ESLÖV</t>
        </is>
      </c>
      <c r="I2750" t="n">
        <v>3.7</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61557-2025</t>
        </is>
      </c>
      <c r="B2751" t="inlineStr">
        <is>
          <t>avverkningsanmälan</t>
        </is>
      </c>
      <c r="C2751" t="inlineStr">
        <is>
          <t>Föryngringsavverkning</t>
        </is>
      </c>
      <c r="D2751" s="1" t="n">
        <v>46001</v>
      </c>
      <c r="E2751" s="1" t="n">
        <v>46312</v>
      </c>
      <c r="F2751" t="inlineStr">
        <is>
          <t>SKÅNE LÄN</t>
        </is>
      </c>
      <c r="G2751" t="inlineStr">
        <is>
          <t>KRISTIANSTAD</t>
        </is>
      </c>
      <c r="I2751" t="n">
        <v>4.9</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24550-2026</t>
        </is>
      </c>
      <c r="B2752" t="inlineStr">
        <is>
          <t>avverkningsanmälan</t>
        </is>
      </c>
      <c r="C2752" t="inlineStr">
        <is>
          <t>Föryngringsavverkning</t>
        </is>
      </c>
      <c r="D2752" s="1" t="n">
        <v>46170</v>
      </c>
      <c r="E2752" s="1" t="n">
        <v>46312</v>
      </c>
      <c r="F2752" t="inlineStr">
        <is>
          <t>SKÅNE LÄN</t>
        </is>
      </c>
      <c r="G2752" t="inlineStr">
        <is>
          <t>OSBY</t>
        </is>
      </c>
      <c r="I2752" t="n">
        <v>4.4</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24538-2026</t>
        </is>
      </c>
      <c r="B2753" t="inlineStr">
        <is>
          <t>avverkningsanmälan</t>
        </is>
      </c>
      <c r="C2753" t="inlineStr">
        <is>
          <t>Föryngringsavverkning</t>
        </is>
      </c>
      <c r="D2753" s="1" t="n">
        <v>46170</v>
      </c>
      <c r="E2753" s="1" t="n">
        <v>46312</v>
      </c>
      <c r="F2753" t="inlineStr">
        <is>
          <t>SKÅNE LÄN</t>
        </is>
      </c>
      <c r="G2753" t="inlineStr">
        <is>
          <t>OSBY</t>
        </is>
      </c>
      <c r="I2753" t="n">
        <v>6</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5887-2025</t>
        </is>
      </c>
      <c r="B2754" t="inlineStr">
        <is>
          <t>avverkningsanmälan</t>
        </is>
      </c>
      <c r="C2754" t="inlineStr">
        <is>
          <t>Föryngringsavverkning</t>
        </is>
      </c>
      <c r="D2754" s="1" t="n">
        <v>45695</v>
      </c>
      <c r="E2754" s="1" t="n">
        <v>46312</v>
      </c>
      <c r="F2754" t="inlineStr">
        <is>
          <t>SKÅNE LÄN</t>
        </is>
      </c>
      <c r="G2754" t="inlineStr">
        <is>
          <t>HÄSSLEHOLM</t>
        </is>
      </c>
      <c r="I2754" t="n">
        <v>4.8</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7509-2025</t>
        </is>
      </c>
      <c r="B2755" t="inlineStr">
        <is>
          <t>avverkningsanmälan</t>
        </is>
      </c>
      <c r="C2755" t="inlineStr">
        <is>
          <t>Föryngringsavverkning</t>
        </is>
      </c>
      <c r="D2755" s="1" t="n">
        <v>45702</v>
      </c>
      <c r="E2755" s="1" t="n">
        <v>46312</v>
      </c>
      <c r="F2755" t="inlineStr">
        <is>
          <t>SKÅNE LÄN</t>
        </is>
      </c>
      <c r="G2755" t="inlineStr">
        <is>
          <t>PERSTORP</t>
        </is>
      </c>
      <c r="H2755" t="inlineStr">
        <is>
          <t>Övriga Aktiebolag</t>
        </is>
      </c>
      <c r="I2755" t="n">
        <v>0.7</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36838-2024</t>
        </is>
      </c>
      <c r="B2756" t="inlineStr">
        <is>
          <t>avverkningsanmälan</t>
        </is>
      </c>
      <c r="C2756" t="inlineStr">
        <is>
          <t>Föryngringsavverkning</t>
        </is>
      </c>
      <c r="D2756" s="1" t="n">
        <v>45538</v>
      </c>
      <c r="E2756" s="1" t="n">
        <v>46312</v>
      </c>
      <c r="F2756" t="inlineStr">
        <is>
          <t>SKÅNE LÄN</t>
        </is>
      </c>
      <c r="G2756" t="inlineStr">
        <is>
          <t>ÖRKELLJUNGA</t>
        </is>
      </c>
      <c r="I2756" t="n">
        <v>1.3</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18540-2022</t>
        </is>
      </c>
      <c r="B2757" t="inlineStr">
        <is>
          <t>avverkningsanmälan</t>
        </is>
      </c>
      <c r="C2757" t="inlineStr">
        <is>
          <t>Föryngringsavverkning</t>
        </is>
      </c>
      <c r="D2757" s="1" t="n">
        <v>44686</v>
      </c>
      <c r="E2757" s="1" t="n">
        <v>46312</v>
      </c>
      <c r="F2757" t="inlineStr">
        <is>
          <t>SKÅNE LÄN</t>
        </is>
      </c>
      <c r="G2757" t="inlineStr">
        <is>
          <t>ÖSTRA GÖINGE</t>
        </is>
      </c>
      <c r="I2757" t="n">
        <v>3.2</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18121-2025</t>
        </is>
      </c>
      <c r="B2758" t="inlineStr">
        <is>
          <t>avverkningsanmälan</t>
        </is>
      </c>
      <c r="C2758" t="inlineStr">
        <is>
          <t>Föryngringsavverkning</t>
        </is>
      </c>
      <c r="D2758" s="1" t="n">
        <v>45761</v>
      </c>
      <c r="E2758" s="1" t="n">
        <v>46312</v>
      </c>
      <c r="F2758" t="inlineStr">
        <is>
          <t>SKÅNE LÄN</t>
        </is>
      </c>
      <c r="G2758" t="inlineStr">
        <is>
          <t>SVALÖV</t>
        </is>
      </c>
      <c r="I2758" t="n">
        <v>1.7</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16215-2022</t>
        </is>
      </c>
      <c r="B2759" t="inlineStr">
        <is>
          <t>avverkningsanmälan</t>
        </is>
      </c>
      <c r="C2759" t="inlineStr">
        <is>
          <t>Föryngringsavverkning</t>
        </is>
      </c>
      <c r="D2759" s="1" t="n">
        <v>44670</v>
      </c>
      <c r="E2759" s="1" t="n">
        <v>46312</v>
      </c>
      <c r="F2759" t="inlineStr">
        <is>
          <t>SKÅNE LÄN</t>
        </is>
      </c>
      <c r="G2759" t="inlineStr">
        <is>
          <t>SVALÖV</t>
        </is>
      </c>
      <c r="I2759" t="n">
        <v>2.9</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57856-2024</t>
        </is>
      </c>
      <c r="B2760" t="inlineStr">
        <is>
          <t>avverkningsanmälan</t>
        </is>
      </c>
      <c r="C2760" t="inlineStr">
        <is>
          <t>Föryngringsavverkning</t>
        </is>
      </c>
      <c r="D2760" s="1" t="n">
        <v>45630</v>
      </c>
      <c r="E2760" s="1" t="n">
        <v>46312</v>
      </c>
      <c r="F2760" t="inlineStr">
        <is>
          <t>SKÅNE LÄN</t>
        </is>
      </c>
      <c r="G2760" t="inlineStr">
        <is>
          <t>OSBY</t>
        </is>
      </c>
      <c r="I2760" t="n">
        <v>0.7</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20407-2024</t>
        </is>
      </c>
      <c r="B2761" t="inlineStr">
        <is>
          <t>avverkningsanmälan</t>
        </is>
      </c>
      <c r="C2761" t="inlineStr">
        <is>
          <t>Föryngringsavverkning</t>
        </is>
      </c>
      <c r="D2761" s="1" t="n">
        <v>45435</v>
      </c>
      <c r="E2761" s="1" t="n">
        <v>46312</v>
      </c>
      <c r="F2761" t="inlineStr">
        <is>
          <t>SKÅNE LÄN</t>
        </is>
      </c>
      <c r="G2761" t="inlineStr">
        <is>
          <t>ÖSTRA GÖINGE</t>
        </is>
      </c>
      <c r="I2761" t="n">
        <v>1.1</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15533-2024</t>
        </is>
      </c>
      <c r="B2762" t="inlineStr">
        <is>
          <t>avverkningsanmälan</t>
        </is>
      </c>
      <c r="C2762" t="inlineStr">
        <is>
          <t>Föryngringsavverkning</t>
        </is>
      </c>
      <c r="D2762" s="1" t="n">
        <v>45401</v>
      </c>
      <c r="E2762" s="1" t="n">
        <v>46312</v>
      </c>
      <c r="F2762" t="inlineStr">
        <is>
          <t>SKÅNE LÄN</t>
        </is>
      </c>
      <c r="G2762" t="inlineStr">
        <is>
          <t>ESLÖV</t>
        </is>
      </c>
      <c r="I2762" t="n">
        <v>7.5</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43312-2024</t>
        </is>
      </c>
      <c r="B2763" t="inlineStr">
        <is>
          <t>avverkningsanmälan</t>
        </is>
      </c>
      <c r="C2763" t="inlineStr">
        <is>
          <t>Föryngringsavverkning</t>
        </is>
      </c>
      <c r="D2763" s="1" t="n">
        <v>45568</v>
      </c>
      <c r="E2763" s="1" t="n">
        <v>46312</v>
      </c>
      <c r="F2763" t="inlineStr">
        <is>
          <t>SKÅNE LÄN</t>
        </is>
      </c>
      <c r="G2763" t="inlineStr">
        <is>
          <t>KRISTIANSTAD</t>
        </is>
      </c>
      <c r="I2763" t="n">
        <v>4</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61797-2025</t>
        </is>
      </c>
      <c r="B2764" t="inlineStr">
        <is>
          <t>avverkningsanmälan</t>
        </is>
      </c>
      <c r="C2764" t="inlineStr">
        <is>
          <t>Föryngringsavverkning</t>
        </is>
      </c>
      <c r="D2764" s="1" t="n">
        <v>46002</v>
      </c>
      <c r="E2764" s="1" t="n">
        <v>46312</v>
      </c>
      <c r="F2764" t="inlineStr">
        <is>
          <t>SKÅNE LÄN</t>
        </is>
      </c>
      <c r="G2764" t="inlineStr">
        <is>
          <t>OSBY</t>
        </is>
      </c>
      <c r="I2764" t="n">
        <v>3.3</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3393-2024</t>
        </is>
      </c>
      <c r="B2765" t="inlineStr">
        <is>
          <t>avverkningsanmälan</t>
        </is>
      </c>
      <c r="C2765" t="inlineStr">
        <is>
          <t>Föryngringsavverkning</t>
        </is>
      </c>
      <c r="D2765" s="1" t="n">
        <v>45318</v>
      </c>
      <c r="E2765" s="1" t="n">
        <v>46312</v>
      </c>
      <c r="F2765" t="inlineStr">
        <is>
          <t>SKÅNE LÄN</t>
        </is>
      </c>
      <c r="G2765" t="inlineStr">
        <is>
          <t>SIMRISHAMN</t>
        </is>
      </c>
      <c r="I2765" t="n">
        <v>1.7</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3395-2024</t>
        </is>
      </c>
      <c r="B2766" t="inlineStr">
        <is>
          <t>avverkningsanmälan</t>
        </is>
      </c>
      <c r="C2766" t="inlineStr">
        <is>
          <t>Föryngringsavverkning</t>
        </is>
      </c>
      <c r="D2766" s="1" t="n">
        <v>45318</v>
      </c>
      <c r="E2766" s="1" t="n">
        <v>46312</v>
      </c>
      <c r="F2766" t="inlineStr">
        <is>
          <t>SKÅNE LÄN</t>
        </is>
      </c>
      <c r="G2766" t="inlineStr">
        <is>
          <t>SIMRISHAMN</t>
        </is>
      </c>
      <c r="I2766" t="n">
        <v>2.4</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54874-2022</t>
        </is>
      </c>
      <c r="B2767" t="inlineStr">
        <is>
          <t>avverkningsanmälan</t>
        </is>
      </c>
      <c r="C2767" t="inlineStr">
        <is>
          <t>Föryngringsavverkning</t>
        </is>
      </c>
      <c r="D2767" s="1" t="n">
        <v>44881</v>
      </c>
      <c r="E2767" s="1" t="n">
        <v>46312</v>
      </c>
      <c r="F2767" t="inlineStr">
        <is>
          <t>SKÅNE LÄN</t>
        </is>
      </c>
      <c r="G2767" t="inlineStr">
        <is>
          <t>HÄSSLEHOLM</t>
        </is>
      </c>
      <c r="I2767" t="n">
        <v>8.1</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34610-2025</t>
        </is>
      </c>
      <c r="B2768" t="inlineStr">
        <is>
          <t>avverkningsanmälan</t>
        </is>
      </c>
      <c r="C2768" t="inlineStr">
        <is>
          <t>Föryngringsavverkning</t>
        </is>
      </c>
      <c r="D2768" s="1" t="n">
        <v>45846</v>
      </c>
      <c r="E2768" s="1" t="n">
        <v>46312</v>
      </c>
      <c r="F2768" t="inlineStr">
        <is>
          <t>SKÅNE LÄN</t>
        </is>
      </c>
      <c r="G2768" t="inlineStr">
        <is>
          <t>KRISTIANSTAD</t>
        </is>
      </c>
      <c r="I2768" t="n">
        <v>1.9</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18744-2025</t>
        </is>
      </c>
      <c r="B2769" t="inlineStr">
        <is>
          <t>avverkningsanmälan</t>
        </is>
      </c>
      <c r="C2769" t="inlineStr">
        <is>
          <t>Föryngringsavverkning</t>
        </is>
      </c>
      <c r="D2769" s="1" t="n">
        <v>45763</v>
      </c>
      <c r="E2769" s="1" t="n">
        <v>46312</v>
      </c>
      <c r="F2769" t="inlineStr">
        <is>
          <t>SKÅNE LÄN</t>
        </is>
      </c>
      <c r="G2769" t="inlineStr">
        <is>
          <t>KRISTIANSTAD</t>
        </is>
      </c>
      <c r="I2769" t="n">
        <v>1.9</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26339-2023</t>
        </is>
      </c>
      <c r="B2770" t="inlineStr">
        <is>
          <t>avverkningsanmälan</t>
        </is>
      </c>
      <c r="C2770" t="inlineStr">
        <is>
          <t>Föryngringsavverkning</t>
        </is>
      </c>
      <c r="D2770" s="1" t="n">
        <v>45091</v>
      </c>
      <c r="E2770" s="1" t="n">
        <v>46312</v>
      </c>
      <c r="F2770" t="inlineStr">
        <is>
          <t>SKÅNE LÄN</t>
        </is>
      </c>
      <c r="G2770" t="inlineStr">
        <is>
          <t>ÖSTRA GÖINGE</t>
        </is>
      </c>
      <c r="I2770" t="n">
        <v>2.3</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63891-2023</t>
        </is>
      </c>
      <c r="B2771" t="inlineStr">
        <is>
          <t>avverkningsanmälan</t>
        </is>
      </c>
      <c r="C2771" t="inlineStr">
        <is>
          <t>Föryngringsavverkning</t>
        </is>
      </c>
      <c r="D2771" s="1" t="n">
        <v>45278</v>
      </c>
      <c r="E2771" s="1" t="n">
        <v>46312</v>
      </c>
      <c r="F2771" t="inlineStr">
        <is>
          <t>SKÅNE LÄN</t>
        </is>
      </c>
      <c r="G2771" t="inlineStr">
        <is>
          <t>ÖSTRA GÖINGE</t>
        </is>
      </c>
      <c r="I2771" t="n">
        <v>1.8</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17152-2025</t>
        </is>
      </c>
      <c r="B2772" t="inlineStr">
        <is>
          <t>avverkningsanmälan</t>
        </is>
      </c>
      <c r="C2772" t="inlineStr">
        <is>
          <t>Föryngringsavverkning</t>
        </is>
      </c>
      <c r="D2772" s="1" t="n">
        <v>45756</v>
      </c>
      <c r="E2772" s="1" t="n">
        <v>46312</v>
      </c>
      <c r="F2772" t="inlineStr">
        <is>
          <t>SKÅNE LÄN</t>
        </is>
      </c>
      <c r="G2772" t="inlineStr">
        <is>
          <t>HÄSSLEHOLM</t>
        </is>
      </c>
      <c r="I2772" t="n">
        <v>0.9</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42192-2023</t>
        </is>
      </c>
      <c r="B2773" t="inlineStr">
        <is>
          <t>avverkningsanmälan</t>
        </is>
      </c>
      <c r="C2773" t="inlineStr">
        <is>
          <t>Avverkning för att bevara och utveckla /försöksver</t>
        </is>
      </c>
      <c r="D2773" s="1" t="n">
        <v>45179</v>
      </c>
      <c r="E2773" s="1" t="n">
        <v>46312</v>
      </c>
      <c r="F2773" t="inlineStr">
        <is>
          <t>SKÅNE LÄN</t>
        </is>
      </c>
      <c r="G2773" t="inlineStr">
        <is>
          <t>ÖSTRA GÖINGE</t>
        </is>
      </c>
      <c r="I2773" t="n">
        <v>0.4</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62264-2025</t>
        </is>
      </c>
      <c r="B2774" t="inlineStr">
        <is>
          <t>avverkningsanmälan</t>
        </is>
      </c>
      <c r="C2774" t="inlineStr">
        <is>
          <t>Föryngringsavverkning</t>
        </is>
      </c>
      <c r="D2774" s="1" t="n">
        <v>46006</v>
      </c>
      <c r="E2774" s="1" t="n">
        <v>46312</v>
      </c>
      <c r="F2774" t="inlineStr">
        <is>
          <t>SKÅNE LÄN</t>
        </is>
      </c>
      <c r="G2774" t="inlineStr">
        <is>
          <t>HÄSSLEHOLM</t>
        </is>
      </c>
      <c r="I2774" t="n">
        <v>7.5</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1574-2024</t>
        </is>
      </c>
      <c r="B2775" t="inlineStr">
        <is>
          <t>avverkningsanmälan</t>
        </is>
      </c>
      <c r="C2775" t="inlineStr">
        <is>
          <t>Föryngringsavverkning</t>
        </is>
      </c>
      <c r="D2775" s="1" t="n">
        <v>45306</v>
      </c>
      <c r="E2775" s="1" t="n">
        <v>46312</v>
      </c>
      <c r="F2775" t="inlineStr">
        <is>
          <t>SKÅNE LÄN</t>
        </is>
      </c>
      <c r="G2775" t="inlineStr">
        <is>
          <t>ESLÖV</t>
        </is>
      </c>
      <c r="I2775" t="n">
        <v>3.6</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49536-2025</t>
        </is>
      </c>
      <c r="B2776" t="inlineStr">
        <is>
          <t>avverkningsanmälan</t>
        </is>
      </c>
      <c r="C2776" t="inlineStr">
        <is>
          <t>Föryngringsavverkning</t>
        </is>
      </c>
      <c r="D2776" s="1" t="n">
        <v>45939</v>
      </c>
      <c r="E2776" s="1" t="n">
        <v>46312</v>
      </c>
      <c r="F2776" t="inlineStr">
        <is>
          <t>SKÅNE LÄN</t>
        </is>
      </c>
      <c r="G2776" t="inlineStr">
        <is>
          <t>YSTAD</t>
        </is>
      </c>
      <c r="I2776" t="n">
        <v>1.5</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16438-2023</t>
        </is>
      </c>
      <c r="B2777" t="inlineStr">
        <is>
          <t>avverkningsanmälan</t>
        </is>
      </c>
      <c r="C2777" t="inlineStr">
        <is>
          <t>Föryngringsavverkning</t>
        </is>
      </c>
      <c r="D2777" s="1" t="n">
        <v>45029</v>
      </c>
      <c r="E2777" s="1" t="n">
        <v>46312</v>
      </c>
      <c r="F2777" t="inlineStr">
        <is>
          <t>SKÅNE LÄN</t>
        </is>
      </c>
      <c r="G2777" t="inlineStr">
        <is>
          <t>ÖSTRA GÖINGE</t>
        </is>
      </c>
      <c r="I2777" t="n">
        <v>2.7</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34301-2024</t>
        </is>
      </c>
      <c r="B2778" t="inlineStr">
        <is>
          <t>avverkningsanmälan</t>
        </is>
      </c>
      <c r="C2778" t="inlineStr">
        <is>
          <t>Föryngringsavverkning</t>
        </is>
      </c>
      <c r="D2778" s="1" t="n">
        <v>45524</v>
      </c>
      <c r="E2778" s="1" t="n">
        <v>46312</v>
      </c>
      <c r="F2778" t="inlineStr">
        <is>
          <t>SKÅNE LÄN</t>
        </is>
      </c>
      <c r="G2778" t="inlineStr">
        <is>
          <t>HÄSSLEHOLM</t>
        </is>
      </c>
      <c r="I2778" t="n">
        <v>0.4</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62539-2025</t>
        </is>
      </c>
      <c r="B2779" t="inlineStr">
        <is>
          <t>avverkningsanmälan</t>
        </is>
      </c>
      <c r="C2779" t="inlineStr">
        <is>
          <t>Föryngringsavverkning</t>
        </is>
      </c>
      <c r="D2779" s="1" t="n">
        <v>46007</v>
      </c>
      <c r="E2779" s="1" t="n">
        <v>46312</v>
      </c>
      <c r="F2779" t="inlineStr">
        <is>
          <t>SKÅNE LÄN</t>
        </is>
      </c>
      <c r="G2779" t="inlineStr">
        <is>
          <t>KRISTIANSTAD</t>
        </is>
      </c>
      <c r="I2779" t="n">
        <v>1.1</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61158-2022</t>
        </is>
      </c>
      <c r="B2780" t="inlineStr">
        <is>
          <t>avverkningsanmälan</t>
        </is>
      </c>
      <c r="C2780" t="inlineStr">
        <is>
          <t>Föryngringsavverkning</t>
        </is>
      </c>
      <c r="D2780" s="1" t="n">
        <v>44915</v>
      </c>
      <c r="E2780" s="1" t="n">
        <v>46312</v>
      </c>
      <c r="F2780" t="inlineStr">
        <is>
          <t>SKÅNE LÄN</t>
        </is>
      </c>
      <c r="G2780" t="inlineStr">
        <is>
          <t>HÄSSLEHOLM</t>
        </is>
      </c>
      <c r="I2780" t="n">
        <v>8.4</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61186-2022</t>
        </is>
      </c>
      <c r="B2781" t="inlineStr">
        <is>
          <t>avverkningsanmälan</t>
        </is>
      </c>
      <c r="C2781" t="inlineStr">
        <is>
          <t>Föryngringsavverkning</t>
        </is>
      </c>
      <c r="D2781" s="1" t="n">
        <v>44915</v>
      </c>
      <c r="E2781" s="1" t="n">
        <v>46312</v>
      </c>
      <c r="F2781" t="inlineStr">
        <is>
          <t>SKÅNE LÄN</t>
        </is>
      </c>
      <c r="G2781" t="inlineStr">
        <is>
          <t>HÄSSLEHOLM</t>
        </is>
      </c>
      <c r="I2781" t="n">
        <v>2.9</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43857-2025</t>
        </is>
      </c>
      <c r="B2782" t="inlineStr">
        <is>
          <t>avverkningsanmälan</t>
        </is>
      </c>
      <c r="C2782" t="inlineStr">
        <is>
          <t>Föryngringsavverkning</t>
        </is>
      </c>
      <c r="D2782" s="1" t="n">
        <v>45912</v>
      </c>
      <c r="E2782" s="1" t="n">
        <v>46312</v>
      </c>
      <c r="F2782" t="inlineStr">
        <is>
          <t>SKÅNE LÄN</t>
        </is>
      </c>
      <c r="G2782" t="inlineStr">
        <is>
          <t>ÄNGELHOLM</t>
        </is>
      </c>
      <c r="I2782" t="n">
        <v>1.1</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36689-2024</t>
        </is>
      </c>
      <c r="B2783" t="inlineStr">
        <is>
          <t>avverkningsanmälan</t>
        </is>
      </c>
      <c r="C2783" t="inlineStr">
        <is>
          <t>Avverkning för annat ändamål</t>
        </is>
      </c>
      <c r="D2783" s="1" t="n">
        <v>45537</v>
      </c>
      <c r="E2783" s="1" t="n">
        <v>46312</v>
      </c>
      <c r="F2783" t="inlineStr">
        <is>
          <t>SKÅNE LÄN</t>
        </is>
      </c>
      <c r="G2783" t="inlineStr">
        <is>
          <t>HÖRBY</t>
        </is>
      </c>
      <c r="H2783" t="inlineStr">
        <is>
          <t>Sveaskog</t>
        </is>
      </c>
      <c r="I2783" t="n">
        <v>9.5</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20950-2023</t>
        </is>
      </c>
      <c r="B2784" t="inlineStr">
        <is>
          <t>avverkningsanmälan</t>
        </is>
      </c>
      <c r="C2784" t="inlineStr">
        <is>
          <t>Föryngringsavverkning</t>
        </is>
      </c>
      <c r="D2784" s="1" t="n">
        <v>45061</v>
      </c>
      <c r="E2784" s="1" t="n">
        <v>46312</v>
      </c>
      <c r="F2784" t="inlineStr">
        <is>
          <t>SKÅNE LÄN</t>
        </is>
      </c>
      <c r="G2784" t="inlineStr">
        <is>
          <t>SIMRISHAMN</t>
        </is>
      </c>
      <c r="I2784" t="n">
        <v>6</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6597-2025</t>
        </is>
      </c>
      <c r="B2785" t="inlineStr">
        <is>
          <t>avverkningsanmälan</t>
        </is>
      </c>
      <c r="C2785" t="inlineStr">
        <is>
          <t>Avverkning för annat ändamål</t>
        </is>
      </c>
      <c r="D2785" s="1" t="n">
        <v>45700</v>
      </c>
      <c r="E2785" s="1" t="n">
        <v>46312</v>
      </c>
      <c r="F2785" t="inlineStr">
        <is>
          <t>SKÅNE LÄN</t>
        </is>
      </c>
      <c r="G2785" t="inlineStr">
        <is>
          <t>KRISTIANSTAD</t>
        </is>
      </c>
      <c r="I2785" t="n">
        <v>6</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53807-2023</t>
        </is>
      </c>
      <c r="B2786" t="inlineStr">
        <is>
          <t>avverkningsanmälan</t>
        </is>
      </c>
      <c r="C2786" t="inlineStr">
        <is>
          <t>Föryngringsavverkning</t>
        </is>
      </c>
      <c r="D2786" s="1" t="n">
        <v>45231</v>
      </c>
      <c r="E2786" s="1" t="n">
        <v>46312</v>
      </c>
      <c r="F2786" t="inlineStr">
        <is>
          <t>SKÅNE LÄN</t>
        </is>
      </c>
      <c r="G2786" t="inlineStr">
        <is>
          <t>HÖÖR</t>
        </is>
      </c>
      <c r="I2786" t="n">
        <v>0.5</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45658-2024</t>
        </is>
      </c>
      <c r="B2787" t="inlineStr">
        <is>
          <t>avverkningsanmälan</t>
        </is>
      </c>
      <c r="C2787" t="inlineStr">
        <is>
          <t>Föryngringsavverkning</t>
        </is>
      </c>
      <c r="D2787" s="1" t="n">
        <v>45579</v>
      </c>
      <c r="E2787" s="1" t="n">
        <v>46312</v>
      </c>
      <c r="F2787" t="inlineStr">
        <is>
          <t>SKÅNE LÄN</t>
        </is>
      </c>
      <c r="G2787" t="inlineStr">
        <is>
          <t>KRISTIANSTAD</t>
        </is>
      </c>
      <c r="I2787" t="n">
        <v>3.8</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38121-2025</t>
        </is>
      </c>
      <c r="B2788" t="inlineStr">
        <is>
          <t>avverkningsanmälan</t>
        </is>
      </c>
      <c r="C2788" t="inlineStr">
        <is>
          <t>Föryngringsavverkning</t>
        </is>
      </c>
      <c r="D2788" s="1" t="n">
        <v>45882</v>
      </c>
      <c r="E2788" s="1" t="n">
        <v>46312</v>
      </c>
      <c r="F2788" t="inlineStr">
        <is>
          <t>SKÅNE LÄN</t>
        </is>
      </c>
      <c r="G2788" t="inlineStr">
        <is>
          <t>KRISTIANSTAD</t>
        </is>
      </c>
      <c r="I2788" t="n">
        <v>1.2</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38813-2025</t>
        </is>
      </c>
      <c r="B2789" t="inlineStr">
        <is>
          <t>avverkningsanmälan</t>
        </is>
      </c>
      <c r="C2789" t="inlineStr">
        <is>
          <t>Föryngringsavverkning</t>
        </is>
      </c>
      <c r="D2789" s="1" t="n">
        <v>45887</v>
      </c>
      <c r="E2789" s="1" t="n">
        <v>46312</v>
      </c>
      <c r="F2789" t="inlineStr">
        <is>
          <t>SKÅNE LÄN</t>
        </is>
      </c>
      <c r="G2789" t="inlineStr">
        <is>
          <t>HÖÖR</t>
        </is>
      </c>
      <c r="I2789" t="n">
        <v>0.9</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62685-2025</t>
        </is>
      </c>
      <c r="B2790" t="inlineStr">
        <is>
          <t>avverkningsanmälan</t>
        </is>
      </c>
      <c r="C2790" t="inlineStr">
        <is>
          <t>Föryngringsavverkning</t>
        </is>
      </c>
      <c r="D2790" s="1" t="n">
        <v>46008</v>
      </c>
      <c r="E2790" s="1" t="n">
        <v>46312</v>
      </c>
      <c r="F2790" t="inlineStr">
        <is>
          <t>SKÅNE LÄN</t>
        </is>
      </c>
      <c r="G2790" t="inlineStr">
        <is>
          <t>KRISTIANSTAD</t>
        </is>
      </c>
      <c r="I2790" t="n">
        <v>2.1</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53676-2025</t>
        </is>
      </c>
      <c r="B2791" t="inlineStr">
        <is>
          <t>avverkningsanmälan</t>
        </is>
      </c>
      <c r="C2791" t="inlineStr">
        <is>
          <t>Föryngringsavverkning</t>
        </is>
      </c>
      <c r="D2791" s="1" t="n">
        <v>45960</v>
      </c>
      <c r="E2791" s="1" t="n">
        <v>46312</v>
      </c>
      <c r="F2791" t="inlineStr">
        <is>
          <t>SKÅNE LÄN</t>
        </is>
      </c>
      <c r="G2791" t="inlineStr">
        <is>
          <t>ÖRKELLJUNGA</t>
        </is>
      </c>
      <c r="I2791" t="n">
        <v>1.5</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53424-2025</t>
        </is>
      </c>
      <c r="B2792" t="inlineStr">
        <is>
          <t>avverkningsanmälan</t>
        </is>
      </c>
      <c r="C2792" t="inlineStr">
        <is>
          <t>Föryngringsavverkning</t>
        </is>
      </c>
      <c r="D2792" s="1" t="n">
        <v>45959</v>
      </c>
      <c r="E2792" s="1" t="n">
        <v>46312</v>
      </c>
      <c r="F2792" t="inlineStr">
        <is>
          <t>SKÅNE LÄN</t>
        </is>
      </c>
      <c r="G2792" t="inlineStr">
        <is>
          <t>HÄSSLEHOLM</t>
        </is>
      </c>
      <c r="I2792" t="n">
        <v>3.4</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51235-2025</t>
        </is>
      </c>
      <c r="B2793" t="inlineStr">
        <is>
          <t>avverkningsanmälan</t>
        </is>
      </c>
      <c r="C2793" t="inlineStr">
        <is>
          <t>Föryngringsavverkning</t>
        </is>
      </c>
      <c r="D2793" s="1" t="n">
        <v>45947</v>
      </c>
      <c r="E2793" s="1" t="n">
        <v>46312</v>
      </c>
      <c r="F2793" t="inlineStr">
        <is>
          <t>SKÅNE LÄN</t>
        </is>
      </c>
      <c r="G2793" t="inlineStr">
        <is>
          <t>HÖÖR</t>
        </is>
      </c>
      <c r="I2793" t="n">
        <v>2.4</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46793-2025</t>
        </is>
      </c>
      <c r="B2794" t="inlineStr">
        <is>
          <t>avverkningsanmälan</t>
        </is>
      </c>
      <c r="C2794" t="inlineStr">
        <is>
          <t>Föryngringsavverkning</t>
        </is>
      </c>
      <c r="D2794" s="1" t="n">
        <v>45926</v>
      </c>
      <c r="E2794" s="1" t="n">
        <v>46312</v>
      </c>
      <c r="F2794" t="inlineStr">
        <is>
          <t>SKÅNE LÄN</t>
        </is>
      </c>
      <c r="G2794" t="inlineStr">
        <is>
          <t>KRISTIANSTAD</t>
        </is>
      </c>
      <c r="I2794" t="n">
        <v>1.1</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4089-2024</t>
        </is>
      </c>
      <c r="B2795" t="inlineStr">
        <is>
          <t>avverkningsanmälan</t>
        </is>
      </c>
      <c r="C2795" t="inlineStr">
        <is>
          <t>Föryngringsavverkning</t>
        </is>
      </c>
      <c r="D2795" s="1" t="n">
        <v>45323</v>
      </c>
      <c r="E2795" s="1" t="n">
        <v>46312</v>
      </c>
      <c r="F2795" t="inlineStr">
        <is>
          <t>SKÅNE LÄN</t>
        </is>
      </c>
      <c r="G2795" t="inlineStr">
        <is>
          <t>ÄNGELHOLM</t>
        </is>
      </c>
      <c r="I2795" t="n">
        <v>0.7</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4590-2026</t>
        </is>
      </c>
      <c r="B2796" t="inlineStr">
        <is>
          <t>avverkningsanmälan</t>
        </is>
      </c>
      <c r="C2796" t="inlineStr">
        <is>
          <t>Föryngringsavverkning</t>
        </is>
      </c>
      <c r="D2796" s="1" t="n">
        <v>46048</v>
      </c>
      <c r="E2796" s="1" t="n">
        <v>46312</v>
      </c>
      <c r="F2796" t="inlineStr">
        <is>
          <t>SKÅNE LÄN</t>
        </is>
      </c>
      <c r="G2796" t="inlineStr">
        <is>
          <t>HÖRBY</t>
        </is>
      </c>
      <c r="I2796" t="n">
        <v>1.1</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24990-2026</t>
        </is>
      </c>
      <c r="B2797" t="inlineStr">
        <is>
          <t>avverkningsanmälan</t>
        </is>
      </c>
      <c r="C2797" t="inlineStr">
        <is>
          <t>Föryngringsavverkning</t>
        </is>
      </c>
      <c r="D2797" s="1" t="n">
        <v>46174</v>
      </c>
      <c r="E2797" s="1" t="n">
        <v>46312</v>
      </c>
      <c r="F2797" t="inlineStr">
        <is>
          <t>SKÅNE LÄN</t>
        </is>
      </c>
      <c r="G2797" t="inlineStr">
        <is>
          <t>HÄSSLEHOLM</t>
        </is>
      </c>
      <c r="I2797" t="n">
        <v>1.2</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33465-2024</t>
        </is>
      </c>
      <c r="B2798" t="inlineStr">
        <is>
          <t>avverkningsanmälan</t>
        </is>
      </c>
      <c r="C2798" t="inlineStr">
        <is>
          <t>Föryngringsavverkning</t>
        </is>
      </c>
      <c r="D2798" s="1" t="n">
        <v>45519</v>
      </c>
      <c r="E2798" s="1" t="n">
        <v>46312</v>
      </c>
      <c r="F2798" t="inlineStr">
        <is>
          <t>SKÅNE LÄN</t>
        </is>
      </c>
      <c r="G2798" t="inlineStr">
        <is>
          <t>HÄSSLEHOLM</t>
        </is>
      </c>
      <c r="I2798" t="n">
        <v>0.8</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8367-2022</t>
        </is>
      </c>
      <c r="B2799" t="inlineStr">
        <is>
          <t>avverkningsanmälan</t>
        </is>
      </c>
      <c r="C2799" t="inlineStr">
        <is>
          <t>Föryngringsavverkning</t>
        </is>
      </c>
      <c r="D2799" s="1" t="n">
        <v>44610</v>
      </c>
      <c r="E2799" s="1" t="n">
        <v>46312</v>
      </c>
      <c r="F2799" t="inlineStr">
        <is>
          <t>SKÅNE LÄN</t>
        </is>
      </c>
      <c r="G2799" t="inlineStr">
        <is>
          <t>OSBY</t>
        </is>
      </c>
      <c r="I2799" t="n">
        <v>0.5</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53978-2022</t>
        </is>
      </c>
      <c r="B2800" t="inlineStr">
        <is>
          <t>avverkningsanmälan</t>
        </is>
      </c>
      <c r="C2800" t="inlineStr">
        <is>
          <t>Föryngringsavverkning</t>
        </is>
      </c>
      <c r="D2800" s="1" t="n">
        <v>44876</v>
      </c>
      <c r="E2800" s="1" t="n">
        <v>46312</v>
      </c>
      <c r="F2800" t="inlineStr">
        <is>
          <t>SKÅNE LÄN</t>
        </is>
      </c>
      <c r="G2800" t="inlineStr">
        <is>
          <t>SIMRISHAMN</t>
        </is>
      </c>
      <c r="I2800" t="n">
        <v>1.7</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40584-2024</t>
        </is>
      </c>
      <c r="B2801" t="inlineStr">
        <is>
          <t>avverkningsanmälan</t>
        </is>
      </c>
      <c r="C2801" t="inlineStr">
        <is>
          <t>Föryngringsavverkning</t>
        </is>
      </c>
      <c r="D2801" s="1" t="n">
        <v>45555</v>
      </c>
      <c r="E2801" s="1" t="n">
        <v>46312</v>
      </c>
      <c r="F2801" t="inlineStr">
        <is>
          <t>SKÅNE LÄN</t>
        </is>
      </c>
      <c r="G2801" t="inlineStr">
        <is>
          <t>SIMRISHAMN</t>
        </is>
      </c>
      <c r="I2801" t="n">
        <v>0.8</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44728-2024</t>
        </is>
      </c>
      <c r="B2802" t="inlineStr">
        <is>
          <t>avverkningsanmälan</t>
        </is>
      </c>
      <c r="C2802" t="inlineStr">
        <is>
          <t>Föryngringsavverkning</t>
        </is>
      </c>
      <c r="D2802" s="1" t="n">
        <v>45574</v>
      </c>
      <c r="E2802" s="1" t="n">
        <v>46312</v>
      </c>
      <c r="F2802" t="inlineStr">
        <is>
          <t>SKÅNE LÄN</t>
        </is>
      </c>
      <c r="G2802" t="inlineStr">
        <is>
          <t>HÖÖR</t>
        </is>
      </c>
      <c r="I2802" t="n">
        <v>0.7</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62496-2023</t>
        </is>
      </c>
      <c r="B2803" t="inlineStr">
        <is>
          <t>avverkningsanmälan</t>
        </is>
      </c>
      <c r="C2803" t="inlineStr">
        <is>
          <t>Föryngringsavverkning</t>
        </is>
      </c>
      <c r="D2803" s="1" t="n">
        <v>45268</v>
      </c>
      <c r="E2803" s="1" t="n">
        <v>46312</v>
      </c>
      <c r="F2803" t="inlineStr">
        <is>
          <t>SKÅNE LÄN</t>
        </is>
      </c>
      <c r="G2803" t="inlineStr">
        <is>
          <t>ESLÖV</t>
        </is>
      </c>
      <c r="I2803" t="n">
        <v>2.6</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63154-2025</t>
        </is>
      </c>
      <c r="B2804" t="inlineStr">
        <is>
          <t>avverkningsanmälan</t>
        </is>
      </c>
      <c r="C2804" t="inlineStr">
        <is>
          <t>Föryngringsavverkning</t>
        </is>
      </c>
      <c r="D2804" s="1" t="n">
        <v>46009</v>
      </c>
      <c r="E2804" s="1" t="n">
        <v>46312</v>
      </c>
      <c r="F2804" t="inlineStr">
        <is>
          <t>SKÅNE LÄN</t>
        </is>
      </c>
      <c r="G2804" t="inlineStr">
        <is>
          <t>ÖSTRA GÖINGE</t>
        </is>
      </c>
      <c r="I2804" t="n">
        <v>1</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26642-2023</t>
        </is>
      </c>
      <c r="B2805" t="inlineStr">
        <is>
          <t>avverkningsanmälan</t>
        </is>
      </c>
      <c r="C2805" t="inlineStr">
        <is>
          <t>Föryngringsavverkning</t>
        </is>
      </c>
      <c r="D2805" s="1" t="n">
        <v>45092</v>
      </c>
      <c r="E2805" s="1" t="n">
        <v>46312</v>
      </c>
      <c r="F2805" t="inlineStr">
        <is>
          <t>SKÅNE LÄN</t>
        </is>
      </c>
      <c r="G2805" t="inlineStr">
        <is>
          <t>HÄSSLEHOLM</t>
        </is>
      </c>
      <c r="I2805" t="n">
        <v>0.5</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36086-2025</t>
        </is>
      </c>
      <c r="B2806" t="inlineStr">
        <is>
          <t>avverkningsanmälan</t>
        </is>
      </c>
      <c r="C2806" t="inlineStr">
        <is>
          <t>Föryngringsavverkning</t>
        </is>
      </c>
      <c r="D2806" s="1" t="n">
        <v>45866</v>
      </c>
      <c r="E2806" s="1" t="n">
        <v>46312</v>
      </c>
      <c r="F2806" t="inlineStr">
        <is>
          <t>SKÅNE LÄN</t>
        </is>
      </c>
      <c r="G2806" t="inlineStr">
        <is>
          <t>BROMÖLLA</t>
        </is>
      </c>
      <c r="I2806" t="n">
        <v>2.9</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60251-2022</t>
        </is>
      </c>
      <c r="B2807" t="inlineStr">
        <is>
          <t>avverkningsanmälan</t>
        </is>
      </c>
      <c r="C2807" t="inlineStr">
        <is>
          <t>Föryngringsavverkning</t>
        </is>
      </c>
      <c r="D2807" s="1" t="n">
        <v>44910</v>
      </c>
      <c r="E2807" s="1" t="n">
        <v>46312</v>
      </c>
      <c r="F2807" t="inlineStr">
        <is>
          <t>SKÅNE LÄN</t>
        </is>
      </c>
      <c r="G2807" t="inlineStr">
        <is>
          <t>ÖSTRA GÖINGE</t>
        </is>
      </c>
      <c r="I2807" t="n">
        <v>2.2</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21881-2024</t>
        </is>
      </c>
      <c r="B2808" t="inlineStr">
        <is>
          <t>avverkningsanmälan</t>
        </is>
      </c>
      <c r="C2808" t="inlineStr">
        <is>
          <t>Föryngringsavverkning</t>
        </is>
      </c>
      <c r="D2808" s="1" t="n">
        <v>45443</v>
      </c>
      <c r="E2808" s="1" t="n">
        <v>46312</v>
      </c>
      <c r="F2808" t="inlineStr">
        <is>
          <t>SKÅNE LÄN</t>
        </is>
      </c>
      <c r="G2808" t="inlineStr">
        <is>
          <t>OSBY</t>
        </is>
      </c>
      <c r="I2808" t="n">
        <v>1.9</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27349-2025</t>
        </is>
      </c>
      <c r="B2809" t="inlineStr">
        <is>
          <t>avverkningsanmälan</t>
        </is>
      </c>
      <c r="C2809" t="inlineStr">
        <is>
          <t>Avverkning för annat ändamål</t>
        </is>
      </c>
      <c r="D2809" s="1" t="n">
        <v>45812</v>
      </c>
      <c r="E2809" s="1" t="n">
        <v>46312</v>
      </c>
      <c r="F2809" t="inlineStr">
        <is>
          <t>SKÅNE LÄN</t>
        </is>
      </c>
      <c r="G2809" t="inlineStr">
        <is>
          <t>HÄSSLEHOLM</t>
        </is>
      </c>
      <c r="I2809" t="n">
        <v>0.8</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9368-2023</t>
        </is>
      </c>
      <c r="B2810" t="inlineStr">
        <is>
          <t>avverkningsanmälan</t>
        </is>
      </c>
      <c r="C2810" t="inlineStr">
        <is>
          <t>Föryngringsavverkning</t>
        </is>
      </c>
      <c r="D2810" s="1" t="n">
        <v>44981</v>
      </c>
      <c r="E2810" s="1" t="n">
        <v>46312</v>
      </c>
      <c r="F2810" t="inlineStr">
        <is>
          <t>SKÅNE LÄN</t>
        </is>
      </c>
      <c r="G2810" t="inlineStr">
        <is>
          <t>PERSTORP</t>
        </is>
      </c>
      <c r="I2810" t="n">
        <v>3.9</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61701-2024</t>
        </is>
      </c>
      <c r="B2811" t="inlineStr">
        <is>
          <t>avverkningsanmälan</t>
        </is>
      </c>
      <c r="C2811" t="inlineStr">
        <is>
          <t>Föryngringsavverkning</t>
        </is>
      </c>
      <c r="D2811" s="1" t="n">
        <v>45648</v>
      </c>
      <c r="E2811" s="1" t="n">
        <v>46312</v>
      </c>
      <c r="F2811" t="inlineStr">
        <is>
          <t>SKÅNE LÄN</t>
        </is>
      </c>
      <c r="G2811" t="inlineStr">
        <is>
          <t>KRISTIANSTAD</t>
        </is>
      </c>
      <c r="I2811" t="n">
        <v>1.1</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38778-2022</t>
        </is>
      </c>
      <c r="B2812" t="inlineStr">
        <is>
          <t>avverkningsanmälan</t>
        </is>
      </c>
      <c r="C2812" t="inlineStr">
        <is>
          <t>Föryngringsavverkning</t>
        </is>
      </c>
      <c r="D2812" s="1" t="n">
        <v>44816</v>
      </c>
      <c r="E2812" s="1" t="n">
        <v>46312</v>
      </c>
      <c r="F2812" t="inlineStr">
        <is>
          <t>SKÅNE LÄN</t>
        </is>
      </c>
      <c r="G2812" t="inlineStr">
        <is>
          <t>KRISTIANSTAD</t>
        </is>
      </c>
      <c r="I2812" t="n">
        <v>17.1</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63415-2025</t>
        </is>
      </c>
      <c r="B2813" t="inlineStr">
        <is>
          <t>avverkningsanmälan</t>
        </is>
      </c>
      <c r="C2813" t="inlineStr">
        <is>
          <t>Föryngringsavverkning</t>
        </is>
      </c>
      <c r="D2813" s="1" t="n">
        <v>46013</v>
      </c>
      <c r="E2813" s="1" t="n">
        <v>46312</v>
      </c>
      <c r="F2813" t="inlineStr">
        <is>
          <t>SKÅNE LÄN</t>
        </is>
      </c>
      <c r="G2813" t="inlineStr">
        <is>
          <t>HÄSSLEHOLM</t>
        </is>
      </c>
      <c r="I2813" t="n">
        <v>1.3</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533-2025</t>
        </is>
      </c>
      <c r="B2814" t="inlineStr">
        <is>
          <t>avverkningsanmälan</t>
        </is>
      </c>
      <c r="C2814" t="inlineStr">
        <is>
          <t>Föryngringsavverkning</t>
        </is>
      </c>
      <c r="D2814" s="1" t="n">
        <v>45664</v>
      </c>
      <c r="E2814" s="1" t="n">
        <v>46312</v>
      </c>
      <c r="F2814" t="inlineStr">
        <is>
          <t>SKÅNE LÄN</t>
        </is>
      </c>
      <c r="G2814" t="inlineStr">
        <is>
          <t>KRISTIANSTAD</t>
        </is>
      </c>
      <c r="I2814" t="n">
        <v>0.3</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24-2023</t>
        </is>
      </c>
      <c r="B2815" t="inlineStr">
        <is>
          <t>avverkningsanmälan</t>
        </is>
      </c>
      <c r="C2815" t="inlineStr">
        <is>
          <t>Föryngringsavverkning</t>
        </is>
      </c>
      <c r="D2815" s="1" t="n">
        <v>44928</v>
      </c>
      <c r="E2815" s="1" t="n">
        <v>46312</v>
      </c>
      <c r="F2815" t="inlineStr">
        <is>
          <t>SKÅNE LÄN</t>
        </is>
      </c>
      <c r="G2815" t="inlineStr">
        <is>
          <t>BÅSTAD</t>
        </is>
      </c>
      <c r="I2815" t="n">
        <v>0.5</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26033-2022</t>
        </is>
      </c>
      <c r="B2816" t="inlineStr">
        <is>
          <t>avverkningsanmälan</t>
        </is>
      </c>
      <c r="C2816" t="inlineStr">
        <is>
          <t>Föryngringsavverkning</t>
        </is>
      </c>
      <c r="D2816" s="1" t="n">
        <v>44734</v>
      </c>
      <c r="E2816" s="1" t="n">
        <v>46312</v>
      </c>
      <c r="F2816" t="inlineStr">
        <is>
          <t>SKÅNE LÄN</t>
        </is>
      </c>
      <c r="G2816" t="inlineStr">
        <is>
          <t>HÖÖR</t>
        </is>
      </c>
      <c r="H2816" t="inlineStr">
        <is>
          <t>Övriga statliga verk och myndigheter</t>
        </is>
      </c>
      <c r="I2816" t="n">
        <v>9.300000000000001</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17587-2023</t>
        </is>
      </c>
      <c r="B2817" t="inlineStr">
        <is>
          <t>avverkningsanmälan</t>
        </is>
      </c>
      <c r="C2817" t="inlineStr">
        <is>
          <t>Föryngringsavverkning</t>
        </is>
      </c>
      <c r="D2817" s="1" t="n">
        <v>45036</v>
      </c>
      <c r="E2817" s="1" t="n">
        <v>46312</v>
      </c>
      <c r="F2817" t="inlineStr">
        <is>
          <t>SKÅNE LÄN</t>
        </is>
      </c>
      <c r="G2817" t="inlineStr">
        <is>
          <t>OSBY</t>
        </is>
      </c>
      <c r="I2817" t="n">
        <v>2.6</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66321-2021</t>
        </is>
      </c>
      <c r="B2818" t="inlineStr">
        <is>
          <t>avverkningsanmälan</t>
        </is>
      </c>
      <c r="C2818" t="inlineStr">
        <is>
          <t>Föryngringsavverkning</t>
        </is>
      </c>
      <c r="D2818" s="1" t="n">
        <v>44518</v>
      </c>
      <c r="E2818" s="1" t="n">
        <v>46312</v>
      </c>
      <c r="F2818" t="inlineStr">
        <is>
          <t>SKÅNE LÄN</t>
        </is>
      </c>
      <c r="G2818" t="inlineStr">
        <is>
          <t>HÄSSLEHOLM</t>
        </is>
      </c>
      <c r="I2818" t="n">
        <v>9.300000000000001</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16668-2025</t>
        </is>
      </c>
      <c r="B2819" t="inlineStr">
        <is>
          <t>avverkningsanmälan</t>
        </is>
      </c>
      <c r="C2819" t="inlineStr">
        <is>
          <t>Föryngringsavverkning</t>
        </is>
      </c>
      <c r="D2819" s="1" t="n">
        <v>45754</v>
      </c>
      <c r="E2819" s="1" t="n">
        <v>46312</v>
      </c>
      <c r="F2819" t="inlineStr">
        <is>
          <t>SKÅNE LÄN</t>
        </is>
      </c>
      <c r="G2819" t="inlineStr">
        <is>
          <t>HÄSSLEHOLM</t>
        </is>
      </c>
      <c r="I2819" t="n">
        <v>4</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23850-2024</t>
        </is>
      </c>
      <c r="B2820" t="inlineStr">
        <is>
          <t>avverkningsanmälan</t>
        </is>
      </c>
      <c r="C2820" t="inlineStr">
        <is>
          <t>Föryngringsavverkning</t>
        </is>
      </c>
      <c r="D2820" s="1" t="n">
        <v>45455</v>
      </c>
      <c r="E2820" s="1" t="n">
        <v>46312</v>
      </c>
      <c r="F2820" t="inlineStr">
        <is>
          <t>SKÅNE LÄN</t>
        </is>
      </c>
      <c r="G2820" t="inlineStr">
        <is>
          <t>KRISTIANSTAD</t>
        </is>
      </c>
      <c r="I2820" t="n">
        <v>1</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31195-2024</t>
        </is>
      </c>
      <c r="B2821" t="inlineStr">
        <is>
          <t>avverkningsanmälan</t>
        </is>
      </c>
      <c r="C2821" t="inlineStr">
        <is>
          <t>Föryngringsavverkning</t>
        </is>
      </c>
      <c r="D2821" s="1" t="n">
        <v>45503</v>
      </c>
      <c r="E2821" s="1" t="n">
        <v>46312</v>
      </c>
      <c r="F2821" t="inlineStr">
        <is>
          <t>SKÅNE LÄN</t>
        </is>
      </c>
      <c r="G2821" t="inlineStr">
        <is>
          <t>OSBY</t>
        </is>
      </c>
      <c r="I2821" t="n">
        <v>1.4</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31268-2024</t>
        </is>
      </c>
      <c r="B2822" t="inlineStr">
        <is>
          <t>avverkningsanmälan</t>
        </is>
      </c>
      <c r="C2822" t="inlineStr">
        <is>
          <t>Föryngringsavverkning</t>
        </is>
      </c>
      <c r="D2822" s="1" t="n">
        <v>45504</v>
      </c>
      <c r="E2822" s="1" t="n">
        <v>46312</v>
      </c>
      <c r="F2822" t="inlineStr">
        <is>
          <t>SKÅNE LÄN</t>
        </is>
      </c>
      <c r="G2822" t="inlineStr">
        <is>
          <t>HÄSSLEHOLM</t>
        </is>
      </c>
      <c r="I2822" t="n">
        <v>1.5</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7056-2024</t>
        </is>
      </c>
      <c r="B2823" t="inlineStr">
        <is>
          <t>avverkningsanmälan</t>
        </is>
      </c>
      <c r="C2823" t="inlineStr">
        <is>
          <t>Föryngringsavverkning</t>
        </is>
      </c>
      <c r="D2823" s="1" t="n">
        <v>45343</v>
      </c>
      <c r="E2823" s="1" t="n">
        <v>46312</v>
      </c>
      <c r="F2823" t="inlineStr">
        <is>
          <t>SKÅNE LÄN</t>
        </is>
      </c>
      <c r="G2823" t="inlineStr">
        <is>
          <t>KRISTIANSTAD</t>
        </is>
      </c>
      <c r="H2823" t="inlineStr">
        <is>
          <t>Sveaskog</t>
        </is>
      </c>
      <c r="I2823" t="n">
        <v>0.6</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63284-2025</t>
        </is>
      </c>
      <c r="B2824" t="inlineStr">
        <is>
          <t>avverkningsanmälan</t>
        </is>
      </c>
      <c r="C2824" t="inlineStr">
        <is>
          <t>Föryngringsavverkning</t>
        </is>
      </c>
      <c r="D2824" s="1" t="n">
        <v>46010</v>
      </c>
      <c r="E2824" s="1" t="n">
        <v>46312</v>
      </c>
      <c r="F2824" t="inlineStr">
        <is>
          <t>SKÅNE LÄN</t>
        </is>
      </c>
      <c r="G2824" t="inlineStr">
        <is>
          <t>HÄSSLEHOLM</t>
        </is>
      </c>
      <c r="I2824" t="n">
        <v>0.6</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23260-2023</t>
        </is>
      </c>
      <c r="B2825" t="inlineStr">
        <is>
          <t>avverkningsanmälan</t>
        </is>
      </c>
      <c r="C2825" t="inlineStr">
        <is>
          <t>Föryngringsavverkning</t>
        </is>
      </c>
      <c r="D2825" s="1" t="n">
        <v>45075</v>
      </c>
      <c r="E2825" s="1" t="n">
        <v>46312</v>
      </c>
      <c r="F2825" t="inlineStr">
        <is>
          <t>SKÅNE LÄN</t>
        </is>
      </c>
      <c r="G2825" t="inlineStr">
        <is>
          <t>KLIPPAN</t>
        </is>
      </c>
      <c r="I2825" t="n">
        <v>3.4</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15657-2025</t>
        </is>
      </c>
      <c r="B2826" t="inlineStr">
        <is>
          <t>avverkningsanmälan</t>
        </is>
      </c>
      <c r="C2826" t="inlineStr">
        <is>
          <t>Föryngringsavverkning</t>
        </is>
      </c>
      <c r="D2826" s="1" t="n">
        <v>45748</v>
      </c>
      <c r="E2826" s="1" t="n">
        <v>46312</v>
      </c>
      <c r="F2826" t="inlineStr">
        <is>
          <t>SKÅNE LÄN</t>
        </is>
      </c>
      <c r="G2826" t="inlineStr">
        <is>
          <t>HÖÖR</t>
        </is>
      </c>
      <c r="I2826" t="n">
        <v>3.6</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36158-2023</t>
        </is>
      </c>
      <c r="B2827" t="inlineStr">
        <is>
          <t>avverkningsanmälan</t>
        </is>
      </c>
      <c r="C2827" t="inlineStr">
        <is>
          <t>Föryngringsavverkning</t>
        </is>
      </c>
      <c r="D2827" s="1" t="n">
        <v>45149</v>
      </c>
      <c r="E2827" s="1" t="n">
        <v>46312</v>
      </c>
      <c r="F2827" t="inlineStr">
        <is>
          <t>SKÅNE LÄN</t>
        </is>
      </c>
      <c r="G2827" t="inlineStr">
        <is>
          <t>KRISTIANSTAD</t>
        </is>
      </c>
      <c r="I2827" t="n">
        <v>1.4</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19629-2025</t>
        </is>
      </c>
      <c r="B2828" t="inlineStr">
        <is>
          <t>avverkningsanmälan</t>
        </is>
      </c>
      <c r="C2828" t="inlineStr">
        <is>
          <t>Föryngringsavverkning</t>
        </is>
      </c>
      <c r="D2828" s="1" t="n">
        <v>45770</v>
      </c>
      <c r="E2828" s="1" t="n">
        <v>46312</v>
      </c>
      <c r="F2828" t="inlineStr">
        <is>
          <t>SKÅNE LÄN</t>
        </is>
      </c>
      <c r="G2828" t="inlineStr">
        <is>
          <t>HÖÖR</t>
        </is>
      </c>
      <c r="I2828" t="n">
        <v>2.1</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51287-2022</t>
        </is>
      </c>
      <c r="B2829" t="inlineStr">
        <is>
          <t>avverkningsanmälan</t>
        </is>
      </c>
      <c r="C2829" t="inlineStr">
        <is>
          <t>Föryngringsavverkning</t>
        </is>
      </c>
      <c r="D2829" s="1" t="n">
        <v>44868</v>
      </c>
      <c r="E2829" s="1" t="n">
        <v>46312</v>
      </c>
      <c r="F2829" t="inlineStr">
        <is>
          <t>SKÅNE LÄN</t>
        </is>
      </c>
      <c r="G2829" t="inlineStr">
        <is>
          <t>HÄSSLEHOLM</t>
        </is>
      </c>
      <c r="I2829" t="n">
        <v>2.2</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3445-2022</t>
        </is>
      </c>
      <c r="B2830" t="inlineStr">
        <is>
          <t>avverkningsanmälan</t>
        </is>
      </c>
      <c r="C2830" t="inlineStr">
        <is>
          <t>Föryngringsavverkning</t>
        </is>
      </c>
      <c r="D2830" s="1" t="n">
        <v>44585</v>
      </c>
      <c r="E2830" s="1" t="n">
        <v>46312</v>
      </c>
      <c r="F2830" t="inlineStr">
        <is>
          <t>SKÅNE LÄN</t>
        </is>
      </c>
      <c r="G2830" t="inlineStr">
        <is>
          <t>ÖSTRA GÖINGE</t>
        </is>
      </c>
      <c r="I2830" t="n">
        <v>0.8</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49143-2025</t>
        </is>
      </c>
      <c r="B2831" t="inlineStr">
        <is>
          <t>avverkningsanmälan</t>
        </is>
      </c>
      <c r="C2831" t="inlineStr">
        <is>
          <t>Föryngringsavverkning</t>
        </is>
      </c>
      <c r="D2831" s="1" t="n">
        <v>45938</v>
      </c>
      <c r="E2831" s="1" t="n">
        <v>46312</v>
      </c>
      <c r="F2831" t="inlineStr">
        <is>
          <t>SKÅNE LÄN</t>
        </is>
      </c>
      <c r="G2831" t="inlineStr">
        <is>
          <t>KRISTIANSTAD</t>
        </is>
      </c>
      <c r="I2831" t="n">
        <v>0.8</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60227-2025</t>
        </is>
      </c>
      <c r="B2832" t="inlineStr">
        <is>
          <t>avverkningsanmälan</t>
        </is>
      </c>
      <c r="C2832" t="inlineStr">
        <is>
          <t>Föryngringsavverkning</t>
        </is>
      </c>
      <c r="D2832" s="1" t="n">
        <v>45994</v>
      </c>
      <c r="E2832" s="1" t="n">
        <v>46312</v>
      </c>
      <c r="F2832" t="inlineStr">
        <is>
          <t>SKÅNE LÄN</t>
        </is>
      </c>
      <c r="G2832" t="inlineStr">
        <is>
          <t>ÄNGELHOLM</t>
        </is>
      </c>
      <c r="I2832" t="n">
        <v>1.5</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58970-2025</t>
        </is>
      </c>
      <c r="B2833" t="inlineStr">
        <is>
          <t>avverkningsanmälan</t>
        </is>
      </c>
      <c r="C2833" t="inlineStr">
        <is>
          <t>Föryngringsavverkning</t>
        </is>
      </c>
      <c r="D2833" s="1" t="n">
        <v>45987</v>
      </c>
      <c r="E2833" s="1" t="n">
        <v>46312</v>
      </c>
      <c r="F2833" t="inlineStr">
        <is>
          <t>SKÅNE LÄN</t>
        </is>
      </c>
      <c r="G2833" t="inlineStr">
        <is>
          <t>SVALÖV</t>
        </is>
      </c>
      <c r="I2833" t="n">
        <v>1</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44846-2025</t>
        </is>
      </c>
      <c r="B2834" t="inlineStr">
        <is>
          <t>avverkningsanmälan</t>
        </is>
      </c>
      <c r="C2834" t="inlineStr">
        <is>
          <t>Föryngringsavverkning</t>
        </is>
      </c>
      <c r="D2834" s="1" t="n">
        <v>45918</v>
      </c>
      <c r="E2834" s="1" t="n">
        <v>46312</v>
      </c>
      <c r="F2834" t="inlineStr">
        <is>
          <t>SKÅNE LÄN</t>
        </is>
      </c>
      <c r="G2834" t="inlineStr">
        <is>
          <t>ÖRKELLJUNGA</t>
        </is>
      </c>
      <c r="I2834" t="n">
        <v>3.4</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54308-2023</t>
        </is>
      </c>
      <c r="B2835" t="inlineStr">
        <is>
          <t>avverkningsanmälan</t>
        </is>
      </c>
      <c r="C2835" t="inlineStr">
        <is>
          <t>Föryngringsavverkning</t>
        </is>
      </c>
      <c r="D2835" s="1" t="n">
        <v>45232</v>
      </c>
      <c r="E2835" s="1" t="n">
        <v>46312</v>
      </c>
      <c r="F2835" t="inlineStr">
        <is>
          <t>SKÅNE LÄN</t>
        </is>
      </c>
      <c r="G2835" t="inlineStr">
        <is>
          <t>KRISTIANSTAD</t>
        </is>
      </c>
      <c r="I2835" t="n">
        <v>0.3</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50513-2025</t>
        </is>
      </c>
      <c r="B2836" t="inlineStr">
        <is>
          <t>avverkningsanmälan</t>
        </is>
      </c>
      <c r="C2836" t="inlineStr">
        <is>
          <t>Föryngringsavverkning</t>
        </is>
      </c>
      <c r="D2836" s="1" t="n">
        <v>45945</v>
      </c>
      <c r="E2836" s="1" t="n">
        <v>46312</v>
      </c>
      <c r="F2836" t="inlineStr">
        <is>
          <t>SKÅNE LÄN</t>
        </is>
      </c>
      <c r="G2836" t="inlineStr">
        <is>
          <t>HÖÖR</t>
        </is>
      </c>
      <c r="I2836" t="n">
        <v>1.5</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6350-2026</t>
        </is>
      </c>
      <c r="B2837" t="inlineStr">
        <is>
          <t>avverkningsanmälan</t>
        </is>
      </c>
      <c r="C2837" t="inlineStr">
        <is>
          <t>Föryngringsavverkning</t>
        </is>
      </c>
      <c r="D2837" s="1" t="n">
        <v>46051</v>
      </c>
      <c r="E2837" s="1" t="n">
        <v>46312</v>
      </c>
      <c r="F2837" t="inlineStr">
        <is>
          <t>SKÅNE LÄN</t>
        </is>
      </c>
      <c r="G2837" t="inlineStr">
        <is>
          <t>HÖRBY</t>
        </is>
      </c>
      <c r="I2837" t="n">
        <v>2.4</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2437-2024</t>
        </is>
      </c>
      <c r="B2838" t="inlineStr">
        <is>
          <t>avverkningsanmälan</t>
        </is>
      </c>
      <c r="C2838" t="inlineStr">
        <is>
          <t>Föryngringsavverkning</t>
        </is>
      </c>
      <c r="D2838" s="1" t="n">
        <v>45311</v>
      </c>
      <c r="E2838" s="1" t="n">
        <v>46312</v>
      </c>
      <c r="F2838" t="inlineStr">
        <is>
          <t>SKÅNE LÄN</t>
        </is>
      </c>
      <c r="G2838" t="inlineStr">
        <is>
          <t>KRISTIANSTAD</t>
        </is>
      </c>
      <c r="I2838" t="n">
        <v>3.2</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22902-2024</t>
        </is>
      </c>
      <c r="B2839" t="inlineStr">
        <is>
          <t>avverkningsanmälan</t>
        </is>
      </c>
      <c r="C2839" t="inlineStr">
        <is>
          <t>Föryngringsavverkning</t>
        </is>
      </c>
      <c r="D2839" s="1" t="n">
        <v>45448</v>
      </c>
      <c r="E2839" s="1" t="n">
        <v>46312</v>
      </c>
      <c r="F2839" t="inlineStr">
        <is>
          <t>SKÅNE LÄN</t>
        </is>
      </c>
      <c r="G2839" t="inlineStr">
        <is>
          <t>OSBY</t>
        </is>
      </c>
      <c r="I2839" t="n">
        <v>1.4</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22815-2023</t>
        </is>
      </c>
      <c r="B2840" t="inlineStr">
        <is>
          <t>avverkningsanmälan</t>
        </is>
      </c>
      <c r="C2840" t="inlineStr">
        <is>
          <t>Föryngringsavverkning</t>
        </is>
      </c>
      <c r="D2840" s="1" t="n">
        <v>45072</v>
      </c>
      <c r="E2840" s="1" t="n">
        <v>46312</v>
      </c>
      <c r="F2840" t="inlineStr">
        <is>
          <t>SKÅNE LÄN</t>
        </is>
      </c>
      <c r="G2840" t="inlineStr">
        <is>
          <t>KRISTIANSTAD</t>
        </is>
      </c>
      <c r="I2840" t="n">
        <v>1.9</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8160-2024</t>
        </is>
      </c>
      <c r="B2841" t="inlineStr">
        <is>
          <t>avverkningsanmälan</t>
        </is>
      </c>
      <c r="C2841" t="inlineStr">
        <is>
          <t>Föryngringsavverkning</t>
        </is>
      </c>
      <c r="D2841" s="1" t="n">
        <v>45351</v>
      </c>
      <c r="E2841" s="1" t="n">
        <v>46312</v>
      </c>
      <c r="F2841" t="inlineStr">
        <is>
          <t>SKÅNE LÄN</t>
        </is>
      </c>
      <c r="G2841" t="inlineStr">
        <is>
          <t>HÄSSLEHOLM</t>
        </is>
      </c>
      <c r="I2841" t="n">
        <v>0.5</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20494-2024</t>
        </is>
      </c>
      <c r="B2842" t="inlineStr">
        <is>
          <t>avverkningsanmälan</t>
        </is>
      </c>
      <c r="C2842" t="inlineStr">
        <is>
          <t>Föryngringsavverkning</t>
        </is>
      </c>
      <c r="D2842" s="1" t="n">
        <v>45435</v>
      </c>
      <c r="E2842" s="1" t="n">
        <v>46312</v>
      </c>
      <c r="F2842" t="inlineStr">
        <is>
          <t>SKÅNE LÄN</t>
        </is>
      </c>
      <c r="G2842" t="inlineStr">
        <is>
          <t>HÄSSLEHOLM</t>
        </is>
      </c>
      <c r="I2842" t="n">
        <v>1.4</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18369-2025</t>
        </is>
      </c>
      <c r="B2843" t="inlineStr">
        <is>
          <t>avverkningsanmälan</t>
        </is>
      </c>
      <c r="C2843" t="inlineStr">
        <is>
          <t>Föryngringsavverkning</t>
        </is>
      </c>
      <c r="D2843" s="1" t="n">
        <v>45762</v>
      </c>
      <c r="E2843" s="1" t="n">
        <v>46312</v>
      </c>
      <c r="F2843" t="inlineStr">
        <is>
          <t>SKÅNE LÄN</t>
        </is>
      </c>
      <c r="G2843" t="inlineStr">
        <is>
          <t>HÖRBY</t>
        </is>
      </c>
      <c r="I2843" t="n">
        <v>2.2</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31522-2022</t>
        </is>
      </c>
      <c r="B2844" t="inlineStr">
        <is>
          <t>avverkningsanmälan</t>
        </is>
      </c>
      <c r="C2844" t="inlineStr">
        <is>
          <t>Föryngringsavverkning</t>
        </is>
      </c>
      <c r="D2844" s="1" t="n">
        <v>44775</v>
      </c>
      <c r="E2844" s="1" t="n">
        <v>46312</v>
      </c>
      <c r="F2844" t="inlineStr">
        <is>
          <t>SKÅNE LÄN</t>
        </is>
      </c>
      <c r="G2844" t="inlineStr">
        <is>
          <t>HÖRBY</t>
        </is>
      </c>
      <c r="I2844" t="n">
        <v>1.8</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31572-2022</t>
        </is>
      </c>
      <c r="B2845" t="inlineStr">
        <is>
          <t>avverkningsanmälan</t>
        </is>
      </c>
      <c r="C2845" t="inlineStr">
        <is>
          <t>Föryngringsavverkning</t>
        </is>
      </c>
      <c r="D2845" s="1" t="n">
        <v>44775</v>
      </c>
      <c r="E2845" s="1" t="n">
        <v>46312</v>
      </c>
      <c r="F2845" t="inlineStr">
        <is>
          <t>SKÅNE LÄN</t>
        </is>
      </c>
      <c r="G2845" t="inlineStr">
        <is>
          <t>HÄSSLEHOLM</t>
        </is>
      </c>
      <c r="H2845" t="inlineStr">
        <is>
          <t>Kommuner</t>
        </is>
      </c>
      <c r="I2845" t="n">
        <v>1.2</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4356-2024</t>
        </is>
      </c>
      <c r="B2846" t="inlineStr">
        <is>
          <t>avverkningsanmälan</t>
        </is>
      </c>
      <c r="C2846" t="inlineStr">
        <is>
          <t>Föryngringsavverkning</t>
        </is>
      </c>
      <c r="D2846" s="1" t="n">
        <v>45325</v>
      </c>
      <c r="E2846" s="1" t="n">
        <v>46312</v>
      </c>
      <c r="F2846" t="inlineStr">
        <is>
          <t>SKÅNE LÄN</t>
        </is>
      </c>
      <c r="G2846" t="inlineStr">
        <is>
          <t>HÄSSLEHOLM</t>
        </is>
      </c>
      <c r="I2846" t="n">
        <v>3.2</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1904-2023</t>
        </is>
      </c>
      <c r="B2847" t="inlineStr">
        <is>
          <t>avverkningsanmälan</t>
        </is>
      </c>
      <c r="C2847" t="inlineStr">
        <is>
          <t>Föryngringsavverkning</t>
        </is>
      </c>
      <c r="D2847" s="1" t="n">
        <v>44939</v>
      </c>
      <c r="E2847" s="1" t="n">
        <v>46312</v>
      </c>
      <c r="F2847" t="inlineStr">
        <is>
          <t>SKÅNE LÄN</t>
        </is>
      </c>
      <c r="G2847" t="inlineStr">
        <is>
          <t>ÖRKELLJUNGA</t>
        </is>
      </c>
      <c r="I2847" t="n">
        <v>0.7</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54184-2024</t>
        </is>
      </c>
      <c r="B2848" t="inlineStr">
        <is>
          <t>avverkningsanmälan</t>
        </is>
      </c>
      <c r="C2848" t="inlineStr">
        <is>
          <t>Föryngringsavverkning</t>
        </is>
      </c>
      <c r="D2848" s="1" t="n">
        <v>45616</v>
      </c>
      <c r="E2848" s="1" t="n">
        <v>46312</v>
      </c>
      <c r="F2848" t="inlineStr">
        <is>
          <t>SKÅNE LÄN</t>
        </is>
      </c>
      <c r="G2848" t="inlineStr">
        <is>
          <t>HÖRBY</t>
        </is>
      </c>
      <c r="I2848" t="n">
        <v>0.5</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9190-2025</t>
        </is>
      </c>
      <c r="B2849" t="inlineStr">
        <is>
          <t>avverkningsanmälan</t>
        </is>
      </c>
      <c r="C2849" t="inlineStr">
        <is>
          <t>Föryngringsavverkning</t>
        </is>
      </c>
      <c r="D2849" s="1" t="n">
        <v>45714</v>
      </c>
      <c r="E2849" s="1" t="n">
        <v>46312</v>
      </c>
      <c r="F2849" t="inlineStr">
        <is>
          <t>SKÅNE LÄN</t>
        </is>
      </c>
      <c r="G2849" t="inlineStr">
        <is>
          <t>OSBY</t>
        </is>
      </c>
      <c r="H2849" t="inlineStr">
        <is>
          <t>Kommuner</t>
        </is>
      </c>
      <c r="I2849" t="n">
        <v>0.7</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44363-2024</t>
        </is>
      </c>
      <c r="B2850" t="inlineStr">
        <is>
          <t>avverkningsanmälan</t>
        </is>
      </c>
      <c r="C2850" t="inlineStr">
        <is>
          <t>Avverkning för att bevara och utveckla /försöksver</t>
        </is>
      </c>
      <c r="D2850" s="1" t="n">
        <v>45573</v>
      </c>
      <c r="E2850" s="1" t="n">
        <v>46312</v>
      </c>
      <c r="F2850" t="inlineStr">
        <is>
          <t>SKÅNE LÄN</t>
        </is>
      </c>
      <c r="G2850" t="inlineStr">
        <is>
          <t>KRISTIANSTAD</t>
        </is>
      </c>
      <c r="H2850" t="inlineStr">
        <is>
          <t>Sveaskog</t>
        </is>
      </c>
      <c r="I2850" t="n">
        <v>5.1</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51318-2025</t>
        </is>
      </c>
      <c r="B2851" t="inlineStr">
        <is>
          <t>avverkningsanmälan</t>
        </is>
      </c>
      <c r="C2851" t="inlineStr">
        <is>
          <t>Föryngringsavverkning</t>
        </is>
      </c>
      <c r="D2851" s="1" t="n">
        <v>45950</v>
      </c>
      <c r="E2851" s="1" t="n">
        <v>46312</v>
      </c>
      <c r="F2851" t="inlineStr">
        <is>
          <t>SKÅNE LÄN</t>
        </is>
      </c>
      <c r="G2851" t="inlineStr">
        <is>
          <t>SVEDALA</t>
        </is>
      </c>
      <c r="I2851" t="n">
        <v>2.8</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3480-2024</t>
        </is>
      </c>
      <c r="B2852" t="inlineStr">
        <is>
          <t>avverkningsanmälan</t>
        </is>
      </c>
      <c r="C2852" t="inlineStr">
        <is>
          <t>Föryngringsavverkning</t>
        </is>
      </c>
      <c r="D2852" s="1" t="n">
        <v>45320</v>
      </c>
      <c r="E2852" s="1" t="n">
        <v>46312</v>
      </c>
      <c r="F2852" t="inlineStr">
        <is>
          <t>SKÅNE LÄN</t>
        </is>
      </c>
      <c r="G2852" t="inlineStr">
        <is>
          <t>HÄSSLEHOLM</t>
        </is>
      </c>
      <c r="I2852" t="n">
        <v>0.4</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52243-2025</t>
        </is>
      </c>
      <c r="B2853" t="inlineStr">
        <is>
          <t>avverkningsanmälan</t>
        </is>
      </c>
      <c r="C2853" t="inlineStr">
        <is>
          <t>Föryngringsavverkning</t>
        </is>
      </c>
      <c r="D2853" s="1" t="n">
        <v>45953</v>
      </c>
      <c r="E2853" s="1" t="n">
        <v>46312</v>
      </c>
      <c r="F2853" t="inlineStr">
        <is>
          <t>SKÅNE LÄN</t>
        </is>
      </c>
      <c r="G2853" t="inlineStr">
        <is>
          <t>ÖRKELLJUNGA</t>
        </is>
      </c>
      <c r="I2853" t="n">
        <v>4.6</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16373-2024</t>
        </is>
      </c>
      <c r="B2854" t="inlineStr">
        <is>
          <t>avverkningsanmälan</t>
        </is>
      </c>
      <c r="C2854" t="inlineStr">
        <is>
          <t>Föryngringsavverkning</t>
        </is>
      </c>
      <c r="D2854" s="1" t="n">
        <v>45407</v>
      </c>
      <c r="E2854" s="1" t="n">
        <v>46312</v>
      </c>
      <c r="F2854" t="inlineStr">
        <is>
          <t>SKÅNE LÄN</t>
        </is>
      </c>
      <c r="G2854" t="inlineStr">
        <is>
          <t>SJÖBO</t>
        </is>
      </c>
      <c r="I2854" t="n">
        <v>1.2</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4688-2022</t>
        </is>
      </c>
      <c r="B2855" t="inlineStr">
        <is>
          <t>avverkningsanmälan</t>
        </is>
      </c>
      <c r="C2855" t="inlineStr">
        <is>
          <t>Avverkning för annat ändamål</t>
        </is>
      </c>
      <c r="D2855" s="1" t="n">
        <v>44592</v>
      </c>
      <c r="E2855" s="1" t="n">
        <v>46312</v>
      </c>
      <c r="F2855" t="inlineStr">
        <is>
          <t>SKÅNE LÄN</t>
        </is>
      </c>
      <c r="G2855" t="inlineStr">
        <is>
          <t>PERSTORP</t>
        </is>
      </c>
      <c r="I2855" t="n">
        <v>2.3</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64060-2025</t>
        </is>
      </c>
      <c r="B2856" t="inlineStr">
        <is>
          <t>avverkningsanmälan</t>
        </is>
      </c>
      <c r="C2856" t="inlineStr">
        <is>
          <t>Föryngringsavverkning</t>
        </is>
      </c>
      <c r="D2856" s="1" t="n">
        <v>46021</v>
      </c>
      <c r="E2856" s="1" t="n">
        <v>46312</v>
      </c>
      <c r="F2856" t="inlineStr">
        <is>
          <t>SKÅNE LÄN</t>
        </is>
      </c>
      <c r="G2856" t="inlineStr">
        <is>
          <t>SVEDALA</t>
        </is>
      </c>
      <c r="I2856" t="n">
        <v>6.4</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53163-2025</t>
        </is>
      </c>
      <c r="B2857" t="inlineStr">
        <is>
          <t>avverkningsanmälan</t>
        </is>
      </c>
      <c r="C2857" t="inlineStr">
        <is>
          <t>Föryngringsavverkning</t>
        </is>
      </c>
      <c r="D2857" s="1" t="n">
        <v>45958</v>
      </c>
      <c r="E2857" s="1" t="n">
        <v>46312</v>
      </c>
      <c r="F2857" t="inlineStr">
        <is>
          <t>SKÅNE LÄN</t>
        </is>
      </c>
      <c r="G2857" t="inlineStr">
        <is>
          <t>ÖRKELLJUNGA</t>
        </is>
      </c>
      <c r="I2857" t="n">
        <v>3.7</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10742-2024</t>
        </is>
      </c>
      <c r="B2858" t="inlineStr">
        <is>
          <t>avverkningsanmälan</t>
        </is>
      </c>
      <c r="C2858" t="inlineStr">
        <is>
          <t>Föryngringsavverkning</t>
        </is>
      </c>
      <c r="D2858" s="1" t="n">
        <v>45369</v>
      </c>
      <c r="E2858" s="1" t="n">
        <v>46312</v>
      </c>
      <c r="F2858" t="inlineStr">
        <is>
          <t>SKÅNE LÄN</t>
        </is>
      </c>
      <c r="G2858" t="inlineStr">
        <is>
          <t>PERSTORP</t>
        </is>
      </c>
      <c r="I2858" t="n">
        <v>0.5</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63892-2025</t>
        </is>
      </c>
      <c r="B2859" t="inlineStr">
        <is>
          <t>avverkningsanmälan</t>
        </is>
      </c>
      <c r="C2859" t="inlineStr">
        <is>
          <t>Föryngringsavverkning</t>
        </is>
      </c>
      <c r="D2859" s="1" t="n">
        <v>46020</v>
      </c>
      <c r="E2859" s="1" t="n">
        <v>46312</v>
      </c>
      <c r="F2859" t="inlineStr">
        <is>
          <t>SKÅNE LÄN</t>
        </is>
      </c>
      <c r="G2859" t="inlineStr">
        <is>
          <t>OSBY</t>
        </is>
      </c>
      <c r="I2859" t="n">
        <v>0.5</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10802-2024</t>
        </is>
      </c>
      <c r="B2860" t="inlineStr">
        <is>
          <t>avverkningsanmälan</t>
        </is>
      </c>
      <c r="C2860" t="inlineStr">
        <is>
          <t>Föryngringsavverkning</t>
        </is>
      </c>
      <c r="D2860" s="1" t="n">
        <v>45369</v>
      </c>
      <c r="E2860" s="1" t="n">
        <v>46312</v>
      </c>
      <c r="F2860" t="inlineStr">
        <is>
          <t>SKÅNE LÄN</t>
        </is>
      </c>
      <c r="G2860" t="inlineStr">
        <is>
          <t>HÄSSLEHOLM</t>
        </is>
      </c>
      <c r="I2860" t="n">
        <v>3.4</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25711-2025</t>
        </is>
      </c>
      <c r="B2861" t="inlineStr">
        <is>
          <t>avverkningsanmälan</t>
        </is>
      </c>
      <c r="C2861" t="inlineStr">
        <is>
          <t>Föryngringsavverkning</t>
        </is>
      </c>
      <c r="D2861" s="1" t="n">
        <v>45803</v>
      </c>
      <c r="E2861" s="1" t="n">
        <v>46312</v>
      </c>
      <c r="F2861" t="inlineStr">
        <is>
          <t>SKÅNE LÄN</t>
        </is>
      </c>
      <c r="G2861" t="inlineStr">
        <is>
          <t>KRISTIANSTAD</t>
        </is>
      </c>
      <c r="I2861" t="n">
        <v>18.8</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52246-2025</t>
        </is>
      </c>
      <c r="B2862" t="inlineStr">
        <is>
          <t>avverkningsanmälan</t>
        </is>
      </c>
      <c r="C2862" t="inlineStr">
        <is>
          <t>Föryngringsavverkning</t>
        </is>
      </c>
      <c r="D2862" s="1" t="n">
        <v>45953</v>
      </c>
      <c r="E2862" s="1" t="n">
        <v>46312</v>
      </c>
      <c r="F2862" t="inlineStr">
        <is>
          <t>SKÅNE LÄN</t>
        </is>
      </c>
      <c r="G2862" t="inlineStr">
        <is>
          <t>ÖRKELLJUNGA</t>
        </is>
      </c>
      <c r="I2862" t="n">
        <v>0.8</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50553-2025</t>
        </is>
      </c>
      <c r="B2863" t="inlineStr">
        <is>
          <t>avverkningsanmälan</t>
        </is>
      </c>
      <c r="C2863" t="inlineStr">
        <is>
          <t>Föryngringsavverkning</t>
        </is>
      </c>
      <c r="D2863" s="1" t="n">
        <v>45945</v>
      </c>
      <c r="E2863" s="1" t="n">
        <v>46312</v>
      </c>
      <c r="F2863" t="inlineStr">
        <is>
          <t>SKÅNE LÄN</t>
        </is>
      </c>
      <c r="G2863" t="inlineStr">
        <is>
          <t>HÖÖR</t>
        </is>
      </c>
      <c r="I2863" t="n">
        <v>4</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16346-2024</t>
        </is>
      </c>
      <c r="B2864" t="inlineStr">
        <is>
          <t>avverkningsanmälan</t>
        </is>
      </c>
      <c r="C2864" t="inlineStr">
        <is>
          <t>Föryngringsavverkning</t>
        </is>
      </c>
      <c r="D2864" s="1" t="n">
        <v>45407</v>
      </c>
      <c r="E2864" s="1" t="n">
        <v>46312</v>
      </c>
      <c r="F2864" t="inlineStr">
        <is>
          <t>SKÅNE LÄN</t>
        </is>
      </c>
      <c r="G2864" t="inlineStr">
        <is>
          <t>SJÖBO</t>
        </is>
      </c>
      <c r="I2864" t="n">
        <v>0.6</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50781-2025</t>
        </is>
      </c>
      <c r="B2865" t="inlineStr">
        <is>
          <t>avverkningsanmälan</t>
        </is>
      </c>
      <c r="C2865" t="inlineStr">
        <is>
          <t>Föryngringsavverkning</t>
        </is>
      </c>
      <c r="D2865" s="1" t="n">
        <v>45946</v>
      </c>
      <c r="E2865" s="1" t="n">
        <v>46312</v>
      </c>
      <c r="F2865" t="inlineStr">
        <is>
          <t>SKÅNE LÄN</t>
        </is>
      </c>
      <c r="G2865" t="inlineStr">
        <is>
          <t>KLIPPAN</t>
        </is>
      </c>
      <c r="I2865" t="n">
        <v>1</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56941-2025</t>
        </is>
      </c>
      <c r="B2866" t="inlineStr">
        <is>
          <t>avverkningsanmälan</t>
        </is>
      </c>
      <c r="C2866" t="inlineStr">
        <is>
          <t>Avverkning för att bevara och utveckla /försöksver</t>
        </is>
      </c>
      <c r="D2866" s="1" t="n">
        <v>45978</v>
      </c>
      <c r="E2866" s="1" t="n">
        <v>46312</v>
      </c>
      <c r="F2866" t="inlineStr">
        <is>
          <t>SKÅNE LÄN</t>
        </is>
      </c>
      <c r="G2866" t="inlineStr">
        <is>
          <t>HÖÖR</t>
        </is>
      </c>
      <c r="I2866" t="n">
        <v>4.7</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35024-2023</t>
        </is>
      </c>
      <c r="B2867" t="inlineStr">
        <is>
          <t>avverkningsanmälan</t>
        </is>
      </c>
      <c r="C2867" t="inlineStr">
        <is>
          <t>Föryngringsavverkning</t>
        </is>
      </c>
      <c r="D2867" s="1" t="n">
        <v>45144</v>
      </c>
      <c r="E2867" s="1" t="n">
        <v>46312</v>
      </c>
      <c r="F2867" t="inlineStr">
        <is>
          <t>SKÅNE LÄN</t>
        </is>
      </c>
      <c r="G2867" t="inlineStr">
        <is>
          <t>KRISTIANSTAD</t>
        </is>
      </c>
      <c r="H2867" t="inlineStr">
        <is>
          <t>Övriga Aktiebolag</t>
        </is>
      </c>
      <c r="I2867" t="n">
        <v>3.6</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63893-2025</t>
        </is>
      </c>
      <c r="B2868" t="inlineStr">
        <is>
          <t>avverkningsanmälan</t>
        </is>
      </c>
      <c r="C2868" t="inlineStr">
        <is>
          <t>Föryngringsavverkning</t>
        </is>
      </c>
      <c r="D2868" s="1" t="n">
        <v>46020</v>
      </c>
      <c r="E2868" s="1" t="n">
        <v>46312</v>
      </c>
      <c r="F2868" t="inlineStr">
        <is>
          <t>SKÅNE LÄN</t>
        </is>
      </c>
      <c r="G2868" t="inlineStr">
        <is>
          <t>OSBY</t>
        </is>
      </c>
      <c r="I2868" t="n">
        <v>0.5</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47231-2024</t>
        </is>
      </c>
      <c r="B2869" t="inlineStr">
        <is>
          <t>avverkningsanmälan</t>
        </is>
      </c>
      <c r="C2869" t="inlineStr">
        <is>
          <t>Föryngringsavverkning</t>
        </is>
      </c>
      <c r="D2869" s="1" t="n">
        <v>45586</v>
      </c>
      <c r="E2869" s="1" t="n">
        <v>46312</v>
      </c>
      <c r="F2869" t="inlineStr">
        <is>
          <t>SKÅNE LÄN</t>
        </is>
      </c>
      <c r="G2869" t="inlineStr">
        <is>
          <t>KRISTIANSTAD</t>
        </is>
      </c>
      <c r="H2869" t="inlineStr">
        <is>
          <t>Övriga Aktiebolag</t>
        </is>
      </c>
      <c r="I2869" t="n">
        <v>2.1</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3-2026</t>
        </is>
      </c>
      <c r="B2870" t="inlineStr">
        <is>
          <t>avverkningsanmälan</t>
        </is>
      </c>
      <c r="C2870" t="inlineStr">
        <is>
          <t>Föryngringsavverkning</t>
        </is>
      </c>
      <c r="D2870" s="1" t="n">
        <v>46023</v>
      </c>
      <c r="E2870" s="1" t="n">
        <v>46312</v>
      </c>
      <c r="F2870" t="inlineStr">
        <is>
          <t>SKÅNE LÄN</t>
        </is>
      </c>
      <c r="G2870" t="inlineStr">
        <is>
          <t>HÖÖR</t>
        </is>
      </c>
      <c r="I2870" t="n">
        <v>1.5</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11-2026</t>
        </is>
      </c>
      <c r="B2871" t="inlineStr">
        <is>
          <t>avverkningsanmälan</t>
        </is>
      </c>
      <c r="C2871" t="inlineStr">
        <is>
          <t>Föryngringsavverkning</t>
        </is>
      </c>
      <c r="D2871" s="1" t="n">
        <v>46023</v>
      </c>
      <c r="E2871" s="1" t="n">
        <v>46312</v>
      </c>
      <c r="F2871" t="inlineStr">
        <is>
          <t>SKÅNE LÄN</t>
        </is>
      </c>
      <c r="G2871" t="inlineStr">
        <is>
          <t>HÖÖR</t>
        </is>
      </c>
      <c r="I2871" t="n">
        <v>0.7</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43401-2024</t>
        </is>
      </c>
      <c r="B2872" t="inlineStr">
        <is>
          <t>avverkningsanmälan</t>
        </is>
      </c>
      <c r="C2872" t="inlineStr">
        <is>
          <t>Föryngringsavverkning</t>
        </is>
      </c>
      <c r="D2872" s="1" t="n">
        <v>45568</v>
      </c>
      <c r="E2872" s="1" t="n">
        <v>46312</v>
      </c>
      <c r="F2872" t="inlineStr">
        <is>
          <t>SKÅNE LÄN</t>
        </is>
      </c>
      <c r="G2872" t="inlineStr">
        <is>
          <t>ÖSTRA GÖINGE</t>
        </is>
      </c>
      <c r="I2872" t="n">
        <v>2.5</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7306-2023</t>
        </is>
      </c>
      <c r="B2873" t="inlineStr">
        <is>
          <t>avverkningsanmälan</t>
        </is>
      </c>
      <c r="C2873" t="inlineStr">
        <is>
          <t>Avverkning för annat ändamål</t>
        </is>
      </c>
      <c r="D2873" s="1" t="n">
        <v>44970</v>
      </c>
      <c r="E2873" s="1" t="n">
        <v>46312</v>
      </c>
      <c r="F2873" t="inlineStr">
        <is>
          <t>SKÅNE LÄN</t>
        </is>
      </c>
      <c r="G2873" t="inlineStr">
        <is>
          <t>HÖÖR</t>
        </is>
      </c>
      <c r="I2873" t="n">
        <v>3.2</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51232-2025</t>
        </is>
      </c>
      <c r="B2874" t="inlineStr">
        <is>
          <t>avverkningsanmälan</t>
        </is>
      </c>
      <c r="C2874" t="inlineStr">
        <is>
          <t>Föryngringsavverkning</t>
        </is>
      </c>
      <c r="D2874" s="1" t="n">
        <v>45947</v>
      </c>
      <c r="E2874" s="1" t="n">
        <v>46312</v>
      </c>
      <c r="F2874" t="inlineStr">
        <is>
          <t>SKÅNE LÄN</t>
        </is>
      </c>
      <c r="G2874" t="inlineStr">
        <is>
          <t>HÖÖR</t>
        </is>
      </c>
      <c r="I2874" t="n">
        <v>0.6</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34688-2024</t>
        </is>
      </c>
      <c r="B2875" t="inlineStr">
        <is>
          <t>avverkningsanmälan</t>
        </is>
      </c>
      <c r="C2875" t="inlineStr">
        <is>
          <t>Föryngringsavverkning</t>
        </is>
      </c>
      <c r="D2875" s="1" t="n">
        <v>45526</v>
      </c>
      <c r="E2875" s="1" t="n">
        <v>46312</v>
      </c>
      <c r="F2875" t="inlineStr">
        <is>
          <t>SKÅNE LÄN</t>
        </is>
      </c>
      <c r="G2875" t="inlineStr">
        <is>
          <t>KRISTIANSTAD</t>
        </is>
      </c>
      <c r="I2875" t="n">
        <v>0.5</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317-2026</t>
        </is>
      </c>
      <c r="B2876" t="inlineStr">
        <is>
          <t>avverkningsanmälan</t>
        </is>
      </c>
      <c r="C2876" t="inlineStr">
        <is>
          <t>Föryngringsavverkning</t>
        </is>
      </c>
      <c r="D2876" s="1" t="n">
        <v>46027</v>
      </c>
      <c r="E2876" s="1" t="n">
        <v>46312</v>
      </c>
      <c r="F2876" t="inlineStr">
        <is>
          <t>SKÅNE LÄN</t>
        </is>
      </c>
      <c r="G2876" t="inlineStr">
        <is>
          <t>KLIPPAN</t>
        </is>
      </c>
      <c r="I2876" t="n">
        <v>0.6</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10695-2023</t>
        </is>
      </c>
      <c r="B2877" t="inlineStr">
        <is>
          <t>avverkningsanmälan</t>
        </is>
      </c>
      <c r="C2877" t="inlineStr">
        <is>
          <t>Föryngringsavverkning</t>
        </is>
      </c>
      <c r="D2877" s="1" t="n">
        <v>44988</v>
      </c>
      <c r="E2877" s="1" t="n">
        <v>46312</v>
      </c>
      <c r="F2877" t="inlineStr">
        <is>
          <t>SKÅNE LÄN</t>
        </is>
      </c>
      <c r="G2877" t="inlineStr">
        <is>
          <t>KLIPPAN</t>
        </is>
      </c>
      <c r="I2877" t="n">
        <v>2</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60913-2023</t>
        </is>
      </c>
      <c r="B2878" t="inlineStr">
        <is>
          <t>avverkningsanmälan</t>
        </is>
      </c>
      <c r="C2878" t="inlineStr">
        <is>
          <t>Föryngringsavverkning</t>
        </is>
      </c>
      <c r="D2878" s="1" t="n">
        <v>45261</v>
      </c>
      <c r="E2878" s="1" t="n">
        <v>46312</v>
      </c>
      <c r="F2878" t="inlineStr">
        <is>
          <t>SKÅNE LÄN</t>
        </is>
      </c>
      <c r="G2878" t="inlineStr">
        <is>
          <t>HÖRBY</t>
        </is>
      </c>
      <c r="I2878" t="n">
        <v>0.7</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47870-2025</t>
        </is>
      </c>
      <c r="B2879" t="inlineStr">
        <is>
          <t>avverkningsanmälan</t>
        </is>
      </c>
      <c r="C2879" t="inlineStr">
        <is>
          <t>Föryngringsavverkning</t>
        </is>
      </c>
      <c r="D2879" s="1" t="n">
        <v>45932</v>
      </c>
      <c r="E2879" s="1" t="n">
        <v>46312</v>
      </c>
      <c r="F2879" t="inlineStr">
        <is>
          <t>SKÅNE LÄN</t>
        </is>
      </c>
      <c r="G2879" t="inlineStr">
        <is>
          <t>ESLÖV</t>
        </is>
      </c>
      <c r="I2879" t="n">
        <v>6.8</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42614-2025</t>
        </is>
      </c>
      <c r="B2880" t="inlineStr">
        <is>
          <t>avverkningsanmälan</t>
        </is>
      </c>
      <c r="C2880" t="inlineStr">
        <is>
          <t>Föryngringsavverkning</t>
        </is>
      </c>
      <c r="D2880" s="1" t="n">
        <v>45905</v>
      </c>
      <c r="E2880" s="1" t="n">
        <v>46312</v>
      </c>
      <c r="F2880" t="inlineStr">
        <is>
          <t>SKÅNE LÄN</t>
        </is>
      </c>
      <c r="G2880" t="inlineStr">
        <is>
          <t>OSBY</t>
        </is>
      </c>
      <c r="H2880" t="inlineStr">
        <is>
          <t>Kyrkan</t>
        </is>
      </c>
      <c r="I2880" t="n">
        <v>4</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25144-2026</t>
        </is>
      </c>
      <c r="B2881" t="inlineStr">
        <is>
          <t>avverkningsanmälan</t>
        </is>
      </c>
      <c r="C2881" t="inlineStr">
        <is>
          <t>Föryngringsavverkning</t>
        </is>
      </c>
      <c r="D2881" s="1" t="n">
        <v>46175</v>
      </c>
      <c r="E2881" s="1" t="n">
        <v>46312</v>
      </c>
      <c r="F2881" t="inlineStr">
        <is>
          <t>SKÅNE LÄN</t>
        </is>
      </c>
      <c r="G2881" t="inlineStr">
        <is>
          <t>HÄSSLEHOLM</t>
        </is>
      </c>
      <c r="I2881" t="n">
        <v>4</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12068-2023</t>
        </is>
      </c>
      <c r="B2882" t="inlineStr">
        <is>
          <t>avverkningsanmälan</t>
        </is>
      </c>
      <c r="C2882" t="inlineStr">
        <is>
          <t>Föryngringsavverkning</t>
        </is>
      </c>
      <c r="D2882" s="1" t="n">
        <v>44997</v>
      </c>
      <c r="E2882" s="1" t="n">
        <v>46312</v>
      </c>
      <c r="F2882" t="inlineStr">
        <is>
          <t>SKÅNE LÄN</t>
        </is>
      </c>
      <c r="G2882" t="inlineStr">
        <is>
          <t>OSBY</t>
        </is>
      </c>
      <c r="I2882" t="n">
        <v>0.6</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61024-2023</t>
        </is>
      </c>
      <c r="B2883" t="inlineStr">
        <is>
          <t>avverkningsanmälan</t>
        </is>
      </c>
      <c r="C2883" t="inlineStr">
        <is>
          <t>Föryngringsavverkning</t>
        </is>
      </c>
      <c r="D2883" s="1" t="n">
        <v>45259</v>
      </c>
      <c r="E2883" s="1" t="n">
        <v>46312</v>
      </c>
      <c r="F2883" t="inlineStr">
        <is>
          <t>SKÅNE LÄN</t>
        </is>
      </c>
      <c r="G2883" t="inlineStr">
        <is>
          <t>OSBY</t>
        </is>
      </c>
      <c r="I2883" t="n">
        <v>6.8</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520-2026</t>
        </is>
      </c>
      <c r="B2884" t="inlineStr">
        <is>
          <t>avverkningsanmälan</t>
        </is>
      </c>
      <c r="C2884" t="inlineStr">
        <is>
          <t>Föryngringsavverkning</t>
        </is>
      </c>
      <c r="D2884" s="1" t="n">
        <v>46029</v>
      </c>
      <c r="E2884" s="1" t="n">
        <v>46312</v>
      </c>
      <c r="F2884" t="inlineStr">
        <is>
          <t>SKÅNE LÄN</t>
        </is>
      </c>
      <c r="G2884" t="inlineStr">
        <is>
          <t>ÖSTRA GÖINGE</t>
        </is>
      </c>
      <c r="I2884" t="n">
        <v>0.3</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691-2026</t>
        </is>
      </c>
      <c r="B2885" t="inlineStr">
        <is>
          <t>avverkningsanmälan</t>
        </is>
      </c>
      <c r="C2885" t="inlineStr">
        <is>
          <t>Föryngringsavverkning</t>
        </is>
      </c>
      <c r="D2885" s="1" t="n">
        <v>46029</v>
      </c>
      <c r="E2885" s="1" t="n">
        <v>46312</v>
      </c>
      <c r="F2885" t="inlineStr">
        <is>
          <t>SKÅNE LÄN</t>
        </is>
      </c>
      <c r="G2885" t="inlineStr">
        <is>
          <t>OSBY</t>
        </is>
      </c>
      <c r="I2885" t="n">
        <v>2.3</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695-2026</t>
        </is>
      </c>
      <c r="B2886" t="inlineStr">
        <is>
          <t>avverkningsanmälan</t>
        </is>
      </c>
      <c r="C2886" t="inlineStr">
        <is>
          <t>Föryngringsavverkning</t>
        </is>
      </c>
      <c r="D2886" s="1" t="n">
        <v>46029</v>
      </c>
      <c r="E2886" s="1" t="n">
        <v>46312</v>
      </c>
      <c r="F2886" t="inlineStr">
        <is>
          <t>SKÅNE LÄN</t>
        </is>
      </c>
      <c r="G2886" t="inlineStr">
        <is>
          <t>ÖSTRA GÖINGE</t>
        </is>
      </c>
      <c r="I2886" t="n">
        <v>2.7</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260-2024</t>
        </is>
      </c>
      <c r="B2887" t="inlineStr">
        <is>
          <t>avverkningsanmälan</t>
        </is>
      </c>
      <c r="C2887" t="inlineStr">
        <is>
          <t>Föryngringsavverkning</t>
        </is>
      </c>
      <c r="D2887" s="1" t="n">
        <v>45294</v>
      </c>
      <c r="E2887" s="1" t="n">
        <v>46312</v>
      </c>
      <c r="F2887" t="inlineStr">
        <is>
          <t>SKÅNE LÄN</t>
        </is>
      </c>
      <c r="G2887" t="inlineStr">
        <is>
          <t>HÄSSLEHOLM</t>
        </is>
      </c>
      <c r="I2887" t="n">
        <v>1</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44073-2024</t>
        </is>
      </c>
      <c r="B2888" t="inlineStr">
        <is>
          <t>avverkningsanmälan</t>
        </is>
      </c>
      <c r="C2888" t="inlineStr">
        <is>
          <t>Föryngringsavverkning</t>
        </is>
      </c>
      <c r="D2888" s="1" t="n">
        <v>45572</v>
      </c>
      <c r="E2888" s="1" t="n">
        <v>46312</v>
      </c>
      <c r="F2888" t="inlineStr">
        <is>
          <t>SKÅNE LÄN</t>
        </is>
      </c>
      <c r="G2888" t="inlineStr">
        <is>
          <t>HÖRBY</t>
        </is>
      </c>
      <c r="I2888" t="n">
        <v>1</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1104-2026</t>
        </is>
      </c>
      <c r="B2889" t="inlineStr">
        <is>
          <t>avverkningsanmälan</t>
        </is>
      </c>
      <c r="C2889" t="inlineStr">
        <is>
          <t>Föryngringsavverkning</t>
        </is>
      </c>
      <c r="D2889" s="1" t="n">
        <v>46029</v>
      </c>
      <c r="E2889" s="1" t="n">
        <v>46312</v>
      </c>
      <c r="F2889" t="inlineStr">
        <is>
          <t>SKÅNE LÄN</t>
        </is>
      </c>
      <c r="G2889" t="inlineStr">
        <is>
          <t>ÖSTRA GÖINGE</t>
        </is>
      </c>
      <c r="I2889" t="n">
        <v>2.9</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746-2026</t>
        </is>
      </c>
      <c r="B2890" t="inlineStr">
        <is>
          <t>avverkningsanmälan</t>
        </is>
      </c>
      <c r="C2890" t="inlineStr">
        <is>
          <t>Föryngringsavverkning</t>
        </is>
      </c>
      <c r="D2890" s="1" t="n">
        <v>46029</v>
      </c>
      <c r="E2890" s="1" t="n">
        <v>46312</v>
      </c>
      <c r="F2890" t="inlineStr">
        <is>
          <t>SKÅNE LÄN</t>
        </is>
      </c>
      <c r="G2890" t="inlineStr">
        <is>
          <t>SJÖBO</t>
        </is>
      </c>
      <c r="H2890" t="inlineStr">
        <is>
          <t>Sveaskog</t>
        </is>
      </c>
      <c r="I2890" t="n">
        <v>6.6</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749-2026</t>
        </is>
      </c>
      <c r="B2891" t="inlineStr">
        <is>
          <t>avverkningsanmälan</t>
        </is>
      </c>
      <c r="C2891" t="inlineStr">
        <is>
          <t>Föryngringsavverkning</t>
        </is>
      </c>
      <c r="D2891" s="1" t="n">
        <v>46029</v>
      </c>
      <c r="E2891" s="1" t="n">
        <v>46312</v>
      </c>
      <c r="F2891" t="inlineStr">
        <is>
          <t>SKÅNE LÄN</t>
        </is>
      </c>
      <c r="G2891" t="inlineStr">
        <is>
          <t>SJÖBO</t>
        </is>
      </c>
      <c r="H2891" t="inlineStr">
        <is>
          <t>Sveaskog</t>
        </is>
      </c>
      <c r="I2891" t="n">
        <v>0.5</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529-2026</t>
        </is>
      </c>
      <c r="B2892" t="inlineStr">
        <is>
          <t>avverkningsanmälan</t>
        </is>
      </c>
      <c r="C2892" t="inlineStr">
        <is>
          <t>Föryngringsavverkning</t>
        </is>
      </c>
      <c r="D2892" s="1" t="n">
        <v>46029</v>
      </c>
      <c r="E2892" s="1" t="n">
        <v>46312</v>
      </c>
      <c r="F2892" t="inlineStr">
        <is>
          <t>SKÅNE LÄN</t>
        </is>
      </c>
      <c r="G2892" t="inlineStr">
        <is>
          <t>ÖSTRA GÖINGE</t>
        </is>
      </c>
      <c r="I2892" t="n">
        <v>0.9</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18345-2022</t>
        </is>
      </c>
      <c r="B2893" t="inlineStr">
        <is>
          <t>avverkningsanmälan</t>
        </is>
      </c>
      <c r="C2893" t="inlineStr">
        <is>
          <t>Föryngringsavverkning</t>
        </is>
      </c>
      <c r="D2893" s="1" t="n">
        <v>44685</v>
      </c>
      <c r="E2893" s="1" t="n">
        <v>46312</v>
      </c>
      <c r="F2893" t="inlineStr">
        <is>
          <t>SKÅNE LÄN</t>
        </is>
      </c>
      <c r="G2893" t="inlineStr">
        <is>
          <t>HÖÖR</t>
        </is>
      </c>
      <c r="H2893" t="inlineStr">
        <is>
          <t>Sveaskog</t>
        </is>
      </c>
      <c r="I2893" t="n">
        <v>1.5</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554-2026</t>
        </is>
      </c>
      <c r="B2894" t="inlineStr">
        <is>
          <t>avverkningsanmälan</t>
        </is>
      </c>
      <c r="C2894" t="inlineStr">
        <is>
          <t>Föryngringsavverkning</t>
        </is>
      </c>
      <c r="D2894" s="1" t="n">
        <v>46029</v>
      </c>
      <c r="E2894" s="1" t="n">
        <v>46312</v>
      </c>
      <c r="F2894" t="inlineStr">
        <is>
          <t>SKÅNE LÄN</t>
        </is>
      </c>
      <c r="G2894" t="inlineStr">
        <is>
          <t>HÖRBY</t>
        </is>
      </c>
      <c r="I2894" t="n">
        <v>0.8</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28496-2023</t>
        </is>
      </c>
      <c r="B2895" t="inlineStr">
        <is>
          <t>avverkningsanmälan</t>
        </is>
      </c>
      <c r="C2895" t="inlineStr">
        <is>
          <t>Föryngringsavverkning</t>
        </is>
      </c>
      <c r="D2895" s="1" t="n">
        <v>45103</v>
      </c>
      <c r="E2895" s="1" t="n">
        <v>46312</v>
      </c>
      <c r="F2895" t="inlineStr">
        <is>
          <t>SKÅNE LÄN</t>
        </is>
      </c>
      <c r="G2895" t="inlineStr">
        <is>
          <t>ÄNGELHOLM</t>
        </is>
      </c>
      <c r="I2895" t="n">
        <v>1.8</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40780-2022</t>
        </is>
      </c>
      <c r="B2896" t="inlineStr">
        <is>
          <t>avverkningsanmälan</t>
        </is>
      </c>
      <c r="C2896" t="inlineStr">
        <is>
          <t>Föryngringsavverkning</t>
        </is>
      </c>
      <c r="D2896" s="1" t="n">
        <v>44820</v>
      </c>
      <c r="E2896" s="1" t="n">
        <v>46312</v>
      </c>
      <c r="F2896" t="inlineStr">
        <is>
          <t>SKÅNE LÄN</t>
        </is>
      </c>
      <c r="G2896" t="inlineStr">
        <is>
          <t>HÄSSLEHOLM</t>
        </is>
      </c>
      <c r="I2896" t="n">
        <v>7.4</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506-2026</t>
        </is>
      </c>
      <c r="B2897" t="inlineStr">
        <is>
          <t>avverkningsanmälan</t>
        </is>
      </c>
      <c r="C2897" t="inlineStr">
        <is>
          <t>Föryngringsavverkning</t>
        </is>
      </c>
      <c r="D2897" s="1" t="n">
        <v>46029</v>
      </c>
      <c r="E2897" s="1" t="n">
        <v>46312</v>
      </c>
      <c r="F2897" t="inlineStr">
        <is>
          <t>SKÅNE LÄN</t>
        </is>
      </c>
      <c r="G2897" t="inlineStr">
        <is>
          <t>ÖSTRA GÖINGE</t>
        </is>
      </c>
      <c r="I2897" t="n">
        <v>0.3</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41548-2022</t>
        </is>
      </c>
      <c r="B2898" t="inlineStr">
        <is>
          <t>avverkningsanmälan</t>
        </is>
      </c>
      <c r="C2898" t="inlineStr">
        <is>
          <t>Föryngringsavverkning</t>
        </is>
      </c>
      <c r="D2898" s="1" t="n">
        <v>44826</v>
      </c>
      <c r="E2898" s="1" t="n">
        <v>46312</v>
      </c>
      <c r="F2898" t="inlineStr">
        <is>
          <t>SKÅNE LÄN</t>
        </is>
      </c>
      <c r="G2898" t="inlineStr">
        <is>
          <t>ÖSTRA GÖINGE</t>
        </is>
      </c>
      <c r="I2898" t="n">
        <v>0.7</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546-2026</t>
        </is>
      </c>
      <c r="B2899" t="inlineStr">
        <is>
          <t>avverkningsanmälan</t>
        </is>
      </c>
      <c r="C2899" t="inlineStr">
        <is>
          <t>Föryngringsavverkning</t>
        </is>
      </c>
      <c r="D2899" s="1" t="n">
        <v>46029</v>
      </c>
      <c r="E2899" s="1" t="n">
        <v>46312</v>
      </c>
      <c r="F2899" t="inlineStr">
        <is>
          <t>SKÅNE LÄN</t>
        </is>
      </c>
      <c r="G2899" t="inlineStr">
        <is>
          <t>OSBY</t>
        </is>
      </c>
      <c r="I2899" t="n">
        <v>1.4</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1358-2026</t>
        </is>
      </c>
      <c r="B2900" t="inlineStr">
        <is>
          <t>avverkningsanmälan</t>
        </is>
      </c>
      <c r="C2900" t="inlineStr">
        <is>
          <t>Föryngringsavverkning</t>
        </is>
      </c>
      <c r="D2900" s="1" t="n">
        <v>46031</v>
      </c>
      <c r="E2900" s="1" t="n">
        <v>46312</v>
      </c>
      <c r="F2900" t="inlineStr">
        <is>
          <t>SKÅNE LÄN</t>
        </is>
      </c>
      <c r="G2900" t="inlineStr">
        <is>
          <t>KRISTIANSTAD</t>
        </is>
      </c>
      <c r="I2900" t="n">
        <v>6.5</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855-2026</t>
        </is>
      </c>
      <c r="B2901" t="inlineStr">
        <is>
          <t>avverkningsanmälan</t>
        </is>
      </c>
      <c r="C2901" t="inlineStr">
        <is>
          <t>Föryngringsavverkning</t>
        </is>
      </c>
      <c r="D2901" s="1" t="n">
        <v>46030</v>
      </c>
      <c r="E2901" s="1" t="n">
        <v>46312</v>
      </c>
      <c r="F2901" t="inlineStr">
        <is>
          <t>SKÅNE LÄN</t>
        </is>
      </c>
      <c r="G2901" t="inlineStr">
        <is>
          <t>ÖSTRA GÖINGE</t>
        </is>
      </c>
      <c r="I2901" t="n">
        <v>3</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47656-2023</t>
        </is>
      </c>
      <c r="B2902" t="inlineStr">
        <is>
          <t>avverkningsanmälan</t>
        </is>
      </c>
      <c r="C2902" t="inlineStr">
        <is>
          <t>Föryngringsavverkning</t>
        </is>
      </c>
      <c r="D2902" s="1" t="n">
        <v>45203</v>
      </c>
      <c r="E2902" s="1" t="n">
        <v>46312</v>
      </c>
      <c r="F2902" t="inlineStr">
        <is>
          <t>SKÅNE LÄN</t>
        </is>
      </c>
      <c r="G2902" t="inlineStr">
        <is>
          <t>SJÖBO</t>
        </is>
      </c>
      <c r="I2902" t="n">
        <v>0.8</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25385-2023</t>
        </is>
      </c>
      <c r="B2903" t="inlineStr">
        <is>
          <t>avverkningsanmälan</t>
        </is>
      </c>
      <c r="C2903" t="inlineStr">
        <is>
          <t>Föryngringsavverkning</t>
        </is>
      </c>
      <c r="D2903" s="1" t="n">
        <v>45089</v>
      </c>
      <c r="E2903" s="1" t="n">
        <v>46312</v>
      </c>
      <c r="F2903" t="inlineStr">
        <is>
          <t>SKÅNE LÄN</t>
        </is>
      </c>
      <c r="G2903" t="inlineStr">
        <is>
          <t>ESLÖV</t>
        </is>
      </c>
      <c r="I2903" t="n">
        <v>0.7</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853-2026</t>
        </is>
      </c>
      <c r="B2904" t="inlineStr">
        <is>
          <t>avverkningsanmälan</t>
        </is>
      </c>
      <c r="C2904" t="inlineStr">
        <is>
          <t>Föryngringsavverkning</t>
        </is>
      </c>
      <c r="D2904" s="1" t="n">
        <v>46030</v>
      </c>
      <c r="E2904" s="1" t="n">
        <v>46312</v>
      </c>
      <c r="F2904" t="inlineStr">
        <is>
          <t>SKÅNE LÄN</t>
        </is>
      </c>
      <c r="G2904" t="inlineStr">
        <is>
          <t>ÖSTRA GÖINGE</t>
        </is>
      </c>
      <c r="I2904" t="n">
        <v>0.6</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36211-2024</t>
        </is>
      </c>
      <c r="B2905" t="inlineStr">
        <is>
          <t>avverkningsanmälan</t>
        </is>
      </c>
      <c r="C2905" t="inlineStr">
        <is>
          <t>Föryngringsavverkning</t>
        </is>
      </c>
      <c r="D2905" s="1" t="n">
        <v>45534</v>
      </c>
      <c r="E2905" s="1" t="n">
        <v>46312</v>
      </c>
      <c r="F2905" t="inlineStr">
        <is>
          <t>SKÅNE LÄN</t>
        </is>
      </c>
      <c r="G2905" t="inlineStr">
        <is>
          <t>HÖÖR</t>
        </is>
      </c>
      <c r="I2905" t="n">
        <v>7.6</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1225-2026</t>
        </is>
      </c>
      <c r="B2906" t="inlineStr">
        <is>
          <t>avverkningsanmälan</t>
        </is>
      </c>
      <c r="C2906" t="inlineStr">
        <is>
          <t>Föryngringsavverkning</t>
        </is>
      </c>
      <c r="D2906" s="1" t="n">
        <v>46031</v>
      </c>
      <c r="E2906" s="1" t="n">
        <v>46312</v>
      </c>
      <c r="F2906" t="inlineStr">
        <is>
          <t>SKÅNE LÄN</t>
        </is>
      </c>
      <c r="G2906" t="inlineStr">
        <is>
          <t>ÖRKELLJUNGA</t>
        </is>
      </c>
      <c r="I2906" t="n">
        <v>5.6</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1299-2024</t>
        </is>
      </c>
      <c r="B2907" t="inlineStr">
        <is>
          <t>avverkningsanmälan</t>
        </is>
      </c>
      <c r="C2907" t="inlineStr">
        <is>
          <t>Föryngringsavverkning</t>
        </is>
      </c>
      <c r="D2907" s="1" t="n">
        <v>45303</v>
      </c>
      <c r="E2907" s="1" t="n">
        <v>46312</v>
      </c>
      <c r="F2907" t="inlineStr">
        <is>
          <t>SKÅNE LÄN</t>
        </is>
      </c>
      <c r="G2907" t="inlineStr">
        <is>
          <t>ÄNGELHOLM</t>
        </is>
      </c>
      <c r="I2907" t="n">
        <v>0.5</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19435-2024</t>
        </is>
      </c>
      <c r="B2908" t="inlineStr">
        <is>
          <t>avverkningsanmälan</t>
        </is>
      </c>
      <c r="C2908" t="inlineStr">
        <is>
          <t>Föryngringsavverkning</t>
        </is>
      </c>
      <c r="D2908" s="1" t="n">
        <v>45429</v>
      </c>
      <c r="E2908" s="1" t="n">
        <v>46312</v>
      </c>
      <c r="F2908" t="inlineStr">
        <is>
          <t>SKÅNE LÄN</t>
        </is>
      </c>
      <c r="G2908" t="inlineStr">
        <is>
          <t>SIMRISHAMN</t>
        </is>
      </c>
      <c r="I2908" t="n">
        <v>3.7</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826-2026</t>
        </is>
      </c>
      <c r="B2909" t="inlineStr">
        <is>
          <t>avverkningsanmälan</t>
        </is>
      </c>
      <c r="C2909" t="inlineStr">
        <is>
          <t>Föryngringsavverkning</t>
        </is>
      </c>
      <c r="D2909" s="1" t="n">
        <v>46030</v>
      </c>
      <c r="E2909" s="1" t="n">
        <v>46312</v>
      </c>
      <c r="F2909" t="inlineStr">
        <is>
          <t>SKÅNE LÄN</t>
        </is>
      </c>
      <c r="G2909" t="inlineStr">
        <is>
          <t>HÖRBY</t>
        </is>
      </c>
      <c r="H2909" t="inlineStr">
        <is>
          <t>Sveaskog</t>
        </is>
      </c>
      <c r="I2909" t="n">
        <v>0.3</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829-2026</t>
        </is>
      </c>
      <c r="B2910" t="inlineStr">
        <is>
          <t>avverkningsanmälan</t>
        </is>
      </c>
      <c r="C2910" t="inlineStr">
        <is>
          <t>Föryngringsavverkning</t>
        </is>
      </c>
      <c r="D2910" s="1" t="n">
        <v>46030</v>
      </c>
      <c r="E2910" s="1" t="n">
        <v>46312</v>
      </c>
      <c r="F2910" t="inlineStr">
        <is>
          <t>SKÅNE LÄN</t>
        </is>
      </c>
      <c r="G2910" t="inlineStr">
        <is>
          <t>HÖRBY</t>
        </is>
      </c>
      <c r="H2910" t="inlineStr">
        <is>
          <t>Sveaskog</t>
        </is>
      </c>
      <c r="I2910" t="n">
        <v>6.9</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11941-2025</t>
        </is>
      </c>
      <c r="B2911" t="inlineStr">
        <is>
          <t>avverkningsanmälan</t>
        </is>
      </c>
      <c r="C2911" t="inlineStr">
        <is>
          <t>Föryngringsavverkning</t>
        </is>
      </c>
      <c r="D2911" s="1" t="n">
        <v>45728</v>
      </c>
      <c r="E2911" s="1" t="n">
        <v>46312</v>
      </c>
      <c r="F2911" t="inlineStr">
        <is>
          <t>SKÅNE LÄN</t>
        </is>
      </c>
      <c r="G2911" t="inlineStr">
        <is>
          <t>HÖRBY</t>
        </is>
      </c>
      <c r="I2911" t="n">
        <v>0.6</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843-2026</t>
        </is>
      </c>
      <c r="B2912" t="inlineStr">
        <is>
          <t>avverkningsanmälan</t>
        </is>
      </c>
      <c r="C2912" t="inlineStr">
        <is>
          <t>Föryngringsavverkning</t>
        </is>
      </c>
      <c r="D2912" s="1" t="n">
        <v>46030</v>
      </c>
      <c r="E2912" s="1" t="n">
        <v>46312</v>
      </c>
      <c r="F2912" t="inlineStr">
        <is>
          <t>SKÅNE LÄN</t>
        </is>
      </c>
      <c r="G2912" t="inlineStr">
        <is>
          <t>ÖSTRA GÖINGE</t>
        </is>
      </c>
      <c r="H2912" t="inlineStr">
        <is>
          <t>Sveaskog</t>
        </is>
      </c>
      <c r="I2912" t="n">
        <v>1.9</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31970-2023</t>
        </is>
      </c>
      <c r="B2913" t="inlineStr">
        <is>
          <t>avverkningsanmälan</t>
        </is>
      </c>
      <c r="C2913" t="inlineStr">
        <is>
          <t>Föryngringsavverkning</t>
        </is>
      </c>
      <c r="D2913" s="1" t="n">
        <v>45119</v>
      </c>
      <c r="E2913" s="1" t="n">
        <v>46312</v>
      </c>
      <c r="F2913" t="inlineStr">
        <is>
          <t>SKÅNE LÄN</t>
        </is>
      </c>
      <c r="G2913" t="inlineStr">
        <is>
          <t>OSBY</t>
        </is>
      </c>
      <c r="I2913" t="n">
        <v>1.1</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31993-2023</t>
        </is>
      </c>
      <c r="B2914" t="inlineStr">
        <is>
          <t>avverkningsanmälan</t>
        </is>
      </c>
      <c r="C2914" t="inlineStr">
        <is>
          <t>Föryngringsavverkning</t>
        </is>
      </c>
      <c r="D2914" s="1" t="n">
        <v>45119</v>
      </c>
      <c r="E2914" s="1" t="n">
        <v>46312</v>
      </c>
      <c r="F2914" t="inlineStr">
        <is>
          <t>SKÅNE LÄN</t>
        </is>
      </c>
      <c r="G2914" t="inlineStr">
        <is>
          <t>TOMELILLA</t>
        </is>
      </c>
      <c r="I2914" t="n">
        <v>6.8</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821-2026</t>
        </is>
      </c>
      <c r="B2915" t="inlineStr">
        <is>
          <t>avverkningsanmälan</t>
        </is>
      </c>
      <c r="C2915" t="inlineStr">
        <is>
          <t>Föryngringsavverkning</t>
        </is>
      </c>
      <c r="D2915" s="1" t="n">
        <v>46030</v>
      </c>
      <c r="E2915" s="1" t="n">
        <v>46312</v>
      </c>
      <c r="F2915" t="inlineStr">
        <is>
          <t>SKÅNE LÄN</t>
        </is>
      </c>
      <c r="G2915" t="inlineStr">
        <is>
          <t>HÖRBY</t>
        </is>
      </c>
      <c r="H2915" t="inlineStr">
        <is>
          <t>Sveaskog</t>
        </is>
      </c>
      <c r="I2915" t="n">
        <v>4.3</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5316-2023</t>
        </is>
      </c>
      <c r="B2916" t="inlineStr">
        <is>
          <t>avverkningsanmälan</t>
        </is>
      </c>
      <c r="C2916" t="inlineStr">
        <is>
          <t>Föryngringsavverkning</t>
        </is>
      </c>
      <c r="D2916" s="1" t="n">
        <v>44959</v>
      </c>
      <c r="E2916" s="1" t="n">
        <v>46312</v>
      </c>
      <c r="F2916" t="inlineStr">
        <is>
          <t>SKÅNE LÄN</t>
        </is>
      </c>
      <c r="G2916" t="inlineStr">
        <is>
          <t>HÄSSLEHOLM</t>
        </is>
      </c>
      <c r="I2916" t="n">
        <v>2.1</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54557-2023</t>
        </is>
      </c>
      <c r="B2917" t="inlineStr">
        <is>
          <t>avverkningsanmälan</t>
        </is>
      </c>
      <c r="C2917" t="inlineStr">
        <is>
          <t>Föryngringsavverkning</t>
        </is>
      </c>
      <c r="D2917" s="1" t="n">
        <v>45233</v>
      </c>
      <c r="E2917" s="1" t="n">
        <v>46312</v>
      </c>
      <c r="F2917" t="inlineStr">
        <is>
          <t>SKÅNE LÄN</t>
        </is>
      </c>
      <c r="G2917" t="inlineStr">
        <is>
          <t>BJUV</t>
        </is>
      </c>
      <c r="I2917" t="n">
        <v>3.8</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8455-2025</t>
        </is>
      </c>
      <c r="B2918" t="inlineStr">
        <is>
          <t>avverkningsanmälan</t>
        </is>
      </c>
      <c r="C2918" t="inlineStr">
        <is>
          <t>Avverkning för annat ändamål</t>
        </is>
      </c>
      <c r="D2918" s="1" t="n">
        <v>45709</v>
      </c>
      <c r="E2918" s="1" t="n">
        <v>46312</v>
      </c>
      <c r="F2918" t="inlineStr">
        <is>
          <t>SKÅNE LÄN</t>
        </is>
      </c>
      <c r="G2918" t="inlineStr">
        <is>
          <t>KRISTIANSTAD</t>
        </is>
      </c>
      <c r="I2918" t="n">
        <v>1.7</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60803-2023</t>
        </is>
      </c>
      <c r="B2919" t="inlineStr">
        <is>
          <t>avverkningsanmälan</t>
        </is>
      </c>
      <c r="C2919" t="inlineStr">
        <is>
          <t>Föryngringsavverkning</t>
        </is>
      </c>
      <c r="D2919" s="1" t="n">
        <v>45260</v>
      </c>
      <c r="E2919" s="1" t="n">
        <v>46312</v>
      </c>
      <c r="F2919" t="inlineStr">
        <is>
          <t>SKÅNE LÄN</t>
        </is>
      </c>
      <c r="G2919" t="inlineStr">
        <is>
          <t>YSTAD</t>
        </is>
      </c>
      <c r="I2919" t="n">
        <v>1.6</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63548-2025</t>
        </is>
      </c>
      <c r="B2920" t="inlineStr">
        <is>
          <t>avverkningsanmälan</t>
        </is>
      </c>
      <c r="C2920" t="inlineStr">
        <is>
          <t>Föryngringsavverkning</t>
        </is>
      </c>
      <c r="D2920" s="1" t="n">
        <v>46013</v>
      </c>
      <c r="E2920" s="1" t="n">
        <v>46312</v>
      </c>
      <c r="F2920" t="inlineStr">
        <is>
          <t>SKÅNE LÄN</t>
        </is>
      </c>
      <c r="G2920" t="inlineStr">
        <is>
          <t>BJUV</t>
        </is>
      </c>
      <c r="I2920" t="n">
        <v>0.9</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34793-2023</t>
        </is>
      </c>
      <c r="B2921" t="inlineStr">
        <is>
          <t>avverkningsanmälan</t>
        </is>
      </c>
      <c r="C2921" t="inlineStr">
        <is>
          <t>Föryngringsavverkning</t>
        </is>
      </c>
      <c r="D2921" s="1" t="n">
        <v>45141</v>
      </c>
      <c r="E2921" s="1" t="n">
        <v>46312</v>
      </c>
      <c r="F2921" t="inlineStr">
        <is>
          <t>SKÅNE LÄN</t>
        </is>
      </c>
      <c r="G2921" t="inlineStr">
        <is>
          <t>ÖSTRA GÖINGE</t>
        </is>
      </c>
      <c r="I2921" t="n">
        <v>0.8</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11067-2022</t>
        </is>
      </c>
      <c r="B2922" t="inlineStr">
        <is>
          <t>avverkningsanmälan</t>
        </is>
      </c>
      <c r="C2922" t="inlineStr">
        <is>
          <t>Föryngringsavverkning</t>
        </is>
      </c>
      <c r="D2922" s="1" t="n">
        <v>44628</v>
      </c>
      <c r="E2922" s="1" t="n">
        <v>46312</v>
      </c>
      <c r="F2922" t="inlineStr">
        <is>
          <t>SKÅNE LÄN</t>
        </is>
      </c>
      <c r="G2922" t="inlineStr">
        <is>
          <t>KRISTIANSTAD</t>
        </is>
      </c>
      <c r="I2922" t="n">
        <v>4.1</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8204-2023</t>
        </is>
      </c>
      <c r="B2923" t="inlineStr">
        <is>
          <t>avverkningsanmälan</t>
        </is>
      </c>
      <c r="C2923" t="inlineStr">
        <is>
          <t>Föryngringsavverkning</t>
        </is>
      </c>
      <c r="D2923" s="1" t="n">
        <v>44971</v>
      </c>
      <c r="E2923" s="1" t="n">
        <v>46312</v>
      </c>
      <c r="F2923" t="inlineStr">
        <is>
          <t>SKÅNE LÄN</t>
        </is>
      </c>
      <c r="G2923" t="inlineStr">
        <is>
          <t>ÖRKELLJUNGA</t>
        </is>
      </c>
      <c r="I2923" t="n">
        <v>1</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10177-2026</t>
        </is>
      </c>
      <c r="B2924" t="inlineStr">
        <is>
          <t>avverkningsanmälan</t>
        </is>
      </c>
      <c r="C2924" t="inlineStr">
        <is>
          <t>Föryngringsavverkning</t>
        </is>
      </c>
      <c r="D2924" s="1" t="n">
        <v>46076</v>
      </c>
      <c r="E2924" s="1" t="n">
        <v>46312</v>
      </c>
      <c r="F2924" t="inlineStr">
        <is>
          <t>SKÅNE LÄN</t>
        </is>
      </c>
      <c r="G2924" t="inlineStr">
        <is>
          <t>ÖSTRA GÖINGE</t>
        </is>
      </c>
      <c r="I2924" t="n">
        <v>1.6</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48582-2023</t>
        </is>
      </c>
      <c r="B2925" t="inlineStr">
        <is>
          <t>avverkningsanmälan</t>
        </is>
      </c>
      <c r="C2925" t="inlineStr">
        <is>
          <t>Föryngringsavverkning</t>
        </is>
      </c>
      <c r="D2925" s="1" t="n">
        <v>45208</v>
      </c>
      <c r="E2925" s="1" t="n">
        <v>46312</v>
      </c>
      <c r="F2925" t="inlineStr">
        <is>
          <t>SKÅNE LÄN</t>
        </is>
      </c>
      <c r="G2925" t="inlineStr">
        <is>
          <t>OSBY</t>
        </is>
      </c>
      <c r="I2925" t="n">
        <v>0.9</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1651-2026</t>
        </is>
      </c>
      <c r="B2926" t="inlineStr">
        <is>
          <t>avverkningsanmälan</t>
        </is>
      </c>
      <c r="C2926" t="inlineStr">
        <is>
          <t>Föryngringsavverkning</t>
        </is>
      </c>
      <c r="D2926" s="1" t="n">
        <v>46034</v>
      </c>
      <c r="E2926" s="1" t="n">
        <v>46312</v>
      </c>
      <c r="F2926" t="inlineStr">
        <is>
          <t>SKÅNE LÄN</t>
        </is>
      </c>
      <c r="G2926" t="inlineStr">
        <is>
          <t>ÖSTRA GÖINGE</t>
        </is>
      </c>
      <c r="I2926" t="n">
        <v>0.8</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25145-2026</t>
        </is>
      </c>
      <c r="B2927" t="inlineStr">
        <is>
          <t>avverkningsanmälan</t>
        </is>
      </c>
      <c r="C2927" t="inlineStr">
        <is>
          <t>Föryngringsavverkning</t>
        </is>
      </c>
      <c r="D2927" s="1" t="n">
        <v>46175</v>
      </c>
      <c r="E2927" s="1" t="n">
        <v>46312</v>
      </c>
      <c r="F2927" t="inlineStr">
        <is>
          <t>SKÅNE LÄN</t>
        </is>
      </c>
      <c r="G2927" t="inlineStr">
        <is>
          <t>HÄSSLEHOLM</t>
        </is>
      </c>
      <c r="I2927" t="n">
        <v>5.1</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8807-2025</t>
        </is>
      </c>
      <c r="B2928" t="inlineStr">
        <is>
          <t>avverkningsanmälan</t>
        </is>
      </c>
      <c r="C2928" t="inlineStr">
        <is>
          <t>Föryngringsavverkning</t>
        </is>
      </c>
      <c r="D2928" s="1" t="n">
        <v>45712</v>
      </c>
      <c r="E2928" s="1" t="n">
        <v>46312</v>
      </c>
      <c r="F2928" t="inlineStr">
        <is>
          <t>SKÅNE LÄN</t>
        </is>
      </c>
      <c r="G2928" t="inlineStr">
        <is>
          <t>KRISTIANSTAD</t>
        </is>
      </c>
      <c r="I2928" t="n">
        <v>7.1</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12248-2024</t>
        </is>
      </c>
      <c r="B2929" t="inlineStr">
        <is>
          <t>avverkningsanmälan</t>
        </is>
      </c>
      <c r="C2929" t="inlineStr">
        <is>
          <t>Föryngringsavverkning</t>
        </is>
      </c>
      <c r="D2929" s="1" t="n">
        <v>45377</v>
      </c>
      <c r="E2929" s="1" t="n">
        <v>46312</v>
      </c>
      <c r="F2929" t="inlineStr">
        <is>
          <t>SKÅNE LÄN</t>
        </is>
      </c>
      <c r="G2929" t="inlineStr">
        <is>
          <t>OSBY</t>
        </is>
      </c>
      <c r="H2929" t="inlineStr">
        <is>
          <t>Kommuner</t>
        </is>
      </c>
      <c r="I2929" t="n">
        <v>7.3</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1645-2026</t>
        </is>
      </c>
      <c r="B2930" t="inlineStr">
        <is>
          <t>avverkningsanmälan</t>
        </is>
      </c>
      <c r="C2930" t="inlineStr">
        <is>
          <t>Föryngringsavverkning</t>
        </is>
      </c>
      <c r="D2930" s="1" t="n">
        <v>46034</v>
      </c>
      <c r="E2930" s="1" t="n">
        <v>46312</v>
      </c>
      <c r="F2930" t="inlineStr">
        <is>
          <t>SKÅNE LÄN</t>
        </is>
      </c>
      <c r="G2930" t="inlineStr">
        <is>
          <t>HÄSSLEHOLM</t>
        </is>
      </c>
      <c r="I2930" t="n">
        <v>1.2</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11121-2025</t>
        </is>
      </c>
      <c r="B2931" t="inlineStr">
        <is>
          <t>avverkningsanmälan</t>
        </is>
      </c>
      <c r="C2931" t="inlineStr">
        <is>
          <t>Föryngringsavverkning</t>
        </is>
      </c>
      <c r="D2931" s="1" t="n">
        <v>45723</v>
      </c>
      <c r="E2931" s="1" t="n">
        <v>46312</v>
      </c>
      <c r="F2931" t="inlineStr">
        <is>
          <t>SKÅNE LÄN</t>
        </is>
      </c>
      <c r="G2931" t="inlineStr">
        <is>
          <t>ÖRKELLJUNGA</t>
        </is>
      </c>
      <c r="I2931" t="n">
        <v>0.2</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3830-2022</t>
        </is>
      </c>
      <c r="B2932" t="inlineStr">
        <is>
          <t>avverkningsanmälan</t>
        </is>
      </c>
      <c r="C2932" t="inlineStr">
        <is>
          <t>Föryngringsavverkning</t>
        </is>
      </c>
      <c r="D2932" s="1" t="n">
        <v>44587</v>
      </c>
      <c r="E2932" s="1" t="n">
        <v>46312</v>
      </c>
      <c r="F2932" t="inlineStr">
        <is>
          <t>SKÅNE LÄN</t>
        </is>
      </c>
      <c r="G2932" t="inlineStr">
        <is>
          <t>ÖRKELLJUNGA</t>
        </is>
      </c>
      <c r="I2932" t="n">
        <v>4</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1889-2026</t>
        </is>
      </c>
      <c r="B2933" t="inlineStr">
        <is>
          <t>avverkningsanmälan</t>
        </is>
      </c>
      <c r="C2933" t="inlineStr">
        <is>
          <t>Föryngringsavverkning</t>
        </is>
      </c>
      <c r="D2933" s="1" t="n">
        <v>46035</v>
      </c>
      <c r="E2933" s="1" t="n">
        <v>46312</v>
      </c>
      <c r="F2933" t="inlineStr">
        <is>
          <t>SKÅNE LÄN</t>
        </is>
      </c>
      <c r="G2933" t="inlineStr">
        <is>
          <t>KRISTIANSTAD</t>
        </is>
      </c>
      <c r="I2933" t="n">
        <v>1.4</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25086-2026</t>
        </is>
      </c>
      <c r="B2934" t="inlineStr">
        <is>
          <t>avverkningsanmälan</t>
        </is>
      </c>
      <c r="C2934" t="inlineStr">
        <is>
          <t>Föryngringsavverkning</t>
        </is>
      </c>
      <c r="D2934" s="1" t="n">
        <v>46175</v>
      </c>
      <c r="E2934" s="1" t="n">
        <v>46312</v>
      </c>
      <c r="F2934" t="inlineStr">
        <is>
          <t>SKÅNE LÄN</t>
        </is>
      </c>
      <c r="G2934" t="inlineStr">
        <is>
          <t>HÄSSLEHOLM</t>
        </is>
      </c>
      <c r="I2934" t="n">
        <v>4</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15277-2024</t>
        </is>
      </c>
      <c r="B2935" t="inlineStr">
        <is>
          <t>avverkningsanmälan</t>
        </is>
      </c>
      <c r="C2935" t="inlineStr">
        <is>
          <t>Avverkning för annat ändamål</t>
        </is>
      </c>
      <c r="D2935" s="1" t="n">
        <v>45400</v>
      </c>
      <c r="E2935" s="1" t="n">
        <v>46312</v>
      </c>
      <c r="F2935" t="inlineStr">
        <is>
          <t>SKÅNE LÄN</t>
        </is>
      </c>
      <c r="G2935" t="inlineStr">
        <is>
          <t>SVEDALA</t>
        </is>
      </c>
      <c r="I2935" t="n">
        <v>1.3</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1659-2026</t>
        </is>
      </c>
      <c r="B2936" t="inlineStr">
        <is>
          <t>avverkningsanmälan</t>
        </is>
      </c>
      <c r="C2936" t="inlineStr">
        <is>
          <t>Föryngringsavverkning</t>
        </is>
      </c>
      <c r="D2936" s="1" t="n">
        <v>46034</v>
      </c>
      <c r="E2936" s="1" t="n">
        <v>46312</v>
      </c>
      <c r="F2936" t="inlineStr">
        <is>
          <t>SKÅNE LÄN</t>
        </is>
      </c>
      <c r="G2936" t="inlineStr">
        <is>
          <t>HÄSSLEHOLM</t>
        </is>
      </c>
      <c r="I2936" t="n">
        <v>1</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43891-2022</t>
        </is>
      </c>
      <c r="B2937" t="inlineStr">
        <is>
          <t>avverkningsanmälan</t>
        </is>
      </c>
      <c r="C2937" t="inlineStr">
        <is>
          <t>Föryngringsavverkning</t>
        </is>
      </c>
      <c r="D2937" s="1" t="n">
        <v>44838</v>
      </c>
      <c r="E2937" s="1" t="n">
        <v>46312</v>
      </c>
      <c r="F2937" t="inlineStr">
        <is>
          <t>SKÅNE LÄN</t>
        </is>
      </c>
      <c r="G2937" t="inlineStr">
        <is>
          <t>HÖÖR</t>
        </is>
      </c>
      <c r="I2937" t="n">
        <v>3.5</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45983-2023</t>
        </is>
      </c>
      <c r="B2938" t="inlineStr">
        <is>
          <t>avverkningsanmälan</t>
        </is>
      </c>
      <c r="C2938" t="inlineStr">
        <is>
          <t>Föryngringsavverkning</t>
        </is>
      </c>
      <c r="D2938" s="1" t="n">
        <v>45196</v>
      </c>
      <c r="E2938" s="1" t="n">
        <v>46312</v>
      </c>
      <c r="F2938" t="inlineStr">
        <is>
          <t>SKÅNE LÄN</t>
        </is>
      </c>
      <c r="G2938" t="inlineStr">
        <is>
          <t>SKURUP</t>
        </is>
      </c>
      <c r="I2938" t="n">
        <v>0.6</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1634-2026</t>
        </is>
      </c>
      <c r="B2939" t="inlineStr">
        <is>
          <t>avverkningsanmälan</t>
        </is>
      </c>
      <c r="C2939" t="inlineStr">
        <is>
          <t>Föryngringsavverkning</t>
        </is>
      </c>
      <c r="D2939" s="1" t="n">
        <v>46034</v>
      </c>
      <c r="E2939" s="1" t="n">
        <v>46312</v>
      </c>
      <c r="F2939" t="inlineStr">
        <is>
          <t>SKÅNE LÄN</t>
        </is>
      </c>
      <c r="G2939" t="inlineStr">
        <is>
          <t>OSBY</t>
        </is>
      </c>
      <c r="I2939" t="n">
        <v>0.9</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25141-2026</t>
        </is>
      </c>
      <c r="B2940" t="inlineStr">
        <is>
          <t>avverkningsanmälan</t>
        </is>
      </c>
      <c r="C2940" t="inlineStr">
        <is>
          <t>Föryngringsavverkning</t>
        </is>
      </c>
      <c r="D2940" s="1" t="n">
        <v>46175</v>
      </c>
      <c r="E2940" s="1" t="n">
        <v>46312</v>
      </c>
      <c r="F2940" t="inlineStr">
        <is>
          <t>SKÅNE LÄN</t>
        </is>
      </c>
      <c r="G2940" t="inlineStr">
        <is>
          <t>HÄSSLEHOLM</t>
        </is>
      </c>
      <c r="I2940" t="n">
        <v>5</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64884-2023</t>
        </is>
      </c>
      <c r="B2941" t="inlineStr">
        <is>
          <t>avverkningsanmälan</t>
        </is>
      </c>
      <c r="C2941" t="inlineStr">
        <is>
          <t>Föryngringsavverkning</t>
        </is>
      </c>
      <c r="D2941" s="1" t="n">
        <v>45282</v>
      </c>
      <c r="E2941" s="1" t="n">
        <v>46312</v>
      </c>
      <c r="F2941" t="inlineStr">
        <is>
          <t>SKÅNE LÄN</t>
        </is>
      </c>
      <c r="G2941" t="inlineStr">
        <is>
          <t>HÄSSLEHOLM</t>
        </is>
      </c>
      <c r="I2941" t="n">
        <v>4.6</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3782-2024</t>
        </is>
      </c>
      <c r="B2942" t="inlineStr">
        <is>
          <t>avverkningsanmälan</t>
        </is>
      </c>
      <c r="C2942" t="inlineStr">
        <is>
          <t>Föryngringsavverkning</t>
        </is>
      </c>
      <c r="D2942" s="1" t="n">
        <v>45321</v>
      </c>
      <c r="E2942" s="1" t="n">
        <v>46312</v>
      </c>
      <c r="F2942" t="inlineStr">
        <is>
          <t>SKÅNE LÄN</t>
        </is>
      </c>
      <c r="G2942" t="inlineStr">
        <is>
          <t>ÖSTRA GÖINGE</t>
        </is>
      </c>
      <c r="I2942" t="n">
        <v>0.5</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1640-2026</t>
        </is>
      </c>
      <c r="B2943" t="inlineStr">
        <is>
          <t>avverkningsanmälan</t>
        </is>
      </c>
      <c r="C2943" t="inlineStr">
        <is>
          <t>Föryngringsavverkning</t>
        </is>
      </c>
      <c r="D2943" s="1" t="n">
        <v>46034</v>
      </c>
      <c r="E2943" s="1" t="n">
        <v>46312</v>
      </c>
      <c r="F2943" t="inlineStr">
        <is>
          <t>SKÅNE LÄN</t>
        </is>
      </c>
      <c r="G2943" t="inlineStr">
        <is>
          <t>HÄSSLEHOLM</t>
        </is>
      </c>
      <c r="I2943" t="n">
        <v>1.7</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25389-2026</t>
        </is>
      </c>
      <c r="B2944" t="inlineStr">
        <is>
          <t>avverkningsanmälan</t>
        </is>
      </c>
      <c r="C2944" t="inlineStr">
        <is>
          <t>Föryngringsavverkning</t>
        </is>
      </c>
      <c r="D2944" s="1" t="n">
        <v>46176</v>
      </c>
      <c r="E2944" s="1" t="n">
        <v>46312</v>
      </c>
      <c r="F2944" t="inlineStr">
        <is>
          <t>SKÅNE LÄN</t>
        </is>
      </c>
      <c r="G2944" t="inlineStr">
        <is>
          <t>ÖSTRA GÖINGE</t>
        </is>
      </c>
      <c r="I2944" t="n">
        <v>2.6</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25397-2026</t>
        </is>
      </c>
      <c r="B2945" t="inlineStr">
        <is>
          <t>avverkningsanmälan</t>
        </is>
      </c>
      <c r="C2945" t="inlineStr">
        <is>
          <t>Föryngringsavverkning</t>
        </is>
      </c>
      <c r="D2945" s="1" t="n">
        <v>46176</v>
      </c>
      <c r="E2945" s="1" t="n">
        <v>46312</v>
      </c>
      <c r="F2945" t="inlineStr">
        <is>
          <t>SKÅNE LÄN</t>
        </is>
      </c>
      <c r="G2945" t="inlineStr">
        <is>
          <t>OSBY</t>
        </is>
      </c>
      <c r="I2945" t="n">
        <v>4.5</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1656-2026</t>
        </is>
      </c>
      <c r="B2946" t="inlineStr">
        <is>
          <t>avverkningsanmälan</t>
        </is>
      </c>
      <c r="C2946" t="inlineStr">
        <is>
          <t>Föryngringsavverkning</t>
        </is>
      </c>
      <c r="D2946" s="1" t="n">
        <v>46034</v>
      </c>
      <c r="E2946" s="1" t="n">
        <v>46312</v>
      </c>
      <c r="F2946" t="inlineStr">
        <is>
          <t>SKÅNE LÄN</t>
        </is>
      </c>
      <c r="G2946" t="inlineStr">
        <is>
          <t>HÄSSLEHOLM</t>
        </is>
      </c>
      <c r="I2946" t="n">
        <v>1.7</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25417-2026</t>
        </is>
      </c>
      <c r="B2947" t="inlineStr">
        <is>
          <t>avverkningsanmälan</t>
        </is>
      </c>
      <c r="C2947" t="inlineStr">
        <is>
          <t>Föryngringsavverkning</t>
        </is>
      </c>
      <c r="D2947" s="1" t="n">
        <v>46176</v>
      </c>
      <c r="E2947" s="1" t="n">
        <v>46312</v>
      </c>
      <c r="F2947" t="inlineStr">
        <is>
          <t>SKÅNE LÄN</t>
        </is>
      </c>
      <c r="G2947" t="inlineStr">
        <is>
          <t>HÄSSLEHOLM</t>
        </is>
      </c>
      <c r="I2947" t="n">
        <v>0.7</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25149-2026</t>
        </is>
      </c>
      <c r="B2948" t="inlineStr">
        <is>
          <t>avverkningsanmälan</t>
        </is>
      </c>
      <c r="C2948" t="inlineStr">
        <is>
          <t>Avverkning för annat ändamål</t>
        </is>
      </c>
      <c r="D2948" s="1" t="n">
        <v>46175</v>
      </c>
      <c r="E2948" s="1" t="n">
        <v>46312</v>
      </c>
      <c r="F2948" t="inlineStr">
        <is>
          <t>SKÅNE LÄN</t>
        </is>
      </c>
      <c r="G2948" t="inlineStr">
        <is>
          <t>OSBY</t>
        </is>
      </c>
      <c r="I2948" t="n">
        <v>0.5</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1538-2026</t>
        </is>
      </c>
      <c r="B2949" t="inlineStr">
        <is>
          <t>avverkningsanmälan</t>
        </is>
      </c>
      <c r="C2949" t="inlineStr">
        <is>
          <t>Föryngringsavverkning</t>
        </is>
      </c>
      <c r="D2949" s="1" t="n">
        <v>46034</v>
      </c>
      <c r="E2949" s="1" t="n">
        <v>46312</v>
      </c>
      <c r="F2949" t="inlineStr">
        <is>
          <t>SKÅNE LÄN</t>
        </is>
      </c>
      <c r="G2949" t="inlineStr">
        <is>
          <t>PERSTORP</t>
        </is>
      </c>
      <c r="I2949" t="n">
        <v>1.6</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1989-2026</t>
        </is>
      </c>
      <c r="B2950" t="inlineStr">
        <is>
          <t>avverkningsanmälan</t>
        </is>
      </c>
      <c r="C2950" t="inlineStr">
        <is>
          <t>Föryngringsavverkning</t>
        </is>
      </c>
      <c r="D2950" s="1" t="n">
        <v>46035</v>
      </c>
      <c r="E2950" s="1" t="n">
        <v>46312</v>
      </c>
      <c r="F2950" t="inlineStr">
        <is>
          <t>SKÅNE LÄN</t>
        </is>
      </c>
      <c r="G2950" t="inlineStr">
        <is>
          <t>HÖRBY</t>
        </is>
      </c>
      <c r="I2950" t="n">
        <v>2.5</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24992-2026</t>
        </is>
      </c>
      <c r="B2951" t="inlineStr">
        <is>
          <t>avverkningsanmälan</t>
        </is>
      </c>
      <c r="C2951" t="inlineStr">
        <is>
          <t>Föryngringsavverkning</t>
        </is>
      </c>
      <c r="D2951" s="1" t="n">
        <v>46174</v>
      </c>
      <c r="E2951" s="1" t="n">
        <v>46312</v>
      </c>
      <c r="F2951" t="inlineStr">
        <is>
          <t>SKÅNE LÄN</t>
        </is>
      </c>
      <c r="G2951" t="inlineStr">
        <is>
          <t>HÄSSLEHOLM</t>
        </is>
      </c>
      <c r="I2951" t="n">
        <v>10.4</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25388-2026</t>
        </is>
      </c>
      <c r="B2952" t="inlineStr">
        <is>
          <t>avverkningsanmälan</t>
        </is>
      </c>
      <c r="C2952" t="inlineStr">
        <is>
          <t>Föryngringsavverkning</t>
        </is>
      </c>
      <c r="D2952" s="1" t="n">
        <v>46176</v>
      </c>
      <c r="E2952" s="1" t="n">
        <v>46312</v>
      </c>
      <c r="F2952" t="inlineStr">
        <is>
          <t>SKÅNE LÄN</t>
        </is>
      </c>
      <c r="G2952" t="inlineStr">
        <is>
          <t>HÄSSLEHOLM</t>
        </is>
      </c>
      <c r="I2952" t="n">
        <v>0.5</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25418-2026</t>
        </is>
      </c>
      <c r="B2953" t="inlineStr">
        <is>
          <t>avverkningsanmälan</t>
        </is>
      </c>
      <c r="C2953" t="inlineStr">
        <is>
          <t>Föryngringsavverkning</t>
        </is>
      </c>
      <c r="D2953" s="1" t="n">
        <v>46176</v>
      </c>
      <c r="E2953" s="1" t="n">
        <v>46312</v>
      </c>
      <c r="F2953" t="inlineStr">
        <is>
          <t>SKÅNE LÄN</t>
        </is>
      </c>
      <c r="G2953" t="inlineStr">
        <is>
          <t>HÄSSLEHOLM</t>
        </is>
      </c>
      <c r="I2953" t="n">
        <v>1</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2617-2026</t>
        </is>
      </c>
      <c r="B2954" t="inlineStr">
        <is>
          <t>avverkningsanmälan</t>
        </is>
      </c>
      <c r="C2954" t="inlineStr">
        <is>
          <t>Föryngringsavverkning</t>
        </is>
      </c>
      <c r="D2954" s="1" t="n">
        <v>46035</v>
      </c>
      <c r="E2954" s="1" t="n">
        <v>46312</v>
      </c>
      <c r="F2954" t="inlineStr">
        <is>
          <t>SKÅNE LÄN</t>
        </is>
      </c>
      <c r="G2954" t="inlineStr">
        <is>
          <t>HÄSSLEHOLM</t>
        </is>
      </c>
      <c r="H2954" t="inlineStr">
        <is>
          <t>Kyrkan</t>
        </is>
      </c>
      <c r="I2954" t="n">
        <v>5.5</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25392-2026</t>
        </is>
      </c>
      <c r="B2955" t="inlineStr">
        <is>
          <t>avverkningsanmälan</t>
        </is>
      </c>
      <c r="C2955" t="inlineStr">
        <is>
          <t>Föryngringsavverkning</t>
        </is>
      </c>
      <c r="D2955" s="1" t="n">
        <v>46176</v>
      </c>
      <c r="E2955" s="1" t="n">
        <v>46312</v>
      </c>
      <c r="F2955" t="inlineStr">
        <is>
          <t>SKÅNE LÄN</t>
        </is>
      </c>
      <c r="G2955" t="inlineStr">
        <is>
          <t>OSBY</t>
        </is>
      </c>
      <c r="I2955" t="n">
        <v>1</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25674-2026</t>
        </is>
      </c>
      <c r="B2956" t="inlineStr">
        <is>
          <t>avverkningsanmälan</t>
        </is>
      </c>
      <c r="C2956" t="inlineStr">
        <is>
          <t>Föryngringsavverkning</t>
        </is>
      </c>
      <c r="D2956" s="1" t="n">
        <v>46178</v>
      </c>
      <c r="E2956" s="1" t="n">
        <v>46312</v>
      </c>
      <c r="F2956" t="inlineStr">
        <is>
          <t>SKÅNE LÄN</t>
        </is>
      </c>
      <c r="G2956" t="inlineStr">
        <is>
          <t>ÖRKELLJUNGA</t>
        </is>
      </c>
      <c r="I2956" t="n">
        <v>1.8</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2537-2026</t>
        </is>
      </c>
      <c r="B2957" t="inlineStr">
        <is>
          <t>avverkningsanmälan</t>
        </is>
      </c>
      <c r="C2957" t="inlineStr">
        <is>
          <t>Föryngringsavverkning</t>
        </is>
      </c>
      <c r="D2957" s="1" t="n">
        <v>46037</v>
      </c>
      <c r="E2957" s="1" t="n">
        <v>46312</v>
      </c>
      <c r="F2957" t="inlineStr">
        <is>
          <t>SKÅNE LÄN</t>
        </is>
      </c>
      <c r="G2957" t="inlineStr">
        <is>
          <t>ÖRKELLJUNGA</t>
        </is>
      </c>
      <c r="I2957" t="n">
        <v>2.9</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25699-2026</t>
        </is>
      </c>
      <c r="B2958" t="inlineStr">
        <is>
          <t>avverkningsanmälan</t>
        </is>
      </c>
      <c r="C2958" t="inlineStr">
        <is>
          <t>Föryngringsavverkning</t>
        </is>
      </c>
      <c r="D2958" s="1" t="n">
        <v>46178</v>
      </c>
      <c r="E2958" s="1" t="n">
        <v>46312</v>
      </c>
      <c r="F2958" t="inlineStr">
        <is>
          <t>SKÅNE LÄN</t>
        </is>
      </c>
      <c r="G2958" t="inlineStr">
        <is>
          <t>ÖRKELLJUNGA</t>
        </is>
      </c>
      <c r="I2958" t="n">
        <v>1.1</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24002-2026</t>
        </is>
      </c>
      <c r="B2959" t="inlineStr">
        <is>
          <t>avverkningsanmälan</t>
        </is>
      </c>
      <c r="C2959" t="inlineStr">
        <is>
          <t>Avverkning för annat ändamål</t>
        </is>
      </c>
      <c r="D2959" s="1" t="n">
        <v>46167</v>
      </c>
      <c r="E2959" s="1" t="n">
        <v>46312</v>
      </c>
      <c r="F2959" t="inlineStr">
        <is>
          <t>SKÅNE LÄN</t>
        </is>
      </c>
      <c r="G2959" t="inlineStr">
        <is>
          <t>TOMELILLA</t>
        </is>
      </c>
      <c r="I2959" t="n">
        <v>6.4</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25423-2026</t>
        </is>
      </c>
      <c r="B2960" t="inlineStr">
        <is>
          <t>avverkningsanmälan</t>
        </is>
      </c>
      <c r="C2960" t="inlineStr">
        <is>
          <t>Föryngringsavverkning</t>
        </is>
      </c>
      <c r="D2960" s="1" t="n">
        <v>46177</v>
      </c>
      <c r="E2960" s="1" t="n">
        <v>46312</v>
      </c>
      <c r="F2960" t="inlineStr">
        <is>
          <t>SKÅNE LÄN</t>
        </is>
      </c>
      <c r="G2960" t="inlineStr">
        <is>
          <t>KLIPPAN</t>
        </is>
      </c>
      <c r="I2960" t="n">
        <v>3.6</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25424-2026</t>
        </is>
      </c>
      <c r="B2961" t="inlineStr">
        <is>
          <t>avverkningsanmälan</t>
        </is>
      </c>
      <c r="C2961" t="inlineStr">
        <is>
          <t>Föryngringsavverkning</t>
        </is>
      </c>
      <c r="D2961" s="1" t="n">
        <v>46177</v>
      </c>
      <c r="E2961" s="1" t="n">
        <v>46312</v>
      </c>
      <c r="F2961" t="inlineStr">
        <is>
          <t>SKÅNE LÄN</t>
        </is>
      </c>
      <c r="G2961" t="inlineStr">
        <is>
          <t>KLIPPAN</t>
        </is>
      </c>
      <c r="I2961" t="n">
        <v>0.5</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25677-2026</t>
        </is>
      </c>
      <c r="B2962" t="inlineStr">
        <is>
          <t>avverkningsanmälan</t>
        </is>
      </c>
      <c r="C2962" t="inlineStr">
        <is>
          <t>Föryngringsavverkning</t>
        </is>
      </c>
      <c r="D2962" s="1" t="n">
        <v>46178</v>
      </c>
      <c r="E2962" s="1" t="n">
        <v>46312</v>
      </c>
      <c r="F2962" t="inlineStr">
        <is>
          <t>SKÅNE LÄN</t>
        </is>
      </c>
      <c r="G2962" t="inlineStr">
        <is>
          <t>OSBY</t>
        </is>
      </c>
      <c r="I2962" t="n">
        <v>3.1</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2345-2026</t>
        </is>
      </c>
      <c r="B2963" t="inlineStr">
        <is>
          <t>avverkningsanmälan</t>
        </is>
      </c>
      <c r="C2963" t="inlineStr">
        <is>
          <t>Föryngringsavverkning</t>
        </is>
      </c>
      <c r="D2963" s="1" t="n">
        <v>46036</v>
      </c>
      <c r="E2963" s="1" t="n">
        <v>46312</v>
      </c>
      <c r="F2963" t="inlineStr">
        <is>
          <t>SKÅNE LÄN</t>
        </is>
      </c>
      <c r="G2963" t="inlineStr">
        <is>
          <t>KRISTIANSTAD</t>
        </is>
      </c>
      <c r="I2963" t="n">
        <v>0.7</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25935-2026</t>
        </is>
      </c>
      <c r="B2964" t="inlineStr">
        <is>
          <t>avverkningsanmälan</t>
        </is>
      </c>
      <c r="C2964" t="inlineStr">
        <is>
          <t>Föryngringsavverkning</t>
        </is>
      </c>
      <c r="D2964" s="1" t="n">
        <v>46180</v>
      </c>
      <c r="E2964" s="1" t="n">
        <v>46312</v>
      </c>
      <c r="F2964" t="inlineStr">
        <is>
          <t>SKÅNE LÄN</t>
        </is>
      </c>
      <c r="G2964" t="inlineStr">
        <is>
          <t>OSBY</t>
        </is>
      </c>
      <c r="H2964" t="inlineStr">
        <is>
          <t>Sveaskog</t>
        </is>
      </c>
      <c r="I2964" t="n">
        <v>2.6</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25936-2026</t>
        </is>
      </c>
      <c r="B2965" t="inlineStr">
        <is>
          <t>avverkningsanmälan</t>
        </is>
      </c>
      <c r="C2965" t="inlineStr">
        <is>
          <t>Föryngringsavverkning</t>
        </is>
      </c>
      <c r="D2965" s="1" t="n">
        <v>46180</v>
      </c>
      <c r="E2965" s="1" t="n">
        <v>46312</v>
      </c>
      <c r="F2965" t="inlineStr">
        <is>
          <t>SKÅNE LÄN</t>
        </is>
      </c>
      <c r="G2965" t="inlineStr">
        <is>
          <t>OSBY</t>
        </is>
      </c>
      <c r="H2965" t="inlineStr">
        <is>
          <t>Sveaskog</t>
        </is>
      </c>
      <c r="I2965" t="n">
        <v>2.3</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2666-2026</t>
        </is>
      </c>
      <c r="B2966" t="inlineStr">
        <is>
          <t>avverkningsanmälan</t>
        </is>
      </c>
      <c r="C2966" t="inlineStr">
        <is>
          <t>Föryngringsavverkning</t>
        </is>
      </c>
      <c r="D2966" s="1" t="n">
        <v>46037</v>
      </c>
      <c r="E2966" s="1" t="n">
        <v>46312</v>
      </c>
      <c r="F2966" t="inlineStr">
        <is>
          <t>SKÅNE LÄN</t>
        </is>
      </c>
      <c r="G2966" t="inlineStr">
        <is>
          <t>OSBY</t>
        </is>
      </c>
      <c r="I2966" t="n">
        <v>1.7</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25772-2026</t>
        </is>
      </c>
      <c r="B2967" t="inlineStr">
        <is>
          <t>avverkningsanmälan</t>
        </is>
      </c>
      <c r="C2967" t="inlineStr">
        <is>
          <t>Föryngringsavverkning</t>
        </is>
      </c>
      <c r="D2967" s="1" t="n">
        <v>46178</v>
      </c>
      <c r="E2967" s="1" t="n">
        <v>46312</v>
      </c>
      <c r="F2967" t="inlineStr">
        <is>
          <t>SKÅNE LÄN</t>
        </is>
      </c>
      <c r="G2967" t="inlineStr">
        <is>
          <t>ÖRKELLJUNGA</t>
        </is>
      </c>
      <c r="I2967" t="n">
        <v>2.5</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25778-2026</t>
        </is>
      </c>
      <c r="B2968" t="inlineStr">
        <is>
          <t>avverkningsanmälan</t>
        </is>
      </c>
      <c r="C2968" t="inlineStr">
        <is>
          <t>Föryngringsavverkning</t>
        </is>
      </c>
      <c r="D2968" s="1" t="n">
        <v>46178</v>
      </c>
      <c r="E2968" s="1" t="n">
        <v>46312</v>
      </c>
      <c r="F2968" t="inlineStr">
        <is>
          <t>SKÅNE LÄN</t>
        </is>
      </c>
      <c r="G2968" t="inlineStr">
        <is>
          <t>ÖRKELLJUNGA</t>
        </is>
      </c>
      <c r="I2968" t="n">
        <v>1.8</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25789-2026</t>
        </is>
      </c>
      <c r="B2969" t="inlineStr">
        <is>
          <t>avverkningsanmälan</t>
        </is>
      </c>
      <c r="C2969" t="inlineStr">
        <is>
          <t>Föryngringsavverkning</t>
        </is>
      </c>
      <c r="D2969" s="1" t="n">
        <v>46178</v>
      </c>
      <c r="E2969" s="1" t="n">
        <v>46312</v>
      </c>
      <c r="F2969" t="inlineStr">
        <is>
          <t>SKÅNE LÄN</t>
        </is>
      </c>
      <c r="G2969" t="inlineStr">
        <is>
          <t>ÖRKELLJUNGA</t>
        </is>
      </c>
      <c r="I2969" t="n">
        <v>4.1</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2215-2026</t>
        </is>
      </c>
      <c r="B2970" t="inlineStr">
        <is>
          <t>avverkningsanmälan</t>
        </is>
      </c>
      <c r="C2970" t="inlineStr">
        <is>
          <t>Avverkning för annat ändamål</t>
        </is>
      </c>
      <c r="D2970" s="1" t="n">
        <v>46031</v>
      </c>
      <c r="E2970" s="1" t="n">
        <v>46312</v>
      </c>
      <c r="F2970" t="inlineStr">
        <is>
          <t>SKÅNE LÄN</t>
        </is>
      </c>
      <c r="G2970" t="inlineStr">
        <is>
          <t>KRISTIANSTAD</t>
        </is>
      </c>
      <c r="I2970" t="n">
        <v>5.2</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3123-2023</t>
        </is>
      </c>
      <c r="B2971" t="inlineStr">
        <is>
          <t>avverkningsanmälan</t>
        </is>
      </c>
      <c r="C2971" t="inlineStr">
        <is>
          <t>Föryngringsavverkning</t>
        </is>
      </c>
      <c r="D2971" s="1" t="n">
        <v>44946</v>
      </c>
      <c r="E2971" s="1" t="n">
        <v>46312</v>
      </c>
      <c r="F2971" t="inlineStr">
        <is>
          <t>SKÅNE LÄN</t>
        </is>
      </c>
      <c r="G2971" t="inlineStr">
        <is>
          <t>HÄSSLEHOLM</t>
        </is>
      </c>
      <c r="I2971" t="n">
        <v>3.5</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25912-2026</t>
        </is>
      </c>
      <c r="B2972" t="inlineStr">
        <is>
          <t>avverkningsanmälan</t>
        </is>
      </c>
      <c r="C2972" t="inlineStr">
        <is>
          <t>Föryngringsavverkning</t>
        </is>
      </c>
      <c r="D2972" s="1" t="n">
        <v>46178</v>
      </c>
      <c r="E2972" s="1" t="n">
        <v>46312</v>
      </c>
      <c r="F2972" t="inlineStr">
        <is>
          <t>SKÅNE LÄN</t>
        </is>
      </c>
      <c r="G2972" t="inlineStr">
        <is>
          <t>ÖRKELLJUNGA</t>
        </is>
      </c>
      <c r="I2972" t="n">
        <v>0.5</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25794-2026</t>
        </is>
      </c>
      <c r="B2973" t="inlineStr">
        <is>
          <t>avverkningsanmälan</t>
        </is>
      </c>
      <c r="C2973" t="inlineStr">
        <is>
          <t>Föryngringsavverkning</t>
        </is>
      </c>
      <c r="D2973" s="1" t="n">
        <v>46178</v>
      </c>
      <c r="E2973" s="1" t="n">
        <v>46312</v>
      </c>
      <c r="F2973" t="inlineStr">
        <is>
          <t>SKÅNE LÄN</t>
        </is>
      </c>
      <c r="G2973" t="inlineStr">
        <is>
          <t>ÖRKELLJUNGA</t>
        </is>
      </c>
      <c r="I2973" t="n">
        <v>1.7</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59877-2025</t>
        </is>
      </c>
      <c r="B2974" t="inlineStr">
        <is>
          <t>avverkningsanmälan</t>
        </is>
      </c>
      <c r="C2974" t="inlineStr">
        <is>
          <t>Föryngringsavverkning</t>
        </is>
      </c>
      <c r="D2974" s="1" t="n">
        <v>45993</v>
      </c>
      <c r="E2974" s="1" t="n">
        <v>46312</v>
      </c>
      <c r="F2974" t="inlineStr">
        <is>
          <t>SKÅNE LÄN</t>
        </is>
      </c>
      <c r="G2974" t="inlineStr">
        <is>
          <t>BJUV</t>
        </is>
      </c>
      <c r="I2974" t="n">
        <v>1</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3177-2026</t>
        </is>
      </c>
      <c r="B2975" t="inlineStr">
        <is>
          <t>avverkningsanmälan</t>
        </is>
      </c>
      <c r="C2975" t="inlineStr">
        <is>
          <t>Avverkning för annat ändamål</t>
        </is>
      </c>
      <c r="D2975" s="1" t="n">
        <v>46041</v>
      </c>
      <c r="E2975" s="1" t="n">
        <v>46312</v>
      </c>
      <c r="F2975" t="inlineStr">
        <is>
          <t>SKÅNE LÄN</t>
        </is>
      </c>
      <c r="G2975" t="inlineStr">
        <is>
          <t>HÖRBY</t>
        </is>
      </c>
      <c r="I2975" t="n">
        <v>0.5</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15296-2026</t>
        </is>
      </c>
      <c r="B2976" t="inlineStr">
        <is>
          <t>avverkningsanmälan</t>
        </is>
      </c>
      <c r="C2976" t="inlineStr">
        <is>
          <t>Föryngringsavverkning</t>
        </is>
      </c>
      <c r="D2976" s="1" t="n">
        <v>46105</v>
      </c>
      <c r="E2976" s="1" t="n">
        <v>46312</v>
      </c>
      <c r="F2976" t="inlineStr">
        <is>
          <t>SKÅNE LÄN</t>
        </is>
      </c>
      <c r="G2976" t="inlineStr">
        <is>
          <t>TOMELILLA</t>
        </is>
      </c>
      <c r="I2976" t="n">
        <v>0.3</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3202-2026</t>
        </is>
      </c>
      <c r="B2977" t="inlineStr">
        <is>
          <t>avverkningsanmälan</t>
        </is>
      </c>
      <c r="C2977" t="inlineStr">
        <is>
          <t>Föryngringsavverkning</t>
        </is>
      </c>
      <c r="D2977" s="1" t="n">
        <v>46041</v>
      </c>
      <c r="E2977" s="1" t="n">
        <v>46312</v>
      </c>
      <c r="F2977" t="inlineStr">
        <is>
          <t>SKÅNE LÄN</t>
        </is>
      </c>
      <c r="G2977" t="inlineStr">
        <is>
          <t>KRISTIANSTAD</t>
        </is>
      </c>
      <c r="I2977" t="n">
        <v>1.6</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42599-2025</t>
        </is>
      </c>
      <c r="B2978" t="inlineStr">
        <is>
          <t>avverkningsanmälan</t>
        </is>
      </c>
      <c r="C2978" t="inlineStr">
        <is>
          <t>Föryngringsavverkning</t>
        </is>
      </c>
      <c r="D2978" s="1" t="n">
        <v>45905</v>
      </c>
      <c r="E2978" s="1" t="n">
        <v>46312</v>
      </c>
      <c r="F2978" t="inlineStr">
        <is>
          <t>SKÅNE LÄN</t>
        </is>
      </c>
      <c r="G2978" t="inlineStr">
        <is>
          <t>SJÖBO</t>
        </is>
      </c>
      <c r="I2978" t="n">
        <v>9.800000000000001</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3182-2026</t>
        </is>
      </c>
      <c r="B2979" t="inlineStr">
        <is>
          <t>avverkningsanmälan</t>
        </is>
      </c>
      <c r="C2979" t="inlineStr">
        <is>
          <t>Föryngringsavverkning</t>
        </is>
      </c>
      <c r="D2979" s="1" t="n">
        <v>46041</v>
      </c>
      <c r="E2979" s="1" t="n">
        <v>46312</v>
      </c>
      <c r="F2979" t="inlineStr">
        <is>
          <t>SKÅNE LÄN</t>
        </is>
      </c>
      <c r="G2979" t="inlineStr">
        <is>
          <t>HÖÖR</t>
        </is>
      </c>
      <c r="I2979" t="n">
        <v>0.8</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3307-2026</t>
        </is>
      </c>
      <c r="B2980" t="inlineStr">
        <is>
          <t>avverkningsanmälan</t>
        </is>
      </c>
      <c r="C2980" t="inlineStr">
        <is>
          <t>Föryngringsavverkning</t>
        </is>
      </c>
      <c r="D2980" s="1" t="n">
        <v>46041</v>
      </c>
      <c r="E2980" s="1" t="n">
        <v>46312</v>
      </c>
      <c r="F2980" t="inlineStr">
        <is>
          <t>SKÅNE LÄN</t>
        </is>
      </c>
      <c r="G2980" t="inlineStr">
        <is>
          <t>KRISTIANSTAD</t>
        </is>
      </c>
      <c r="I2980" t="n">
        <v>4.7</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25522-2026</t>
        </is>
      </c>
      <c r="B2981" t="inlineStr">
        <is>
          <t>avverkningsanmälan</t>
        </is>
      </c>
      <c r="C2981" t="inlineStr">
        <is>
          <t>Föryngringsavverkning</t>
        </is>
      </c>
      <c r="D2981" s="1" t="n">
        <v>46177</v>
      </c>
      <c r="E2981" s="1" t="n">
        <v>46312</v>
      </c>
      <c r="F2981" t="inlineStr">
        <is>
          <t>SKÅNE LÄN</t>
        </is>
      </c>
      <c r="G2981" t="inlineStr">
        <is>
          <t>SVALÖV</t>
        </is>
      </c>
      <c r="I2981" t="n">
        <v>8.5</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2852-2026</t>
        </is>
      </c>
      <c r="B2982" t="inlineStr">
        <is>
          <t>avverkningsanmälan</t>
        </is>
      </c>
      <c r="C2982" t="inlineStr">
        <is>
          <t>Föryngringsavverkning</t>
        </is>
      </c>
      <c r="D2982" s="1" t="n">
        <v>46038</v>
      </c>
      <c r="E2982" s="1" t="n">
        <v>46312</v>
      </c>
      <c r="F2982" t="inlineStr">
        <is>
          <t>SKÅNE LÄN</t>
        </is>
      </c>
      <c r="G2982" t="inlineStr">
        <is>
          <t>HÖÖR</t>
        </is>
      </c>
      <c r="I2982" t="n">
        <v>1</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3013-2026</t>
        </is>
      </c>
      <c r="B2983" t="inlineStr">
        <is>
          <t>avverkningsanmälan</t>
        </is>
      </c>
      <c r="C2983" t="inlineStr">
        <is>
          <t>Föryngringsavverkning</t>
        </is>
      </c>
      <c r="D2983" s="1" t="n">
        <v>46038</v>
      </c>
      <c r="E2983" s="1" t="n">
        <v>46312</v>
      </c>
      <c r="F2983" t="inlineStr">
        <is>
          <t>SKÅNE LÄN</t>
        </is>
      </c>
      <c r="G2983" t="inlineStr">
        <is>
          <t>HÖRBY</t>
        </is>
      </c>
      <c r="I2983" t="n">
        <v>0.7</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48112-2024</t>
        </is>
      </c>
      <c r="B2984" t="inlineStr">
        <is>
          <t>avverkningsanmälan</t>
        </is>
      </c>
      <c r="C2984" t="inlineStr">
        <is>
          <t>Föryngringsavverkning</t>
        </is>
      </c>
      <c r="D2984" s="1" t="n">
        <v>45589</v>
      </c>
      <c r="E2984" s="1" t="n">
        <v>46312</v>
      </c>
      <c r="F2984" t="inlineStr">
        <is>
          <t>SKÅNE LÄN</t>
        </is>
      </c>
      <c r="G2984" t="inlineStr">
        <is>
          <t>HÄSSLEHOLM</t>
        </is>
      </c>
      <c r="I2984" t="n">
        <v>1.1</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25934-2026</t>
        </is>
      </c>
      <c r="B2985" t="inlineStr">
        <is>
          <t>avverkningsanmälan</t>
        </is>
      </c>
      <c r="C2985" t="inlineStr">
        <is>
          <t>Föryngringsavverkning</t>
        </is>
      </c>
      <c r="D2985" s="1" t="n">
        <v>46180</v>
      </c>
      <c r="E2985" s="1" t="n">
        <v>46312</v>
      </c>
      <c r="F2985" t="inlineStr">
        <is>
          <t>SKÅNE LÄN</t>
        </is>
      </c>
      <c r="G2985" t="inlineStr">
        <is>
          <t>OSBY</t>
        </is>
      </c>
      <c r="H2985" t="inlineStr">
        <is>
          <t>Sveaskog</t>
        </is>
      </c>
      <c r="I2985" t="n">
        <v>1.6</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21152-2022</t>
        </is>
      </c>
      <c r="B2986" t="inlineStr">
        <is>
          <t>avverkningsanmälan</t>
        </is>
      </c>
      <c r="C2986" t="inlineStr">
        <is>
          <t>Föryngringsavverkning</t>
        </is>
      </c>
      <c r="D2986" s="1" t="n">
        <v>44704</v>
      </c>
      <c r="E2986" s="1" t="n">
        <v>46312</v>
      </c>
      <c r="F2986" t="inlineStr">
        <is>
          <t>SKÅNE LÄN</t>
        </is>
      </c>
      <c r="G2986" t="inlineStr">
        <is>
          <t>ÖRKELLJUNGA</t>
        </is>
      </c>
      <c r="I2986" t="n">
        <v>2.8</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32364-2023</t>
        </is>
      </c>
      <c r="B2987" t="inlineStr">
        <is>
          <t>avverkningsanmälan</t>
        </is>
      </c>
      <c r="C2987" t="inlineStr">
        <is>
          <t>Föryngringsavverkning</t>
        </is>
      </c>
      <c r="D2987" s="1" t="n">
        <v>45120</v>
      </c>
      <c r="E2987" s="1" t="n">
        <v>46312</v>
      </c>
      <c r="F2987" t="inlineStr">
        <is>
          <t>SKÅNE LÄN</t>
        </is>
      </c>
      <c r="G2987" t="inlineStr">
        <is>
          <t>ÄNGELHOLM</t>
        </is>
      </c>
      <c r="I2987" t="n">
        <v>0.6</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25780-2026</t>
        </is>
      </c>
      <c r="B2988" t="inlineStr">
        <is>
          <t>avverkningsanmälan</t>
        </is>
      </c>
      <c r="C2988" t="inlineStr">
        <is>
          <t>Föryngringsavverkning</t>
        </is>
      </c>
      <c r="D2988" s="1" t="n">
        <v>46178</v>
      </c>
      <c r="E2988" s="1" t="n">
        <v>46312</v>
      </c>
      <c r="F2988" t="inlineStr">
        <is>
          <t>SKÅNE LÄN</t>
        </is>
      </c>
      <c r="G2988" t="inlineStr">
        <is>
          <t>ÖRKELLJUNGA</t>
        </is>
      </c>
      <c r="I2988" t="n">
        <v>2.1</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25565-2026</t>
        </is>
      </c>
      <c r="B2989" t="inlineStr">
        <is>
          <t>avverkningsanmälan</t>
        </is>
      </c>
      <c r="C2989" t="inlineStr">
        <is>
          <t>Föryngringsavverkning</t>
        </is>
      </c>
      <c r="D2989" s="1" t="n">
        <v>46177</v>
      </c>
      <c r="E2989" s="1" t="n">
        <v>46312</v>
      </c>
      <c r="F2989" t="inlineStr">
        <is>
          <t>SKÅNE LÄN</t>
        </is>
      </c>
      <c r="G2989" t="inlineStr">
        <is>
          <t>KRISTIANSTAD</t>
        </is>
      </c>
      <c r="I2989" t="n">
        <v>2.1</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15487-2025</t>
        </is>
      </c>
      <c r="B2990" t="inlineStr">
        <is>
          <t>avverkningsanmälan</t>
        </is>
      </c>
      <c r="C2990" t="inlineStr">
        <is>
          <t>Föryngringsavverkning</t>
        </is>
      </c>
      <c r="D2990" s="1" t="n">
        <v>45747</v>
      </c>
      <c r="E2990" s="1" t="n">
        <v>46312</v>
      </c>
      <c r="F2990" t="inlineStr">
        <is>
          <t>SKÅNE LÄN</t>
        </is>
      </c>
      <c r="G2990" t="inlineStr">
        <is>
          <t>SVALÖV</t>
        </is>
      </c>
      <c r="I2990" t="n">
        <v>0.9</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13278-2026</t>
        </is>
      </c>
      <c r="B2991" t="inlineStr">
        <is>
          <t>avverkningsanmälan</t>
        </is>
      </c>
      <c r="C2991" t="inlineStr">
        <is>
          <t>Föryngringsavverkning</t>
        </is>
      </c>
      <c r="D2991" s="1" t="n">
        <v>46093</v>
      </c>
      <c r="E2991" s="1" t="n">
        <v>46312</v>
      </c>
      <c r="F2991" t="inlineStr">
        <is>
          <t>SKÅNE LÄN</t>
        </is>
      </c>
      <c r="G2991" t="inlineStr">
        <is>
          <t>ÄNGELHOLM</t>
        </is>
      </c>
      <c r="I2991" t="n">
        <v>1.7</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25501-2026</t>
        </is>
      </c>
      <c r="B2992" t="inlineStr">
        <is>
          <t>avverkningsanmälan</t>
        </is>
      </c>
      <c r="C2992" t="inlineStr">
        <is>
          <t>Föryngringsavverkning</t>
        </is>
      </c>
      <c r="D2992" s="1" t="n">
        <v>46177</v>
      </c>
      <c r="E2992" s="1" t="n">
        <v>46312</v>
      </c>
      <c r="F2992" t="inlineStr">
        <is>
          <t>SKÅNE LÄN</t>
        </is>
      </c>
      <c r="G2992" t="inlineStr">
        <is>
          <t>ÖRKELLJUNGA</t>
        </is>
      </c>
      <c r="I2992" t="n">
        <v>1.6</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58130-2022</t>
        </is>
      </c>
      <c r="B2993" t="inlineStr">
        <is>
          <t>avverkningsanmälan</t>
        </is>
      </c>
      <c r="C2993" t="inlineStr">
        <is>
          <t>Föryngringsavverkning</t>
        </is>
      </c>
      <c r="D2993" s="1" t="n">
        <v>44900</v>
      </c>
      <c r="E2993" s="1" t="n">
        <v>46312</v>
      </c>
      <c r="F2993" t="inlineStr">
        <is>
          <t>SKÅNE LÄN</t>
        </is>
      </c>
      <c r="G2993" t="inlineStr">
        <is>
          <t>ÖRKELLJUNGA</t>
        </is>
      </c>
      <c r="I2993" t="n">
        <v>23.2</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3904-2026</t>
        </is>
      </c>
      <c r="B2994" t="inlineStr">
        <is>
          <t>avverkningsanmälan</t>
        </is>
      </c>
      <c r="C2994" t="inlineStr">
        <is>
          <t>Föryngringsavverkning</t>
        </is>
      </c>
      <c r="D2994" s="1" t="n">
        <v>46043</v>
      </c>
      <c r="E2994" s="1" t="n">
        <v>46312</v>
      </c>
      <c r="F2994" t="inlineStr">
        <is>
          <t>SKÅNE LÄN</t>
        </is>
      </c>
      <c r="G2994" t="inlineStr">
        <is>
          <t>HÄSSLEHOLM</t>
        </is>
      </c>
      <c r="I2994" t="n">
        <v>1.3</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10191-2026</t>
        </is>
      </c>
      <c r="B2995" t="inlineStr">
        <is>
          <t>avverkningsanmälan</t>
        </is>
      </c>
      <c r="C2995" t="inlineStr">
        <is>
          <t>Föryngringsavverkning</t>
        </is>
      </c>
      <c r="D2995" s="1" t="n">
        <v>46076</v>
      </c>
      <c r="E2995" s="1" t="n">
        <v>46312</v>
      </c>
      <c r="F2995" t="inlineStr">
        <is>
          <t>SKÅNE LÄN</t>
        </is>
      </c>
      <c r="G2995" t="inlineStr">
        <is>
          <t>OSBY</t>
        </is>
      </c>
      <c r="I2995" t="n">
        <v>3.2</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25487-2026</t>
        </is>
      </c>
      <c r="B2996" t="inlineStr">
        <is>
          <t>avverkningsanmälan</t>
        </is>
      </c>
      <c r="C2996" t="inlineStr">
        <is>
          <t>Föryngringsavverkning</t>
        </is>
      </c>
      <c r="D2996" s="1" t="n">
        <v>46177</v>
      </c>
      <c r="E2996" s="1" t="n">
        <v>46312</v>
      </c>
      <c r="F2996" t="inlineStr">
        <is>
          <t>SKÅNE LÄN</t>
        </is>
      </c>
      <c r="G2996" t="inlineStr">
        <is>
          <t>PERSTORP</t>
        </is>
      </c>
      <c r="H2996" t="inlineStr">
        <is>
          <t>Övriga Aktiebolag</t>
        </is>
      </c>
      <c r="I2996" t="n">
        <v>2.8</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3905-2026</t>
        </is>
      </c>
      <c r="B2997" t="inlineStr">
        <is>
          <t>avverkningsanmälan</t>
        </is>
      </c>
      <c r="C2997" t="inlineStr">
        <is>
          <t>Föryngringsavverkning</t>
        </is>
      </c>
      <c r="D2997" s="1" t="n">
        <v>46043</v>
      </c>
      <c r="E2997" s="1" t="n">
        <v>46312</v>
      </c>
      <c r="F2997" t="inlineStr">
        <is>
          <t>SKÅNE LÄN</t>
        </is>
      </c>
      <c r="G2997" t="inlineStr">
        <is>
          <t>KRISTIANSTAD</t>
        </is>
      </c>
      <c r="I2997" t="n">
        <v>0.5</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7739-2024</t>
        </is>
      </c>
      <c r="B2998" t="inlineStr">
        <is>
          <t>avverkningsanmälan</t>
        </is>
      </c>
      <c r="C2998" t="inlineStr">
        <is>
          <t>Föryngringsavverkning</t>
        </is>
      </c>
      <c r="D2998" s="1" t="n">
        <v>45349</v>
      </c>
      <c r="E2998" s="1" t="n">
        <v>46312</v>
      </c>
      <c r="F2998" t="inlineStr">
        <is>
          <t>SKÅNE LÄN</t>
        </is>
      </c>
      <c r="G2998" t="inlineStr">
        <is>
          <t>ÖSTRA GÖINGE</t>
        </is>
      </c>
      <c r="I2998" t="n">
        <v>3.9</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3577-2026</t>
        </is>
      </c>
      <c r="B2999" t="inlineStr">
        <is>
          <t>avverkningsanmälan</t>
        </is>
      </c>
      <c r="C2999" t="inlineStr">
        <is>
          <t>Föryngringsavverkning</t>
        </is>
      </c>
      <c r="D2999" s="1" t="n">
        <v>46042</v>
      </c>
      <c r="E2999" s="1" t="n">
        <v>46312</v>
      </c>
      <c r="F2999" t="inlineStr">
        <is>
          <t>SKÅNE LÄN</t>
        </is>
      </c>
      <c r="G2999" t="inlineStr">
        <is>
          <t>ÖSTRA GÖINGE</t>
        </is>
      </c>
      <c r="I2999" t="n">
        <v>1.2</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3521-2026</t>
        </is>
      </c>
      <c r="B3000" t="inlineStr">
        <is>
          <t>avverkningsanmälan</t>
        </is>
      </c>
      <c r="C3000" t="inlineStr">
        <is>
          <t>Föryngringsavverkning</t>
        </is>
      </c>
      <c r="D3000" s="1" t="n">
        <v>46042</v>
      </c>
      <c r="E3000" s="1" t="n">
        <v>46312</v>
      </c>
      <c r="F3000" t="inlineStr">
        <is>
          <t>SKÅNE LÄN</t>
        </is>
      </c>
      <c r="G3000" t="inlineStr">
        <is>
          <t>ÖSTRA GÖINGE</t>
        </is>
      </c>
      <c r="I3000" t="n">
        <v>2.6</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16565-2024</t>
        </is>
      </c>
      <c r="B3001" t="inlineStr">
        <is>
          <t>avverkningsanmälan</t>
        </is>
      </c>
      <c r="C3001" t="inlineStr">
        <is>
          <t>Föryngringsavverkning</t>
        </is>
      </c>
      <c r="D3001" s="1" t="n">
        <v>45408</v>
      </c>
      <c r="E3001" s="1" t="n">
        <v>46312</v>
      </c>
      <c r="F3001" t="inlineStr">
        <is>
          <t>SKÅNE LÄN</t>
        </is>
      </c>
      <c r="G3001" t="inlineStr">
        <is>
          <t>KRISTIANSTAD</t>
        </is>
      </c>
      <c r="I3001" t="n">
        <v>0.4</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16568-2024</t>
        </is>
      </c>
      <c r="B3002" t="inlineStr">
        <is>
          <t>avverkningsanmälan</t>
        </is>
      </c>
      <c r="C3002" t="inlineStr">
        <is>
          <t>Föryngringsavverkning</t>
        </is>
      </c>
      <c r="D3002" s="1" t="n">
        <v>45408</v>
      </c>
      <c r="E3002" s="1" t="n">
        <v>46312</v>
      </c>
      <c r="F3002" t="inlineStr">
        <is>
          <t>SKÅNE LÄN</t>
        </is>
      </c>
      <c r="G3002" t="inlineStr">
        <is>
          <t>TOMELILLA</t>
        </is>
      </c>
      <c r="I3002" t="n">
        <v>0.6</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25646-2026</t>
        </is>
      </c>
      <c r="B3003" t="inlineStr">
        <is>
          <t>avverkningsanmälan</t>
        </is>
      </c>
      <c r="C3003" t="inlineStr">
        <is>
          <t>Föryngringsavverkning</t>
        </is>
      </c>
      <c r="D3003" s="1" t="n">
        <v>46177</v>
      </c>
      <c r="E3003" s="1" t="n">
        <v>46312</v>
      </c>
      <c r="F3003" t="inlineStr">
        <is>
          <t>SKÅNE LÄN</t>
        </is>
      </c>
      <c r="G3003" t="inlineStr">
        <is>
          <t>HÄSSLEHOLM</t>
        </is>
      </c>
      <c r="I3003" t="n">
        <v>0.7</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3556-2026</t>
        </is>
      </c>
      <c r="B3004" t="inlineStr">
        <is>
          <t>avverkningsanmälan</t>
        </is>
      </c>
      <c r="C3004" t="inlineStr">
        <is>
          <t>Föryngringsavverkning</t>
        </is>
      </c>
      <c r="D3004" s="1" t="n">
        <v>46042</v>
      </c>
      <c r="E3004" s="1" t="n">
        <v>46312</v>
      </c>
      <c r="F3004" t="inlineStr">
        <is>
          <t>SKÅNE LÄN</t>
        </is>
      </c>
      <c r="G3004" t="inlineStr">
        <is>
          <t>KRISTIANSTAD</t>
        </is>
      </c>
      <c r="I3004" t="n">
        <v>0.7</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43380-2022</t>
        </is>
      </c>
      <c r="B3005" t="inlineStr">
        <is>
          <t>avverkningsanmälan</t>
        </is>
      </c>
      <c r="C3005" t="inlineStr">
        <is>
          <t>Föryngringsavverkning</t>
        </is>
      </c>
      <c r="D3005" s="1" t="n">
        <v>44834</v>
      </c>
      <c r="E3005" s="1" t="n">
        <v>46312</v>
      </c>
      <c r="F3005" t="inlineStr">
        <is>
          <t>SKÅNE LÄN</t>
        </is>
      </c>
      <c r="G3005" t="inlineStr">
        <is>
          <t>HÖRBY</t>
        </is>
      </c>
      <c r="I3005" t="n">
        <v>1.7</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9537-2023</t>
        </is>
      </c>
      <c r="B3006" t="inlineStr">
        <is>
          <t>avverkningsanmälan</t>
        </is>
      </c>
      <c r="C3006" t="inlineStr">
        <is>
          <t>Föryngringsavverkning</t>
        </is>
      </c>
      <c r="D3006" s="1" t="n">
        <v>44981</v>
      </c>
      <c r="E3006" s="1" t="n">
        <v>46312</v>
      </c>
      <c r="F3006" t="inlineStr">
        <is>
          <t>SKÅNE LÄN</t>
        </is>
      </c>
      <c r="G3006" t="inlineStr">
        <is>
          <t>ÖSTRA GÖINGE</t>
        </is>
      </c>
      <c r="I3006" t="n">
        <v>1.2</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3715-2026</t>
        </is>
      </c>
      <c r="B3007" t="inlineStr">
        <is>
          <t>avverkningsanmälan</t>
        </is>
      </c>
      <c r="C3007" t="inlineStr">
        <is>
          <t>Föryngringsavverkning</t>
        </is>
      </c>
      <c r="D3007" s="1" t="n">
        <v>46043</v>
      </c>
      <c r="E3007" s="1" t="n">
        <v>46312</v>
      </c>
      <c r="F3007" t="inlineStr">
        <is>
          <t>SKÅNE LÄN</t>
        </is>
      </c>
      <c r="G3007" t="inlineStr">
        <is>
          <t>HÄSSLEHOLM</t>
        </is>
      </c>
      <c r="I3007" t="n">
        <v>0.8</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3555-2026</t>
        </is>
      </c>
      <c r="B3008" t="inlineStr">
        <is>
          <t>avverkningsanmälan</t>
        </is>
      </c>
      <c r="C3008" t="inlineStr">
        <is>
          <t>Föryngringsavverkning</t>
        </is>
      </c>
      <c r="D3008" s="1" t="n">
        <v>46042</v>
      </c>
      <c r="E3008" s="1" t="n">
        <v>46312</v>
      </c>
      <c r="F3008" t="inlineStr">
        <is>
          <t>SKÅNE LÄN</t>
        </is>
      </c>
      <c r="G3008" t="inlineStr">
        <is>
          <t>KRISTIANSTAD</t>
        </is>
      </c>
      <c r="I3008" t="n">
        <v>0.5</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3661-2026</t>
        </is>
      </c>
      <c r="B3009" t="inlineStr">
        <is>
          <t>avverkningsanmälan</t>
        </is>
      </c>
      <c r="C3009" t="inlineStr">
        <is>
          <t>Föryngringsavverkning</t>
        </is>
      </c>
      <c r="D3009" s="1" t="n">
        <v>46043</v>
      </c>
      <c r="E3009" s="1" t="n">
        <v>46312</v>
      </c>
      <c r="F3009" t="inlineStr">
        <is>
          <t>SKÅNE LÄN</t>
        </is>
      </c>
      <c r="G3009" t="inlineStr">
        <is>
          <t>PERSTORP</t>
        </is>
      </c>
      <c r="I3009" t="n">
        <v>2.3</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3862-2026</t>
        </is>
      </c>
      <c r="B3010" t="inlineStr">
        <is>
          <t>avverkningsanmälan</t>
        </is>
      </c>
      <c r="C3010" t="inlineStr">
        <is>
          <t>Föryngringsavverkning</t>
        </is>
      </c>
      <c r="D3010" s="1" t="n">
        <v>46043</v>
      </c>
      <c r="E3010" s="1" t="n">
        <v>46312</v>
      </c>
      <c r="F3010" t="inlineStr">
        <is>
          <t>SKÅNE LÄN</t>
        </is>
      </c>
      <c r="G3010" t="inlineStr">
        <is>
          <t>HÄSSLEHOLM</t>
        </is>
      </c>
      <c r="I3010" t="n">
        <v>1</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25721-2026</t>
        </is>
      </c>
      <c r="B3011" t="inlineStr">
        <is>
          <t>avverkningsanmälan</t>
        </is>
      </c>
      <c r="C3011" t="inlineStr">
        <is>
          <t>Föryngringsavverkning</t>
        </is>
      </c>
      <c r="D3011" s="1" t="n">
        <v>46178</v>
      </c>
      <c r="E3011" s="1" t="n">
        <v>46312</v>
      </c>
      <c r="F3011" t="inlineStr">
        <is>
          <t>SKÅNE LÄN</t>
        </is>
      </c>
      <c r="G3011" t="inlineStr">
        <is>
          <t>KLIPPAN</t>
        </is>
      </c>
      <c r="I3011" t="n">
        <v>1.6</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4486-2024</t>
        </is>
      </c>
      <c r="B3012" t="inlineStr">
        <is>
          <t>avverkningsanmälan</t>
        </is>
      </c>
      <c r="C3012" t="inlineStr">
        <is>
          <t>Föryngringsavverkning</t>
        </is>
      </c>
      <c r="D3012" s="1" t="n">
        <v>45327</v>
      </c>
      <c r="E3012" s="1" t="n">
        <v>46312</v>
      </c>
      <c r="F3012" t="inlineStr">
        <is>
          <t>SKÅNE LÄN</t>
        </is>
      </c>
      <c r="G3012" t="inlineStr">
        <is>
          <t>BÅSTAD</t>
        </is>
      </c>
      <c r="I3012" t="n">
        <v>0.6</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44378-2024</t>
        </is>
      </c>
      <c r="B3013" t="inlineStr">
        <is>
          <t>avverkningsanmälan</t>
        </is>
      </c>
      <c r="C3013" t="inlineStr">
        <is>
          <t>Föryngringsavverkning</t>
        </is>
      </c>
      <c r="D3013" s="1" t="n">
        <v>45573</v>
      </c>
      <c r="E3013" s="1" t="n">
        <v>46312</v>
      </c>
      <c r="F3013" t="inlineStr">
        <is>
          <t>SKÅNE LÄN</t>
        </is>
      </c>
      <c r="G3013" t="inlineStr">
        <is>
          <t>KRISTIANSTAD</t>
        </is>
      </c>
      <c r="I3013" t="n">
        <v>4.2</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3900-2026</t>
        </is>
      </c>
      <c r="B3014" t="inlineStr">
        <is>
          <t>avverkningsanmälan</t>
        </is>
      </c>
      <c r="C3014" t="inlineStr">
        <is>
          <t>Föryngringsavverkning</t>
        </is>
      </c>
      <c r="D3014" s="1" t="n">
        <v>46043</v>
      </c>
      <c r="E3014" s="1" t="n">
        <v>46312</v>
      </c>
      <c r="F3014" t="inlineStr">
        <is>
          <t>SKÅNE LÄN</t>
        </is>
      </c>
      <c r="G3014" t="inlineStr">
        <is>
          <t>KRISTIANSTAD</t>
        </is>
      </c>
      <c r="I3014" t="n">
        <v>1.2</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3892-2026</t>
        </is>
      </c>
      <c r="B3015" t="inlineStr">
        <is>
          <t>avverkningsanmälan</t>
        </is>
      </c>
      <c r="C3015" t="inlineStr">
        <is>
          <t>Föryngringsavverkning</t>
        </is>
      </c>
      <c r="D3015" s="1" t="n">
        <v>46043</v>
      </c>
      <c r="E3015" s="1" t="n">
        <v>46312</v>
      </c>
      <c r="F3015" t="inlineStr">
        <is>
          <t>SKÅNE LÄN</t>
        </is>
      </c>
      <c r="G3015" t="inlineStr">
        <is>
          <t>KRISTIANSTAD</t>
        </is>
      </c>
      <c r="I3015" t="n">
        <v>1.7</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3895-2026</t>
        </is>
      </c>
      <c r="B3016" t="inlineStr">
        <is>
          <t>avverkningsanmälan</t>
        </is>
      </c>
      <c r="C3016" t="inlineStr">
        <is>
          <t>Föryngringsavverkning</t>
        </is>
      </c>
      <c r="D3016" s="1" t="n">
        <v>46043</v>
      </c>
      <c r="E3016" s="1" t="n">
        <v>46312</v>
      </c>
      <c r="F3016" t="inlineStr">
        <is>
          <t>SKÅNE LÄN</t>
        </is>
      </c>
      <c r="G3016" t="inlineStr">
        <is>
          <t>KRISTIANSTAD</t>
        </is>
      </c>
      <c r="I3016" t="n">
        <v>0.9</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57461-2022</t>
        </is>
      </c>
      <c r="B3017" t="inlineStr">
        <is>
          <t>avverkningsanmälan</t>
        </is>
      </c>
      <c r="C3017" t="inlineStr">
        <is>
          <t>Föryngringsavverkning</t>
        </is>
      </c>
      <c r="D3017" s="1" t="n">
        <v>44896</v>
      </c>
      <c r="E3017" s="1" t="n">
        <v>46312</v>
      </c>
      <c r="F3017" t="inlineStr">
        <is>
          <t>SKÅNE LÄN</t>
        </is>
      </c>
      <c r="G3017" t="inlineStr">
        <is>
          <t>HÖÖR</t>
        </is>
      </c>
      <c r="I3017" t="n">
        <v>2.2</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4677-2023</t>
        </is>
      </c>
      <c r="B3018" t="inlineStr">
        <is>
          <t>avverkningsanmälan</t>
        </is>
      </c>
      <c r="C3018" t="inlineStr">
        <is>
          <t>Föryngringsavverkning</t>
        </is>
      </c>
      <c r="D3018" s="1" t="n">
        <v>44952</v>
      </c>
      <c r="E3018" s="1" t="n">
        <v>46312</v>
      </c>
      <c r="F3018" t="inlineStr">
        <is>
          <t>SKÅNE LÄN</t>
        </is>
      </c>
      <c r="G3018" t="inlineStr">
        <is>
          <t>TOMELILLA</t>
        </is>
      </c>
      <c r="I3018" t="n">
        <v>0.6</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48097-2024</t>
        </is>
      </c>
      <c r="B3019" t="inlineStr">
        <is>
          <t>avverkningsanmälan</t>
        </is>
      </c>
      <c r="C3019" t="inlineStr">
        <is>
          <t>Föryngringsavverkning</t>
        </is>
      </c>
      <c r="D3019" s="1" t="n">
        <v>45589</v>
      </c>
      <c r="E3019" s="1" t="n">
        <v>46312</v>
      </c>
      <c r="F3019" t="inlineStr">
        <is>
          <t>SKÅNE LÄN</t>
        </is>
      </c>
      <c r="G3019" t="inlineStr">
        <is>
          <t>HÄSSLEHOLM</t>
        </is>
      </c>
      <c r="I3019" t="n">
        <v>0.6</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38329-2023</t>
        </is>
      </c>
      <c r="B3020" t="inlineStr">
        <is>
          <t>avverkningsanmälan</t>
        </is>
      </c>
      <c r="C3020" t="inlineStr">
        <is>
          <t>Föryngringsavverkning</t>
        </is>
      </c>
      <c r="D3020" s="1" t="n">
        <v>45161</v>
      </c>
      <c r="E3020" s="1" t="n">
        <v>46312</v>
      </c>
      <c r="F3020" t="inlineStr">
        <is>
          <t>SKÅNE LÄN</t>
        </is>
      </c>
      <c r="G3020" t="inlineStr">
        <is>
          <t>PERSTORP</t>
        </is>
      </c>
      <c r="I3020" t="n">
        <v>0.9</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55682-2023</t>
        </is>
      </c>
      <c r="B3021" t="inlineStr">
        <is>
          <t>avverkningsanmälan</t>
        </is>
      </c>
      <c r="C3021" t="inlineStr">
        <is>
          <t>Föryngringsavverkning</t>
        </is>
      </c>
      <c r="D3021" s="1" t="n">
        <v>45239</v>
      </c>
      <c r="E3021" s="1" t="n">
        <v>46312</v>
      </c>
      <c r="F3021" t="inlineStr">
        <is>
          <t>SKÅNE LÄN</t>
        </is>
      </c>
      <c r="G3021" t="inlineStr">
        <is>
          <t>OSBY</t>
        </is>
      </c>
      <c r="I3021" t="n">
        <v>1</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3903-2026</t>
        </is>
      </c>
      <c r="B3022" t="inlineStr">
        <is>
          <t>avverkningsanmälan</t>
        </is>
      </c>
      <c r="C3022" t="inlineStr">
        <is>
          <t>Föryngringsavverkning</t>
        </is>
      </c>
      <c r="D3022" s="1" t="n">
        <v>46043</v>
      </c>
      <c r="E3022" s="1" t="n">
        <v>46312</v>
      </c>
      <c r="F3022" t="inlineStr">
        <is>
          <t>SKÅNE LÄN</t>
        </is>
      </c>
      <c r="G3022" t="inlineStr">
        <is>
          <t>KRISTIANSTAD</t>
        </is>
      </c>
      <c r="I3022" t="n">
        <v>1.7</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3643-2026</t>
        </is>
      </c>
      <c r="B3023" t="inlineStr">
        <is>
          <t>avverkningsanmälan</t>
        </is>
      </c>
      <c r="C3023" t="inlineStr">
        <is>
          <t>Föryngringsavverkning</t>
        </is>
      </c>
      <c r="D3023" s="1" t="n">
        <v>46043</v>
      </c>
      <c r="E3023" s="1" t="n">
        <v>46312</v>
      </c>
      <c r="F3023" t="inlineStr">
        <is>
          <t>SKÅNE LÄN</t>
        </is>
      </c>
      <c r="G3023" t="inlineStr">
        <is>
          <t>SJÖBO</t>
        </is>
      </c>
      <c r="I3023" t="n">
        <v>3.2</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60846-2022</t>
        </is>
      </c>
      <c r="B3024" t="inlineStr">
        <is>
          <t>avverkningsanmälan</t>
        </is>
      </c>
      <c r="C3024" t="inlineStr">
        <is>
          <t>Föryngringsavverkning</t>
        </is>
      </c>
      <c r="D3024" s="1" t="n">
        <v>44914</v>
      </c>
      <c r="E3024" s="1" t="n">
        <v>46312</v>
      </c>
      <c r="F3024" t="inlineStr">
        <is>
          <t>SKÅNE LÄN</t>
        </is>
      </c>
      <c r="G3024" t="inlineStr">
        <is>
          <t>HÄSSLEHOLM</t>
        </is>
      </c>
      <c r="I3024" t="n">
        <v>2.1</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1875-2026</t>
        </is>
      </c>
      <c r="B3025" t="inlineStr">
        <is>
          <t>avverkningsanmälan</t>
        </is>
      </c>
      <c r="C3025" t="inlineStr">
        <is>
          <t>Föryngringsavverkning</t>
        </is>
      </c>
      <c r="D3025" s="1" t="n">
        <v>46035</v>
      </c>
      <c r="E3025" s="1" t="n">
        <v>46312</v>
      </c>
      <c r="F3025" t="inlineStr">
        <is>
          <t>SKÅNE LÄN</t>
        </is>
      </c>
      <c r="G3025" t="inlineStr">
        <is>
          <t>KRISTIANSTAD</t>
        </is>
      </c>
      <c r="I3025" t="n">
        <v>0.4</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6447-2026</t>
        </is>
      </c>
      <c r="B3026" t="inlineStr">
        <is>
          <t>avverkningsanmälan</t>
        </is>
      </c>
      <c r="C3026" t="inlineStr">
        <is>
          <t>Föryngringsavverkning</t>
        </is>
      </c>
      <c r="D3026" s="1" t="n">
        <v>46055</v>
      </c>
      <c r="E3026" s="1" t="n">
        <v>46312</v>
      </c>
      <c r="F3026" t="inlineStr">
        <is>
          <t>SKÅNE LÄN</t>
        </is>
      </c>
      <c r="G3026" t="inlineStr">
        <is>
          <t>KLIPPAN</t>
        </is>
      </c>
      <c r="I3026" t="n">
        <v>3.6</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4964-2022</t>
        </is>
      </c>
      <c r="B3027" t="inlineStr">
        <is>
          <t>avverkningsanmälan</t>
        </is>
      </c>
      <c r="C3027" t="inlineStr">
        <is>
          <t>Föryngringsavverkning</t>
        </is>
      </c>
      <c r="D3027" s="1" t="n">
        <v>44593</v>
      </c>
      <c r="E3027" s="1" t="n">
        <v>46312</v>
      </c>
      <c r="F3027" t="inlineStr">
        <is>
          <t>SKÅNE LÄN</t>
        </is>
      </c>
      <c r="G3027" t="inlineStr">
        <is>
          <t>SVALÖV</t>
        </is>
      </c>
      <c r="I3027" t="n">
        <v>1.5</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27287-2025</t>
        </is>
      </c>
      <c r="B3028" t="inlineStr">
        <is>
          <t>avverkningsanmälan</t>
        </is>
      </c>
      <c r="C3028" t="inlineStr">
        <is>
          <t>Föryngringsavverkning</t>
        </is>
      </c>
      <c r="D3028" s="1" t="n">
        <v>45812</v>
      </c>
      <c r="E3028" s="1" t="n">
        <v>46312</v>
      </c>
      <c r="F3028" t="inlineStr">
        <is>
          <t>SKÅNE LÄN</t>
        </is>
      </c>
      <c r="G3028" t="inlineStr">
        <is>
          <t>KRISTIANSTAD</t>
        </is>
      </c>
      <c r="I3028" t="n">
        <v>1.3</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14965-2024</t>
        </is>
      </c>
      <c r="B3029" t="inlineStr">
        <is>
          <t>avverkningsanmälan</t>
        </is>
      </c>
      <c r="C3029" t="inlineStr">
        <is>
          <t>Föryngringsavverkning</t>
        </is>
      </c>
      <c r="D3029" s="1" t="n">
        <v>45398</v>
      </c>
      <c r="E3029" s="1" t="n">
        <v>46312</v>
      </c>
      <c r="F3029" t="inlineStr">
        <is>
          <t>SKÅNE LÄN</t>
        </is>
      </c>
      <c r="G3029" t="inlineStr">
        <is>
          <t>KRISTIANSTAD</t>
        </is>
      </c>
      <c r="I3029" t="n">
        <v>13.5</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3934-2026</t>
        </is>
      </c>
      <c r="B3030" t="inlineStr">
        <is>
          <t>avverkningsanmälan</t>
        </is>
      </c>
      <c r="C3030" t="inlineStr">
        <is>
          <t>Föryngringsavverkning</t>
        </is>
      </c>
      <c r="D3030" s="1" t="n">
        <v>46043</v>
      </c>
      <c r="E3030" s="1" t="n">
        <v>46312</v>
      </c>
      <c r="F3030" t="inlineStr">
        <is>
          <t>SKÅNE LÄN</t>
        </is>
      </c>
      <c r="G3030" t="inlineStr">
        <is>
          <t>ÖRKELLJUNGA</t>
        </is>
      </c>
      <c r="I3030" t="n">
        <v>1.1</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20403-2024</t>
        </is>
      </c>
      <c r="B3031" t="inlineStr">
        <is>
          <t>avverkningsanmälan</t>
        </is>
      </c>
      <c r="C3031" t="inlineStr">
        <is>
          <t>Föryngringsavverkning</t>
        </is>
      </c>
      <c r="D3031" s="1" t="n">
        <v>45435</v>
      </c>
      <c r="E3031" s="1" t="n">
        <v>46312</v>
      </c>
      <c r="F3031" t="inlineStr">
        <is>
          <t>SKÅNE LÄN</t>
        </is>
      </c>
      <c r="G3031" t="inlineStr">
        <is>
          <t>HÖRBY</t>
        </is>
      </c>
      <c r="I3031" t="n">
        <v>0.9</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26286-2026</t>
        </is>
      </c>
      <c r="B3032" t="inlineStr">
        <is>
          <t>avverkningsanmälan</t>
        </is>
      </c>
      <c r="C3032" t="inlineStr">
        <is>
          <t>Föryngringsavverkning</t>
        </is>
      </c>
      <c r="D3032" s="1" t="n">
        <v>46182</v>
      </c>
      <c r="E3032" s="1" t="n">
        <v>46312</v>
      </c>
      <c r="F3032" t="inlineStr">
        <is>
          <t>SKÅNE LÄN</t>
        </is>
      </c>
      <c r="G3032" t="inlineStr">
        <is>
          <t>HÄSSLEHOLM</t>
        </is>
      </c>
      <c r="I3032" t="n">
        <v>2.5</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8741-2024</t>
        </is>
      </c>
      <c r="B3033" t="inlineStr">
        <is>
          <t>avverkningsanmälan</t>
        </is>
      </c>
      <c r="C3033" t="inlineStr">
        <is>
          <t>Föryngringsavverkning</t>
        </is>
      </c>
      <c r="D3033" s="1" t="n">
        <v>45356</v>
      </c>
      <c r="E3033" s="1" t="n">
        <v>46312</v>
      </c>
      <c r="F3033" t="inlineStr">
        <is>
          <t>SKÅNE LÄN</t>
        </is>
      </c>
      <c r="G3033" t="inlineStr">
        <is>
          <t>PERSTORP</t>
        </is>
      </c>
      <c r="I3033" t="n">
        <v>0.6</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37354-2022</t>
        </is>
      </c>
      <c r="B3034" t="inlineStr">
        <is>
          <t>avverkningsanmälan</t>
        </is>
      </c>
      <c r="C3034" t="inlineStr">
        <is>
          <t>Föryngringsavverkning</t>
        </is>
      </c>
      <c r="D3034" s="1" t="n">
        <v>44806</v>
      </c>
      <c r="E3034" s="1" t="n">
        <v>46312</v>
      </c>
      <c r="F3034" t="inlineStr">
        <is>
          <t>SKÅNE LÄN</t>
        </is>
      </c>
      <c r="G3034" t="inlineStr">
        <is>
          <t>SVALÖV</t>
        </is>
      </c>
      <c r="I3034" t="n">
        <v>1.4</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54782-2022</t>
        </is>
      </c>
      <c r="B3035" t="inlineStr">
        <is>
          <t>avverkningsanmälan</t>
        </is>
      </c>
      <c r="C3035" t="inlineStr">
        <is>
          <t>Föryngringsavverkning</t>
        </is>
      </c>
      <c r="D3035" s="1" t="n">
        <v>44883</v>
      </c>
      <c r="E3035" s="1" t="n">
        <v>46312</v>
      </c>
      <c r="F3035" t="inlineStr">
        <is>
          <t>SKÅNE LÄN</t>
        </is>
      </c>
      <c r="G3035" t="inlineStr">
        <is>
          <t>SKURUP</t>
        </is>
      </c>
      <c r="I3035" t="n">
        <v>5.5</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11645-2025</t>
        </is>
      </c>
      <c r="B3036" t="inlineStr">
        <is>
          <t>avverkningsanmälan</t>
        </is>
      </c>
      <c r="C3036" t="inlineStr">
        <is>
          <t>Föryngringsavverkning</t>
        </is>
      </c>
      <c r="D3036" s="1" t="n">
        <v>45727</v>
      </c>
      <c r="E3036" s="1" t="n">
        <v>46312</v>
      </c>
      <c r="F3036" t="inlineStr">
        <is>
          <t>SKÅNE LÄN</t>
        </is>
      </c>
      <c r="G3036" t="inlineStr">
        <is>
          <t>ÖSTRA GÖINGE</t>
        </is>
      </c>
      <c r="I3036" t="n">
        <v>2.3</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3831-2024</t>
        </is>
      </c>
      <c r="B3037" t="inlineStr">
        <is>
          <t>avverkningsanmälan</t>
        </is>
      </c>
      <c r="C3037" t="inlineStr">
        <is>
          <t>Föryngringsavverkning</t>
        </is>
      </c>
      <c r="D3037" s="1" t="n">
        <v>45321</v>
      </c>
      <c r="E3037" s="1" t="n">
        <v>46312</v>
      </c>
      <c r="F3037" t="inlineStr">
        <is>
          <t>SKÅNE LÄN</t>
        </is>
      </c>
      <c r="G3037" t="inlineStr">
        <is>
          <t>OSBY</t>
        </is>
      </c>
      <c r="I3037" t="n">
        <v>3.7</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1106-2023</t>
        </is>
      </c>
      <c r="B3038" t="inlineStr">
        <is>
          <t>avverkningsanmälan</t>
        </is>
      </c>
      <c r="C3038" t="inlineStr">
        <is>
          <t>Föryngringsavverkning</t>
        </is>
      </c>
      <c r="D3038" s="1" t="n">
        <v>44935</v>
      </c>
      <c r="E3038" s="1" t="n">
        <v>46312</v>
      </c>
      <c r="F3038" t="inlineStr">
        <is>
          <t>SKÅNE LÄN</t>
        </is>
      </c>
      <c r="G3038" t="inlineStr">
        <is>
          <t>HÖRBY</t>
        </is>
      </c>
      <c r="I3038" t="n">
        <v>1.2</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29355-2024</t>
        </is>
      </c>
      <c r="B3039" t="inlineStr">
        <is>
          <t>avverkningsanmälan</t>
        </is>
      </c>
      <c r="C3039" t="inlineStr">
        <is>
          <t>Föryngringsavverkning</t>
        </is>
      </c>
      <c r="D3039" s="1" t="n">
        <v>45483</v>
      </c>
      <c r="E3039" s="1" t="n">
        <v>46312</v>
      </c>
      <c r="F3039" t="inlineStr">
        <is>
          <t>SKÅNE LÄN</t>
        </is>
      </c>
      <c r="G3039" t="inlineStr">
        <is>
          <t>ÖSTRA GÖINGE</t>
        </is>
      </c>
      <c r="I3039" t="n">
        <v>7.7</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4989-2026</t>
        </is>
      </c>
      <c r="B3040" t="inlineStr">
        <is>
          <t>avverkningsanmälan</t>
        </is>
      </c>
      <c r="C3040" t="inlineStr">
        <is>
          <t>Föryngringsavverkning</t>
        </is>
      </c>
      <c r="D3040" s="1" t="n">
        <v>46049</v>
      </c>
      <c r="E3040" s="1" t="n">
        <v>46312</v>
      </c>
      <c r="F3040" t="inlineStr">
        <is>
          <t>SKÅNE LÄN</t>
        </is>
      </c>
      <c r="G3040" t="inlineStr">
        <is>
          <t>ÖRKELLJUNGA</t>
        </is>
      </c>
      <c r="I3040" t="n">
        <v>3.9</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19831-2026</t>
        </is>
      </c>
      <c r="B3041" t="inlineStr">
        <is>
          <t>avverkningsanmälan</t>
        </is>
      </c>
      <c r="C3041" t="inlineStr">
        <is>
          <t>Föryngringsavverkning</t>
        </is>
      </c>
      <c r="D3041" s="1" t="n">
        <v>46135</v>
      </c>
      <c r="E3041" s="1" t="n">
        <v>46312</v>
      </c>
      <c r="F3041" t="inlineStr">
        <is>
          <t>SKÅNE LÄN</t>
        </is>
      </c>
      <c r="G3041" t="inlineStr">
        <is>
          <t>HÄSSLEHOLM</t>
        </is>
      </c>
      <c r="I3041" t="n">
        <v>2.8</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26011-2026</t>
        </is>
      </c>
      <c r="B3042" t="inlineStr">
        <is>
          <t>avverkningsanmälan</t>
        </is>
      </c>
      <c r="C3042" t="inlineStr">
        <is>
          <t>Föryngringsavverkning</t>
        </is>
      </c>
      <c r="D3042" s="1" t="n">
        <v>46181</v>
      </c>
      <c r="E3042" s="1" t="n">
        <v>46312</v>
      </c>
      <c r="F3042" t="inlineStr">
        <is>
          <t>SKÅNE LÄN</t>
        </is>
      </c>
      <c r="G3042" t="inlineStr">
        <is>
          <t>HÄSSLEHOLM</t>
        </is>
      </c>
      <c r="I3042" t="n">
        <v>9.1</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26291-2026</t>
        </is>
      </c>
      <c r="B3043" t="inlineStr">
        <is>
          <t>avverkningsanmälan</t>
        </is>
      </c>
      <c r="C3043" t="inlineStr">
        <is>
          <t>Föryngringsavverkning</t>
        </is>
      </c>
      <c r="D3043" s="1" t="n">
        <v>46182</v>
      </c>
      <c r="E3043" s="1" t="n">
        <v>46312</v>
      </c>
      <c r="F3043" t="inlineStr">
        <is>
          <t>SKÅNE LÄN</t>
        </is>
      </c>
      <c r="G3043" t="inlineStr">
        <is>
          <t>HÄSSLEHOLM</t>
        </is>
      </c>
      <c r="I3043" t="n">
        <v>1.4</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61414-2024</t>
        </is>
      </c>
      <c r="B3044" t="inlineStr">
        <is>
          <t>avverkningsanmälan</t>
        </is>
      </c>
      <c r="C3044" t="inlineStr">
        <is>
          <t>Föryngringsavverkning</t>
        </is>
      </c>
      <c r="D3044" s="1" t="n">
        <v>45646</v>
      </c>
      <c r="E3044" s="1" t="n">
        <v>46312</v>
      </c>
      <c r="F3044" t="inlineStr">
        <is>
          <t>SKÅNE LÄN</t>
        </is>
      </c>
      <c r="G3044" t="inlineStr">
        <is>
          <t>OSBY</t>
        </is>
      </c>
      <c r="I3044" t="n">
        <v>2</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26007-2026</t>
        </is>
      </c>
      <c r="B3045" t="inlineStr">
        <is>
          <t>avverkningsanmälan</t>
        </is>
      </c>
      <c r="C3045" t="inlineStr">
        <is>
          <t>Föryngringsavverkning</t>
        </is>
      </c>
      <c r="D3045" s="1" t="n">
        <v>46181</v>
      </c>
      <c r="E3045" s="1" t="n">
        <v>46312</v>
      </c>
      <c r="F3045" t="inlineStr">
        <is>
          <t>SKÅNE LÄN</t>
        </is>
      </c>
      <c r="G3045" t="inlineStr">
        <is>
          <t>HÄSSLEHOLM</t>
        </is>
      </c>
      <c r="I3045" t="n">
        <v>8.699999999999999</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14614-2023</t>
        </is>
      </c>
      <c r="B3046" t="inlineStr">
        <is>
          <t>avverkningsanmälan</t>
        </is>
      </c>
      <c r="C3046" t="inlineStr">
        <is>
          <t>Föryngringsavverkning</t>
        </is>
      </c>
      <c r="D3046" s="1" t="n">
        <v>45013</v>
      </c>
      <c r="E3046" s="1" t="n">
        <v>46312</v>
      </c>
      <c r="F3046" t="inlineStr">
        <is>
          <t>SKÅNE LÄN</t>
        </is>
      </c>
      <c r="G3046" t="inlineStr">
        <is>
          <t>KLIPPAN</t>
        </is>
      </c>
      <c r="I3046" t="n">
        <v>5.1</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14700-2023</t>
        </is>
      </c>
      <c r="B3047" t="inlineStr">
        <is>
          <t>avverkningsanmälan</t>
        </is>
      </c>
      <c r="C3047" t="inlineStr">
        <is>
          <t>Föryngringsavverkning</t>
        </is>
      </c>
      <c r="D3047" s="1" t="n">
        <v>45014</v>
      </c>
      <c r="E3047" s="1" t="n">
        <v>46312</v>
      </c>
      <c r="F3047" t="inlineStr">
        <is>
          <t>SKÅNE LÄN</t>
        </is>
      </c>
      <c r="G3047" t="inlineStr">
        <is>
          <t>HÄSSLEHOLM</t>
        </is>
      </c>
      <c r="I3047" t="n">
        <v>0.5</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5103-2026</t>
        </is>
      </c>
      <c r="B3048" t="inlineStr">
        <is>
          <t>avverkningsanmälan</t>
        </is>
      </c>
      <c r="C3048" t="inlineStr">
        <is>
          <t>Föryngringsavverkning</t>
        </is>
      </c>
      <c r="D3048" s="1" t="n">
        <v>46049</v>
      </c>
      <c r="E3048" s="1" t="n">
        <v>46312</v>
      </c>
      <c r="F3048" t="inlineStr">
        <is>
          <t>SKÅNE LÄN</t>
        </is>
      </c>
      <c r="G3048" t="inlineStr">
        <is>
          <t>HÄSSLEHOLM</t>
        </is>
      </c>
      <c r="I3048" t="n">
        <v>5.4</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26165-2026</t>
        </is>
      </c>
      <c r="B3049" t="inlineStr">
        <is>
          <t>avverkningsanmälan</t>
        </is>
      </c>
      <c r="C3049" t="inlineStr">
        <is>
          <t>Föryngringsavverkning</t>
        </is>
      </c>
      <c r="D3049" s="1" t="n">
        <v>46181</v>
      </c>
      <c r="E3049" s="1" t="n">
        <v>46312</v>
      </c>
      <c r="F3049" t="inlineStr">
        <is>
          <t>SKÅNE LÄN</t>
        </is>
      </c>
      <c r="G3049" t="inlineStr">
        <is>
          <t>ESLÖV</t>
        </is>
      </c>
      <c r="I3049" t="n">
        <v>2</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11773-2023</t>
        </is>
      </c>
      <c r="B3050" t="inlineStr">
        <is>
          <t>avverkningsanmälan</t>
        </is>
      </c>
      <c r="C3050" t="inlineStr">
        <is>
          <t>Föryngringsavverkning</t>
        </is>
      </c>
      <c r="D3050" s="1" t="n">
        <v>44994</v>
      </c>
      <c r="E3050" s="1" t="n">
        <v>46312</v>
      </c>
      <c r="F3050" t="inlineStr">
        <is>
          <t>SKÅNE LÄN</t>
        </is>
      </c>
      <c r="G3050" t="inlineStr">
        <is>
          <t>OSBY</t>
        </is>
      </c>
      <c r="I3050" t="n">
        <v>2.1</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5197-2026</t>
        </is>
      </c>
      <c r="B3051" t="inlineStr">
        <is>
          <t>avverkningsanmälan</t>
        </is>
      </c>
      <c r="C3051" t="inlineStr">
        <is>
          <t>Föryngringsavverkning</t>
        </is>
      </c>
      <c r="D3051" s="1" t="n">
        <v>46049</v>
      </c>
      <c r="E3051" s="1" t="n">
        <v>46312</v>
      </c>
      <c r="F3051" t="inlineStr">
        <is>
          <t>SKÅNE LÄN</t>
        </is>
      </c>
      <c r="G3051" t="inlineStr">
        <is>
          <t>SJÖBO</t>
        </is>
      </c>
      <c r="H3051" t="inlineStr">
        <is>
          <t>Övriga Aktiebolag</t>
        </is>
      </c>
      <c r="I3051" t="n">
        <v>3.4</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19880-2023</t>
        </is>
      </c>
      <c r="B3052" t="inlineStr">
        <is>
          <t>avverkningsanmälan</t>
        </is>
      </c>
      <c r="C3052" t="inlineStr">
        <is>
          <t>Föryngringsavverkning</t>
        </is>
      </c>
      <c r="D3052" s="1" t="n">
        <v>45054</v>
      </c>
      <c r="E3052" s="1" t="n">
        <v>46312</v>
      </c>
      <c r="F3052" t="inlineStr">
        <is>
          <t>SKÅNE LÄN</t>
        </is>
      </c>
      <c r="G3052" t="inlineStr">
        <is>
          <t>KRISTIANSTAD</t>
        </is>
      </c>
      <c r="I3052" t="n">
        <v>2.4</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4981-2026</t>
        </is>
      </c>
      <c r="B3053" t="inlineStr">
        <is>
          <t>avverkningsanmälan</t>
        </is>
      </c>
      <c r="C3053" t="inlineStr">
        <is>
          <t>Föryngringsavverkning</t>
        </is>
      </c>
      <c r="D3053" s="1" t="n">
        <v>46049</v>
      </c>
      <c r="E3053" s="1" t="n">
        <v>46312</v>
      </c>
      <c r="F3053" t="inlineStr">
        <is>
          <t>SKÅNE LÄN</t>
        </is>
      </c>
      <c r="G3053" t="inlineStr">
        <is>
          <t>HÄSSLEHOLM</t>
        </is>
      </c>
      <c r="I3053" t="n">
        <v>0.6</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4994-2026</t>
        </is>
      </c>
      <c r="B3054" t="inlineStr">
        <is>
          <t>avverkningsanmälan</t>
        </is>
      </c>
      <c r="C3054" t="inlineStr">
        <is>
          <t>Föryngringsavverkning</t>
        </is>
      </c>
      <c r="D3054" s="1" t="n">
        <v>46049</v>
      </c>
      <c r="E3054" s="1" t="n">
        <v>46312</v>
      </c>
      <c r="F3054" t="inlineStr">
        <is>
          <t>SKÅNE LÄN</t>
        </is>
      </c>
      <c r="G3054" t="inlineStr">
        <is>
          <t>HÄSSLEHOLM</t>
        </is>
      </c>
      <c r="I3054" t="n">
        <v>2.4</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45609-2023</t>
        </is>
      </c>
      <c r="B3055" t="inlineStr">
        <is>
          <t>avverkningsanmälan</t>
        </is>
      </c>
      <c r="C3055" t="inlineStr">
        <is>
          <t>Föryngringsavverkning</t>
        </is>
      </c>
      <c r="D3055" s="1" t="n">
        <v>45194</v>
      </c>
      <c r="E3055" s="1" t="n">
        <v>46312</v>
      </c>
      <c r="F3055" t="inlineStr">
        <is>
          <t>SKÅNE LÄN</t>
        </is>
      </c>
      <c r="G3055" t="inlineStr">
        <is>
          <t>KRISTIANSTAD</t>
        </is>
      </c>
      <c r="I3055" t="n">
        <v>4.2</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4834-2026</t>
        </is>
      </c>
      <c r="B3056" t="inlineStr">
        <is>
          <t>avverkningsanmälan</t>
        </is>
      </c>
      <c r="C3056" t="inlineStr">
        <is>
          <t>Föryngringsavverkning</t>
        </is>
      </c>
      <c r="D3056" s="1" t="n">
        <v>46048</v>
      </c>
      <c r="E3056" s="1" t="n">
        <v>46312</v>
      </c>
      <c r="F3056" t="inlineStr">
        <is>
          <t>SKÅNE LÄN</t>
        </is>
      </c>
      <c r="G3056" t="inlineStr">
        <is>
          <t>KRISTIANSTAD</t>
        </is>
      </c>
      <c r="H3056" t="inlineStr">
        <is>
          <t>Övriga Aktiebolag</t>
        </is>
      </c>
      <c r="I3056" t="n">
        <v>6.3</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5404-2026</t>
        </is>
      </c>
      <c r="B3057" t="inlineStr">
        <is>
          <t>avverkningsanmälan</t>
        </is>
      </c>
      <c r="C3057" t="inlineStr">
        <is>
          <t>Föryngringsavverkning</t>
        </is>
      </c>
      <c r="D3057" s="1" t="n">
        <v>46049</v>
      </c>
      <c r="E3057" s="1" t="n">
        <v>46312</v>
      </c>
      <c r="F3057" t="inlineStr">
        <is>
          <t>SKÅNE LÄN</t>
        </is>
      </c>
      <c r="G3057" t="inlineStr">
        <is>
          <t>SJÖBO</t>
        </is>
      </c>
      <c r="I3057" t="n">
        <v>5.9</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4968-2026</t>
        </is>
      </c>
      <c r="B3058" t="inlineStr">
        <is>
          <t>avverkningsanmälan</t>
        </is>
      </c>
      <c r="C3058" t="inlineStr">
        <is>
          <t>Föryngringsavverkning</t>
        </is>
      </c>
      <c r="D3058" s="1" t="n">
        <v>46049</v>
      </c>
      <c r="E3058" s="1" t="n">
        <v>46312</v>
      </c>
      <c r="F3058" t="inlineStr">
        <is>
          <t>SKÅNE LÄN</t>
        </is>
      </c>
      <c r="G3058" t="inlineStr">
        <is>
          <t>KLIPPAN</t>
        </is>
      </c>
      <c r="I3058" t="n">
        <v>0.4</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5068-2026</t>
        </is>
      </c>
      <c r="B3059" t="inlineStr">
        <is>
          <t>avverkningsanmälan</t>
        </is>
      </c>
      <c r="C3059" t="inlineStr">
        <is>
          <t>Föryngringsavverkning</t>
        </is>
      </c>
      <c r="D3059" s="1" t="n">
        <v>46049</v>
      </c>
      <c r="E3059" s="1" t="n">
        <v>46312</v>
      </c>
      <c r="F3059" t="inlineStr">
        <is>
          <t>SKÅNE LÄN</t>
        </is>
      </c>
      <c r="G3059" t="inlineStr">
        <is>
          <t>SVALÖV</t>
        </is>
      </c>
      <c r="I3059" t="n">
        <v>3.5</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39915-2023</t>
        </is>
      </c>
      <c r="B3060" t="inlineStr">
        <is>
          <t>avverkningsanmälan</t>
        </is>
      </c>
      <c r="C3060" t="inlineStr">
        <is>
          <t>Föryngringsavverkning</t>
        </is>
      </c>
      <c r="D3060" s="1" t="n">
        <v>45168</v>
      </c>
      <c r="E3060" s="1" t="n">
        <v>46312</v>
      </c>
      <c r="F3060" t="inlineStr">
        <is>
          <t>SKÅNE LÄN</t>
        </is>
      </c>
      <c r="G3060" t="inlineStr">
        <is>
          <t>HÄSSLEHOLM</t>
        </is>
      </c>
      <c r="I3060" t="n">
        <v>0.4</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30911-2024</t>
        </is>
      </c>
      <c r="B3061" t="inlineStr">
        <is>
          <t>avverkningsanmälan</t>
        </is>
      </c>
      <c r="C3061" t="inlineStr">
        <is>
          <t>Föryngringsavverkning</t>
        </is>
      </c>
      <c r="D3061" s="1" t="n">
        <v>45498</v>
      </c>
      <c r="E3061" s="1" t="n">
        <v>46312</v>
      </c>
      <c r="F3061" t="inlineStr">
        <is>
          <t>SKÅNE LÄN</t>
        </is>
      </c>
      <c r="G3061" t="inlineStr">
        <is>
          <t>SIMRISHAMN</t>
        </is>
      </c>
      <c r="H3061" t="inlineStr">
        <is>
          <t>Övriga Aktiebolag</t>
        </is>
      </c>
      <c r="I3061" t="n">
        <v>2.6</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5374-2026</t>
        </is>
      </c>
      <c r="B3062" t="inlineStr">
        <is>
          <t>avverkningsanmälan</t>
        </is>
      </c>
      <c r="C3062" t="inlineStr">
        <is>
          <t>Föryngringsavverkning</t>
        </is>
      </c>
      <c r="D3062" s="1" t="n">
        <v>46050</v>
      </c>
      <c r="E3062" s="1" t="n">
        <v>46312</v>
      </c>
      <c r="F3062" t="inlineStr">
        <is>
          <t>SKÅNE LÄN</t>
        </is>
      </c>
      <c r="G3062" t="inlineStr">
        <is>
          <t>HÖRBY</t>
        </is>
      </c>
      <c r="I3062" t="n">
        <v>0.5</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11146-2024</t>
        </is>
      </c>
      <c r="B3063" t="inlineStr">
        <is>
          <t>avverkningsanmälan</t>
        </is>
      </c>
      <c r="C3063" t="inlineStr">
        <is>
          <t>Föryngringsavverkning</t>
        </is>
      </c>
      <c r="D3063" s="1" t="n">
        <v>45371</v>
      </c>
      <c r="E3063" s="1" t="n">
        <v>46312</v>
      </c>
      <c r="F3063" t="inlineStr">
        <is>
          <t>SKÅNE LÄN</t>
        </is>
      </c>
      <c r="G3063" t="inlineStr">
        <is>
          <t>OSBY</t>
        </is>
      </c>
      <c r="I3063" t="n">
        <v>0.6</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26467-2026</t>
        </is>
      </c>
      <c r="B3064" t="inlineStr">
        <is>
          <t>avverkningsanmälan</t>
        </is>
      </c>
      <c r="C3064" t="inlineStr">
        <is>
          <t>Föryngringsavverkning</t>
        </is>
      </c>
      <c r="D3064" s="1" t="n">
        <v>46182</v>
      </c>
      <c r="E3064" s="1" t="n">
        <v>46312</v>
      </c>
      <c r="F3064" t="inlineStr">
        <is>
          <t>SKÅNE LÄN</t>
        </is>
      </c>
      <c r="G3064" t="inlineStr">
        <is>
          <t>ÖSTRA GÖINGE</t>
        </is>
      </c>
      <c r="I3064" t="n">
        <v>0.8</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26468-2026</t>
        </is>
      </c>
      <c r="B3065" t="inlineStr">
        <is>
          <t>avverkningsanmälan</t>
        </is>
      </c>
      <c r="C3065" t="inlineStr">
        <is>
          <t>Föryngringsavverkning</t>
        </is>
      </c>
      <c r="D3065" s="1" t="n">
        <v>46182</v>
      </c>
      <c r="E3065" s="1" t="n">
        <v>46312</v>
      </c>
      <c r="F3065" t="inlineStr">
        <is>
          <t>SKÅNE LÄN</t>
        </is>
      </c>
      <c r="G3065" t="inlineStr">
        <is>
          <t>ÖSTRA GÖINGE</t>
        </is>
      </c>
      <c r="I3065" t="n">
        <v>34.5</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5503-2026</t>
        </is>
      </c>
      <c r="B3066" t="inlineStr">
        <is>
          <t>avverkningsanmälan</t>
        </is>
      </c>
      <c r="C3066" t="inlineStr">
        <is>
          <t>Föryngringsavverkning</t>
        </is>
      </c>
      <c r="D3066" s="1" t="n">
        <v>46050</v>
      </c>
      <c r="E3066" s="1" t="n">
        <v>46312</v>
      </c>
      <c r="F3066" t="inlineStr">
        <is>
          <t>SKÅNE LÄN</t>
        </is>
      </c>
      <c r="G3066" t="inlineStr">
        <is>
          <t>HÄSSLEHOLM</t>
        </is>
      </c>
      <c r="I3066" t="n">
        <v>0.6</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20058-2023</t>
        </is>
      </c>
      <c r="B3067" t="inlineStr">
        <is>
          <t>avverkningsanmälan</t>
        </is>
      </c>
      <c r="C3067" t="inlineStr">
        <is>
          <t>Föryngringsavverkning</t>
        </is>
      </c>
      <c r="D3067" s="1" t="n">
        <v>45054</v>
      </c>
      <c r="E3067" s="1" t="n">
        <v>46312</v>
      </c>
      <c r="F3067" t="inlineStr">
        <is>
          <t>SKÅNE LÄN</t>
        </is>
      </c>
      <c r="G3067" t="inlineStr">
        <is>
          <t>HÄSSLEHOLM</t>
        </is>
      </c>
      <c r="I3067" t="n">
        <v>1.4</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19880-2024</t>
        </is>
      </c>
      <c r="B3068" t="inlineStr">
        <is>
          <t>avverkningsanmälan</t>
        </is>
      </c>
      <c r="C3068" t="inlineStr">
        <is>
          <t>Föryngringsavverkning</t>
        </is>
      </c>
      <c r="D3068" s="1" t="n">
        <v>45433</v>
      </c>
      <c r="E3068" s="1" t="n">
        <v>46312</v>
      </c>
      <c r="F3068" t="inlineStr">
        <is>
          <t>SKÅNE LÄN</t>
        </is>
      </c>
      <c r="G3068" t="inlineStr">
        <is>
          <t>SJÖBO</t>
        </is>
      </c>
      <c r="I3068" t="n">
        <v>6.5</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26169-2026</t>
        </is>
      </c>
      <c r="B3069" t="inlineStr">
        <is>
          <t>avverkningsanmälan</t>
        </is>
      </c>
      <c r="C3069" t="inlineStr">
        <is>
          <t>Föryngringsavverkning</t>
        </is>
      </c>
      <c r="D3069" s="1" t="n">
        <v>46181</v>
      </c>
      <c r="E3069" s="1" t="n">
        <v>46312</v>
      </c>
      <c r="F3069" t="inlineStr">
        <is>
          <t>SKÅNE LÄN</t>
        </is>
      </c>
      <c r="G3069" t="inlineStr">
        <is>
          <t>ESLÖV</t>
        </is>
      </c>
      <c r="I3069" t="n">
        <v>3.5</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49815-2025</t>
        </is>
      </c>
      <c r="B3070" t="inlineStr">
        <is>
          <t>avverkningsanmälan</t>
        </is>
      </c>
      <c r="C3070" t="inlineStr">
        <is>
          <t>Föryngringsavverkning</t>
        </is>
      </c>
      <c r="D3070" s="1" t="n">
        <v>45940</v>
      </c>
      <c r="E3070" s="1" t="n">
        <v>46312</v>
      </c>
      <c r="F3070" t="inlineStr">
        <is>
          <t>SKÅNE LÄN</t>
        </is>
      </c>
      <c r="G3070" t="inlineStr">
        <is>
          <t>TOMELILLA</t>
        </is>
      </c>
      <c r="I3070" t="n">
        <v>0.6</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5759-2026</t>
        </is>
      </c>
      <c r="B3071" t="inlineStr">
        <is>
          <t>avverkningsanmälan</t>
        </is>
      </c>
      <c r="C3071" t="inlineStr">
        <is>
          <t>Föryngringsavverkning</t>
        </is>
      </c>
      <c r="D3071" s="1" t="n">
        <v>46051</v>
      </c>
      <c r="E3071" s="1" t="n">
        <v>46312</v>
      </c>
      <c r="F3071" t="inlineStr">
        <is>
          <t>SKÅNE LÄN</t>
        </is>
      </c>
      <c r="G3071" t="inlineStr">
        <is>
          <t>HÄSSLEHOLM</t>
        </is>
      </c>
      <c r="I3071" t="n">
        <v>0.7</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26316-2026</t>
        </is>
      </c>
      <c r="B3072" t="inlineStr">
        <is>
          <t>avverkningsanmälan</t>
        </is>
      </c>
      <c r="C3072" t="inlineStr">
        <is>
          <t>Föryngringsavverkning</t>
        </is>
      </c>
      <c r="D3072" s="1" t="n">
        <v>46182</v>
      </c>
      <c r="E3072" s="1" t="n">
        <v>46312</v>
      </c>
      <c r="F3072" t="inlineStr">
        <is>
          <t>SKÅNE LÄN</t>
        </is>
      </c>
      <c r="G3072" t="inlineStr">
        <is>
          <t>HÄSSLEHOLM</t>
        </is>
      </c>
      <c r="H3072" t="inlineStr">
        <is>
          <t>Övriga Aktiebolag</t>
        </is>
      </c>
      <c r="I3072" t="n">
        <v>2.5</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8619-2023</t>
        </is>
      </c>
      <c r="B3073" t="inlineStr">
        <is>
          <t>avverkningsanmälan</t>
        </is>
      </c>
      <c r="C3073" t="inlineStr">
        <is>
          <t>Föryngringsavverkning</t>
        </is>
      </c>
      <c r="D3073" s="1" t="n">
        <v>44977</v>
      </c>
      <c r="E3073" s="1" t="n">
        <v>46312</v>
      </c>
      <c r="F3073" t="inlineStr">
        <is>
          <t>SKÅNE LÄN</t>
        </is>
      </c>
      <c r="G3073" t="inlineStr">
        <is>
          <t>HÄSSLEHOLM</t>
        </is>
      </c>
      <c r="I3073" t="n">
        <v>0.8</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59266-2025</t>
        </is>
      </c>
      <c r="B3074" t="inlineStr">
        <is>
          <t>avverkningsanmälan</t>
        </is>
      </c>
      <c r="C3074" t="inlineStr">
        <is>
          <t>Föryngringsavverkning</t>
        </is>
      </c>
      <c r="D3074" s="1" t="n">
        <v>45988</v>
      </c>
      <c r="E3074" s="1" t="n">
        <v>46312</v>
      </c>
      <c r="F3074" t="inlineStr">
        <is>
          <t>SKÅNE LÄN</t>
        </is>
      </c>
      <c r="G3074" t="inlineStr">
        <is>
          <t>SVALÖV</t>
        </is>
      </c>
      <c r="I3074" t="n">
        <v>1.8</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26465-2026</t>
        </is>
      </c>
      <c r="B3075" t="inlineStr">
        <is>
          <t>avverkningsanmälan</t>
        </is>
      </c>
      <c r="C3075" t="inlineStr">
        <is>
          <t>Föryngringsavverkning</t>
        </is>
      </c>
      <c r="D3075" s="1" t="n">
        <v>46182</v>
      </c>
      <c r="E3075" s="1" t="n">
        <v>46312</v>
      </c>
      <c r="F3075" t="inlineStr">
        <is>
          <t>SKÅNE LÄN</t>
        </is>
      </c>
      <c r="G3075" t="inlineStr">
        <is>
          <t>ÖSTRA GÖINGE</t>
        </is>
      </c>
      <c r="I3075" t="n">
        <v>0.8</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26466-2026</t>
        </is>
      </c>
      <c r="B3076" t="inlineStr">
        <is>
          <t>avverkningsanmälan</t>
        </is>
      </c>
      <c r="C3076" t="inlineStr">
        <is>
          <t>Föryngringsavverkning</t>
        </is>
      </c>
      <c r="D3076" s="1" t="n">
        <v>46182</v>
      </c>
      <c r="E3076" s="1" t="n">
        <v>46312</v>
      </c>
      <c r="F3076" t="inlineStr">
        <is>
          <t>SKÅNE LÄN</t>
        </is>
      </c>
      <c r="G3076" t="inlineStr">
        <is>
          <t>ÖSTRA GÖINGE</t>
        </is>
      </c>
      <c r="I3076" t="n">
        <v>2.1</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34170-2023</t>
        </is>
      </c>
      <c r="B3077" t="inlineStr">
        <is>
          <t>avverkningsanmälan</t>
        </is>
      </c>
      <c r="C3077" t="inlineStr">
        <is>
          <t>Föryngringsavverkning</t>
        </is>
      </c>
      <c r="D3077" s="1" t="n">
        <v>45138</v>
      </c>
      <c r="E3077" s="1" t="n">
        <v>46312</v>
      </c>
      <c r="F3077" t="inlineStr">
        <is>
          <t>SKÅNE LÄN</t>
        </is>
      </c>
      <c r="G3077" t="inlineStr">
        <is>
          <t>ESLÖV</t>
        </is>
      </c>
      <c r="I3077" t="n">
        <v>5.8</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53067-2022</t>
        </is>
      </c>
      <c r="B3078" t="inlineStr">
        <is>
          <t>avverkningsanmälan</t>
        </is>
      </c>
      <c r="C3078" t="inlineStr">
        <is>
          <t>Föryngringsavverkning</t>
        </is>
      </c>
      <c r="D3078" s="1" t="n">
        <v>44873</v>
      </c>
      <c r="E3078" s="1" t="n">
        <v>46312</v>
      </c>
      <c r="F3078" t="inlineStr">
        <is>
          <t>SKÅNE LÄN</t>
        </is>
      </c>
      <c r="G3078" t="inlineStr">
        <is>
          <t>HÄSSLEHOLM</t>
        </is>
      </c>
      <c r="I3078" t="n">
        <v>1.2</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24952-2023</t>
        </is>
      </c>
      <c r="B3079" t="inlineStr">
        <is>
          <t>avverkningsanmälan</t>
        </is>
      </c>
      <c r="C3079" t="inlineStr">
        <is>
          <t>Föryngringsavverkning</t>
        </is>
      </c>
      <c r="D3079" s="1" t="n">
        <v>45085</v>
      </c>
      <c r="E3079" s="1" t="n">
        <v>46312</v>
      </c>
      <c r="F3079" t="inlineStr">
        <is>
          <t>SKÅNE LÄN</t>
        </is>
      </c>
      <c r="G3079" t="inlineStr">
        <is>
          <t>KRISTIANSTAD</t>
        </is>
      </c>
      <c r="I3079" t="n">
        <v>1.2</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6299-2026</t>
        </is>
      </c>
      <c r="B3080" t="inlineStr">
        <is>
          <t>avverkningsanmälan</t>
        </is>
      </c>
      <c r="C3080" t="inlineStr">
        <is>
          <t>Föryngringsavverkning</t>
        </is>
      </c>
      <c r="D3080" s="1" t="n">
        <v>46055</v>
      </c>
      <c r="E3080" s="1" t="n">
        <v>46312</v>
      </c>
      <c r="F3080" t="inlineStr">
        <is>
          <t>SKÅNE LÄN</t>
        </is>
      </c>
      <c r="G3080" t="inlineStr">
        <is>
          <t>HÄSSLEHOLM</t>
        </is>
      </c>
      <c r="I3080" t="n">
        <v>5.2</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54009-2023</t>
        </is>
      </c>
      <c r="B3081" t="inlineStr">
        <is>
          <t>avverkningsanmälan</t>
        </is>
      </c>
      <c r="C3081" t="inlineStr">
        <is>
          <t>Föryngringsavverkning</t>
        </is>
      </c>
      <c r="D3081" s="1" t="n">
        <v>45231</v>
      </c>
      <c r="E3081" s="1" t="n">
        <v>46312</v>
      </c>
      <c r="F3081" t="inlineStr">
        <is>
          <t>SKÅNE LÄN</t>
        </is>
      </c>
      <c r="G3081" t="inlineStr">
        <is>
          <t>OSBY</t>
        </is>
      </c>
      <c r="I3081" t="n">
        <v>1.5</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65200-2021</t>
        </is>
      </c>
      <c r="B3082" t="inlineStr">
        <is>
          <t>avverkningsanmälan</t>
        </is>
      </c>
      <c r="C3082" t="inlineStr">
        <is>
          <t>Avverkning för annat ändamål</t>
        </is>
      </c>
      <c r="D3082" s="1" t="n">
        <v>44515</v>
      </c>
      <c r="E3082" s="1" t="n">
        <v>46312</v>
      </c>
      <c r="F3082" t="inlineStr">
        <is>
          <t>SKÅNE LÄN</t>
        </is>
      </c>
      <c r="G3082" t="inlineStr">
        <is>
          <t>HÖÖR</t>
        </is>
      </c>
      <c r="I3082" t="n">
        <v>1.1</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3349-2023</t>
        </is>
      </c>
      <c r="B3083" t="inlineStr">
        <is>
          <t>avverkningsanmälan</t>
        </is>
      </c>
      <c r="C3083" t="inlineStr">
        <is>
          <t>Föryngringsavverkning</t>
        </is>
      </c>
      <c r="D3083" s="1" t="n">
        <v>44949</v>
      </c>
      <c r="E3083" s="1" t="n">
        <v>46312</v>
      </c>
      <c r="F3083" t="inlineStr">
        <is>
          <t>SKÅNE LÄN</t>
        </is>
      </c>
      <c r="G3083" t="inlineStr">
        <is>
          <t>HÄSSLEHOLM</t>
        </is>
      </c>
      <c r="I3083" t="n">
        <v>2.3</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6295-2026</t>
        </is>
      </c>
      <c r="B3084" t="inlineStr">
        <is>
          <t>avverkningsanmälan</t>
        </is>
      </c>
      <c r="C3084" t="inlineStr">
        <is>
          <t>Föryngringsavverkning</t>
        </is>
      </c>
      <c r="D3084" s="1" t="n">
        <v>46055</v>
      </c>
      <c r="E3084" s="1" t="n">
        <v>46312</v>
      </c>
      <c r="F3084" t="inlineStr">
        <is>
          <t>SKÅNE LÄN</t>
        </is>
      </c>
      <c r="G3084" t="inlineStr">
        <is>
          <t>HÄSSLEHOLM</t>
        </is>
      </c>
      <c r="I3084" t="n">
        <v>0.5</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11802-2024</t>
        </is>
      </c>
      <c r="B3085" t="inlineStr">
        <is>
          <t>avverkningsanmälan</t>
        </is>
      </c>
      <c r="C3085" t="inlineStr">
        <is>
          <t>Föryngringsavverkning</t>
        </is>
      </c>
      <c r="D3085" s="1" t="n">
        <v>45375</v>
      </c>
      <c r="E3085" s="1" t="n">
        <v>46312</v>
      </c>
      <c r="F3085" t="inlineStr">
        <is>
          <t>SKÅNE LÄN</t>
        </is>
      </c>
      <c r="G3085" t="inlineStr">
        <is>
          <t>TOMELILLA</t>
        </is>
      </c>
      <c r="H3085" t="inlineStr">
        <is>
          <t>Övriga Aktiebolag</t>
        </is>
      </c>
      <c r="I3085" t="n">
        <v>4.7</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11894-2024</t>
        </is>
      </c>
      <c r="B3086" t="inlineStr">
        <is>
          <t>avverkningsanmälan</t>
        </is>
      </c>
      <c r="C3086" t="inlineStr">
        <is>
          <t>Föryngringsavverkning</t>
        </is>
      </c>
      <c r="D3086" s="1" t="n">
        <v>45376</v>
      </c>
      <c r="E3086" s="1" t="n">
        <v>46312</v>
      </c>
      <c r="F3086" t="inlineStr">
        <is>
          <t>SKÅNE LÄN</t>
        </is>
      </c>
      <c r="G3086" t="inlineStr">
        <is>
          <t>TOMELILLA</t>
        </is>
      </c>
      <c r="H3086" t="inlineStr">
        <is>
          <t>Övriga Aktiebolag</t>
        </is>
      </c>
      <c r="I3086" t="n">
        <v>4.4</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7079-2023</t>
        </is>
      </c>
      <c r="B3087" t="inlineStr">
        <is>
          <t>avverkningsanmälan</t>
        </is>
      </c>
      <c r="C3087" t="inlineStr">
        <is>
          <t>Föryngringsavverkning</t>
        </is>
      </c>
      <c r="D3087" s="1" t="n">
        <v>44965</v>
      </c>
      <c r="E3087" s="1" t="n">
        <v>46312</v>
      </c>
      <c r="F3087" t="inlineStr">
        <is>
          <t>SKÅNE LÄN</t>
        </is>
      </c>
      <c r="G3087" t="inlineStr">
        <is>
          <t>OSBY</t>
        </is>
      </c>
      <c r="I3087" t="n">
        <v>1.8</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61364-2023</t>
        </is>
      </c>
      <c r="B3088" t="inlineStr">
        <is>
          <t>avverkningsanmälan</t>
        </is>
      </c>
      <c r="C3088" t="inlineStr">
        <is>
          <t>Föryngringsavverkning</t>
        </is>
      </c>
      <c r="D3088" s="1" t="n">
        <v>45264</v>
      </c>
      <c r="E3088" s="1" t="n">
        <v>46312</v>
      </c>
      <c r="F3088" t="inlineStr">
        <is>
          <t>SKÅNE LÄN</t>
        </is>
      </c>
      <c r="G3088" t="inlineStr">
        <is>
          <t>OSBY</t>
        </is>
      </c>
      <c r="I3088" t="n">
        <v>0.7</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6877-2026</t>
        </is>
      </c>
      <c r="B3089" t="inlineStr">
        <is>
          <t>avverkningsanmälan</t>
        </is>
      </c>
      <c r="C3089" t="inlineStr">
        <is>
          <t>Föryngringsavverkning</t>
        </is>
      </c>
      <c r="D3089" s="1" t="n">
        <v>46057</v>
      </c>
      <c r="E3089" s="1" t="n">
        <v>46312</v>
      </c>
      <c r="F3089" t="inlineStr">
        <is>
          <t>SKÅNE LÄN</t>
        </is>
      </c>
      <c r="G3089" t="inlineStr">
        <is>
          <t>HÄSSLEHOLM</t>
        </is>
      </c>
      <c r="I3089" t="n">
        <v>1.3</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17519-2023</t>
        </is>
      </c>
      <c r="B3090" t="inlineStr">
        <is>
          <t>avverkningsanmälan</t>
        </is>
      </c>
      <c r="C3090" t="inlineStr">
        <is>
          <t>Avverkning för annat ändamål</t>
        </is>
      </c>
      <c r="D3090" s="1" t="n">
        <v>45036</v>
      </c>
      <c r="E3090" s="1" t="n">
        <v>46312</v>
      </c>
      <c r="F3090" t="inlineStr">
        <is>
          <t>SKÅNE LÄN</t>
        </is>
      </c>
      <c r="G3090" t="inlineStr">
        <is>
          <t>LUND</t>
        </is>
      </c>
      <c r="I3090" t="n">
        <v>0.5</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13267-2023</t>
        </is>
      </c>
      <c r="B3091" t="inlineStr">
        <is>
          <t>avverkningsanmälan</t>
        </is>
      </c>
      <c r="C3091" t="inlineStr">
        <is>
          <t>Avverkning för annat ändamål</t>
        </is>
      </c>
      <c r="D3091" s="1" t="n">
        <v>45003</v>
      </c>
      <c r="E3091" s="1" t="n">
        <v>46312</v>
      </c>
      <c r="F3091" t="inlineStr">
        <is>
          <t>SKÅNE LÄN</t>
        </is>
      </c>
      <c r="G3091" t="inlineStr">
        <is>
          <t>PERSTORP</t>
        </is>
      </c>
      <c r="I3091" t="n">
        <v>0.7</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26166-2026</t>
        </is>
      </c>
      <c r="B3092" t="inlineStr">
        <is>
          <t>avverkningsanmälan</t>
        </is>
      </c>
      <c r="C3092" t="inlineStr">
        <is>
          <t>Föryngringsavverkning</t>
        </is>
      </c>
      <c r="D3092" s="1" t="n">
        <v>46181</v>
      </c>
      <c r="E3092" s="1" t="n">
        <v>46312</v>
      </c>
      <c r="F3092" t="inlineStr">
        <is>
          <t>SKÅNE LÄN</t>
        </is>
      </c>
      <c r="G3092" t="inlineStr">
        <is>
          <t>HÄSSLEHOLM</t>
        </is>
      </c>
      <c r="I3092" t="n">
        <v>3.9</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10060-2024</t>
        </is>
      </c>
      <c r="B3093" t="inlineStr">
        <is>
          <t>avverkningsanmälan</t>
        </is>
      </c>
      <c r="C3093" t="inlineStr">
        <is>
          <t>Föryngringsavverkning</t>
        </is>
      </c>
      <c r="D3093" s="1" t="n">
        <v>45364</v>
      </c>
      <c r="E3093" s="1" t="n">
        <v>46312</v>
      </c>
      <c r="F3093" t="inlineStr">
        <is>
          <t>SKÅNE LÄN</t>
        </is>
      </c>
      <c r="G3093" t="inlineStr">
        <is>
          <t>OSBY</t>
        </is>
      </c>
      <c r="I3093" t="n">
        <v>1.4</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11150-2023</t>
        </is>
      </c>
      <c r="B3094" t="inlineStr">
        <is>
          <t>avverkningsanmälan</t>
        </is>
      </c>
      <c r="C3094" t="inlineStr">
        <is>
          <t>Föryngringsavverkning</t>
        </is>
      </c>
      <c r="D3094" s="1" t="n">
        <v>44992</v>
      </c>
      <c r="E3094" s="1" t="n">
        <v>46312</v>
      </c>
      <c r="F3094" t="inlineStr">
        <is>
          <t>SKÅNE LÄN</t>
        </is>
      </c>
      <c r="G3094" t="inlineStr">
        <is>
          <t>KRISTIANSTAD</t>
        </is>
      </c>
      <c r="I3094" t="n">
        <v>0.7</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64055-2025</t>
        </is>
      </c>
      <c r="B3095" t="inlineStr">
        <is>
          <t>avverkningsanmälan</t>
        </is>
      </c>
      <c r="C3095" t="inlineStr">
        <is>
          <t>Föryngringsavverkning</t>
        </is>
      </c>
      <c r="D3095" s="1" t="n">
        <v>46021</v>
      </c>
      <c r="E3095" s="1" t="n">
        <v>46312</v>
      </c>
      <c r="F3095" t="inlineStr">
        <is>
          <t>SKÅNE LÄN</t>
        </is>
      </c>
      <c r="G3095" t="inlineStr">
        <is>
          <t>SVEDALA</t>
        </is>
      </c>
      <c r="I3095" t="n">
        <v>0.9</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32732-2022</t>
        </is>
      </c>
      <c r="B3096" t="inlineStr">
        <is>
          <t>avverkningsanmälan</t>
        </is>
      </c>
      <c r="C3096" t="inlineStr">
        <is>
          <t>Föryngringsavverkning</t>
        </is>
      </c>
      <c r="D3096" s="1" t="n">
        <v>44783</v>
      </c>
      <c r="E3096" s="1" t="n">
        <v>46312</v>
      </c>
      <c r="F3096" t="inlineStr">
        <is>
          <t>SKÅNE LÄN</t>
        </is>
      </c>
      <c r="G3096" t="inlineStr">
        <is>
          <t>SJÖBO</t>
        </is>
      </c>
      <c r="I3096" t="n">
        <v>1.5</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64058-2025</t>
        </is>
      </c>
      <c r="B3097" t="inlineStr">
        <is>
          <t>avverkningsanmälan</t>
        </is>
      </c>
      <c r="C3097" t="inlineStr">
        <is>
          <t>Föryngringsavverkning</t>
        </is>
      </c>
      <c r="D3097" s="1" t="n">
        <v>46021</v>
      </c>
      <c r="E3097" s="1" t="n">
        <v>46312</v>
      </c>
      <c r="F3097" t="inlineStr">
        <is>
          <t>SKÅNE LÄN</t>
        </is>
      </c>
      <c r="G3097" t="inlineStr">
        <is>
          <t>SVEDALA</t>
        </is>
      </c>
      <c r="I3097" t="n">
        <v>1.4</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26393-2026</t>
        </is>
      </c>
      <c r="B3098" t="inlineStr">
        <is>
          <t>avverkningsanmälan</t>
        </is>
      </c>
      <c r="C3098" t="inlineStr">
        <is>
          <t>Föryngringsavverkning</t>
        </is>
      </c>
      <c r="D3098" s="1" t="n">
        <v>46183</v>
      </c>
      <c r="E3098" s="1" t="n">
        <v>46312</v>
      </c>
      <c r="F3098" t="inlineStr">
        <is>
          <t>SKÅNE LÄN</t>
        </is>
      </c>
      <c r="G3098" t="inlineStr">
        <is>
          <t>HÄSSLEHOLM</t>
        </is>
      </c>
      <c r="I3098" t="n">
        <v>0.4</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26168-2026</t>
        </is>
      </c>
      <c r="B3099" t="inlineStr">
        <is>
          <t>avverkningsanmälan</t>
        </is>
      </c>
      <c r="C3099" t="inlineStr">
        <is>
          <t>Föryngringsavverkning</t>
        </is>
      </c>
      <c r="D3099" s="1" t="n">
        <v>46181</v>
      </c>
      <c r="E3099" s="1" t="n">
        <v>46312</v>
      </c>
      <c r="F3099" t="inlineStr">
        <is>
          <t>SKÅNE LÄN</t>
        </is>
      </c>
      <c r="G3099" t="inlineStr">
        <is>
          <t>KRISTIANSTAD</t>
        </is>
      </c>
      <c r="I3099" t="n">
        <v>3.1</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26578-2026</t>
        </is>
      </c>
      <c r="B3100" t="inlineStr">
        <is>
          <t>avverkningsanmälan</t>
        </is>
      </c>
      <c r="C3100" t="inlineStr">
        <is>
          <t>Föryngringsavverkning</t>
        </is>
      </c>
      <c r="D3100" s="1" t="n">
        <v>46183</v>
      </c>
      <c r="E3100" s="1" t="n">
        <v>46312</v>
      </c>
      <c r="F3100" t="inlineStr">
        <is>
          <t>SKÅNE LÄN</t>
        </is>
      </c>
      <c r="G3100" t="inlineStr">
        <is>
          <t>ÖRKELLJUNGA</t>
        </is>
      </c>
      <c r="I3100" t="n">
        <v>2.4</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26580-2026</t>
        </is>
      </c>
      <c r="B3101" t="inlineStr">
        <is>
          <t>avverkningsanmälan</t>
        </is>
      </c>
      <c r="C3101" t="inlineStr">
        <is>
          <t>Föryngringsavverkning</t>
        </is>
      </c>
      <c r="D3101" s="1" t="n">
        <v>46183</v>
      </c>
      <c r="E3101" s="1" t="n">
        <v>46312</v>
      </c>
      <c r="F3101" t="inlineStr">
        <is>
          <t>SKÅNE LÄN</t>
        </is>
      </c>
      <c r="G3101" t="inlineStr">
        <is>
          <t>ÖRKELLJUNGA</t>
        </is>
      </c>
      <c r="I3101" t="n">
        <v>1.3</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26765-2026</t>
        </is>
      </c>
      <c r="B3102" t="inlineStr">
        <is>
          <t>avverkningsanmälan</t>
        </is>
      </c>
      <c r="C3102" t="inlineStr">
        <is>
          <t>Föryngringsavverkning</t>
        </is>
      </c>
      <c r="D3102" s="1" t="n">
        <v>46184</v>
      </c>
      <c r="E3102" s="1" t="n">
        <v>46312</v>
      </c>
      <c r="F3102" t="inlineStr">
        <is>
          <t>SKÅNE LÄN</t>
        </is>
      </c>
      <c r="G3102" t="inlineStr">
        <is>
          <t>BROMÖLLA</t>
        </is>
      </c>
      <c r="I3102" t="n">
        <v>4.6</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6684-2026</t>
        </is>
      </c>
      <c r="B3103" t="inlineStr">
        <is>
          <t>avverkningsanmälan</t>
        </is>
      </c>
      <c r="C3103" t="inlineStr">
        <is>
          <t>Föryngringsavverkning</t>
        </is>
      </c>
      <c r="D3103" s="1" t="n">
        <v>46056</v>
      </c>
      <c r="E3103" s="1" t="n">
        <v>46312</v>
      </c>
      <c r="F3103" t="inlineStr">
        <is>
          <t>SKÅNE LÄN</t>
        </is>
      </c>
      <c r="G3103" t="inlineStr">
        <is>
          <t>BJUV</t>
        </is>
      </c>
      <c r="I3103" t="n">
        <v>8.199999999999999</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4969-2026</t>
        </is>
      </c>
      <c r="B3104" t="inlineStr">
        <is>
          <t>avverkningsanmälan</t>
        </is>
      </c>
      <c r="C3104" t="inlineStr">
        <is>
          <t>Föryngringsavverkning</t>
        </is>
      </c>
      <c r="D3104" s="1" t="n">
        <v>46049</v>
      </c>
      <c r="E3104" s="1" t="n">
        <v>46312</v>
      </c>
      <c r="F3104" t="inlineStr">
        <is>
          <t>SKÅNE LÄN</t>
        </is>
      </c>
      <c r="G3104" t="inlineStr">
        <is>
          <t>TOMELILLA</t>
        </is>
      </c>
      <c r="H3104" t="inlineStr">
        <is>
          <t>Övriga Aktiebolag</t>
        </is>
      </c>
      <c r="I3104" t="n">
        <v>2.6</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64051-2025</t>
        </is>
      </c>
      <c r="B3105" t="inlineStr">
        <is>
          <t>avverkningsanmälan</t>
        </is>
      </c>
      <c r="C3105" t="inlineStr">
        <is>
          <t>Föryngringsavverkning</t>
        </is>
      </c>
      <c r="D3105" s="1" t="n">
        <v>46021</v>
      </c>
      <c r="E3105" s="1" t="n">
        <v>46312</v>
      </c>
      <c r="F3105" t="inlineStr">
        <is>
          <t>SKÅNE LÄN</t>
        </is>
      </c>
      <c r="G3105" t="inlineStr">
        <is>
          <t>SVEDALA</t>
        </is>
      </c>
      <c r="I3105" t="n">
        <v>1</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26452-2026</t>
        </is>
      </c>
      <c r="B3106" t="inlineStr">
        <is>
          <t>avverkningsanmälan</t>
        </is>
      </c>
      <c r="C3106" t="inlineStr">
        <is>
          <t>Föryngringsavverkning</t>
        </is>
      </c>
      <c r="D3106" s="1" t="n">
        <v>46183</v>
      </c>
      <c r="E3106" s="1" t="n">
        <v>46312</v>
      </c>
      <c r="F3106" t="inlineStr">
        <is>
          <t>SKÅNE LÄN</t>
        </is>
      </c>
      <c r="G3106" t="inlineStr">
        <is>
          <t>OSBY</t>
        </is>
      </c>
      <c r="I3106" t="n">
        <v>3.9</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26597-2026</t>
        </is>
      </c>
      <c r="B3107" t="inlineStr">
        <is>
          <t>avverkningsanmälan</t>
        </is>
      </c>
      <c r="C3107" t="inlineStr">
        <is>
          <t>Föryngringsavverkning</t>
        </is>
      </c>
      <c r="D3107" s="1" t="n">
        <v>46183</v>
      </c>
      <c r="E3107" s="1" t="n">
        <v>46312</v>
      </c>
      <c r="F3107" t="inlineStr">
        <is>
          <t>SKÅNE LÄN</t>
        </is>
      </c>
      <c r="G3107" t="inlineStr">
        <is>
          <t>ÖRKELLJUNGA</t>
        </is>
      </c>
      <c r="I3107" t="n">
        <v>2</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6876-2026</t>
        </is>
      </c>
      <c r="B3108" t="inlineStr">
        <is>
          <t>avverkningsanmälan</t>
        </is>
      </c>
      <c r="C3108" t="inlineStr">
        <is>
          <t>Föryngringsavverkning</t>
        </is>
      </c>
      <c r="D3108" s="1" t="n">
        <v>46057</v>
      </c>
      <c r="E3108" s="1" t="n">
        <v>46312</v>
      </c>
      <c r="F3108" t="inlineStr">
        <is>
          <t>SKÅNE LÄN</t>
        </is>
      </c>
      <c r="G3108" t="inlineStr">
        <is>
          <t>KRISTIANSTAD</t>
        </is>
      </c>
      <c r="I3108" t="n">
        <v>0.6</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64049-2025</t>
        </is>
      </c>
      <c r="B3109" t="inlineStr">
        <is>
          <t>avverkningsanmälan</t>
        </is>
      </c>
      <c r="C3109" t="inlineStr">
        <is>
          <t>Föryngringsavverkning</t>
        </is>
      </c>
      <c r="D3109" s="1" t="n">
        <v>46021</v>
      </c>
      <c r="E3109" s="1" t="n">
        <v>46312</v>
      </c>
      <c r="F3109" t="inlineStr">
        <is>
          <t>SKÅNE LÄN</t>
        </is>
      </c>
      <c r="G3109" t="inlineStr">
        <is>
          <t>SVEDALA</t>
        </is>
      </c>
      <c r="I3109" t="n">
        <v>0.8</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7057-2026</t>
        </is>
      </c>
      <c r="B3110" t="inlineStr">
        <is>
          <t>avverkningsanmälan</t>
        </is>
      </c>
      <c r="C3110" t="inlineStr">
        <is>
          <t>Avverkning för annat ändamål</t>
        </is>
      </c>
      <c r="D3110" s="1" t="n">
        <v>46057</v>
      </c>
      <c r="E3110" s="1" t="n">
        <v>46312</v>
      </c>
      <c r="F3110" t="inlineStr">
        <is>
          <t>SKÅNE LÄN</t>
        </is>
      </c>
      <c r="G3110" t="inlineStr">
        <is>
          <t>ÖSTRA GÖINGE</t>
        </is>
      </c>
      <c r="I3110" t="n">
        <v>1</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26564-2026</t>
        </is>
      </c>
      <c r="B3111" t="inlineStr">
        <is>
          <t>avverkningsanmälan</t>
        </is>
      </c>
      <c r="C3111" t="inlineStr">
        <is>
          <t>Föryngringsavverkning</t>
        </is>
      </c>
      <c r="D3111" s="1" t="n">
        <v>46183</v>
      </c>
      <c r="E3111" s="1" t="n">
        <v>46312</v>
      </c>
      <c r="F3111" t="inlineStr">
        <is>
          <t>SKÅNE LÄN</t>
        </is>
      </c>
      <c r="G3111" t="inlineStr">
        <is>
          <t>ÖRKELLJUNGA</t>
        </is>
      </c>
      <c r="I3111" t="n">
        <v>1</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7244-2026</t>
        </is>
      </c>
      <c r="B3112" t="inlineStr">
        <is>
          <t>avverkningsanmälan</t>
        </is>
      </c>
      <c r="C3112" t="inlineStr">
        <is>
          <t>Föryngringsavverkning</t>
        </is>
      </c>
      <c r="D3112" s="1" t="n">
        <v>46058</v>
      </c>
      <c r="E3112" s="1" t="n">
        <v>46312</v>
      </c>
      <c r="F3112" t="inlineStr">
        <is>
          <t>SKÅNE LÄN</t>
        </is>
      </c>
      <c r="G3112" t="inlineStr">
        <is>
          <t>HÄSSLEHOLM</t>
        </is>
      </c>
      <c r="I3112" t="n">
        <v>7</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61701-2022</t>
        </is>
      </c>
      <c r="B3113" t="inlineStr">
        <is>
          <t>avverkningsanmälan</t>
        </is>
      </c>
      <c r="C3113" t="inlineStr">
        <is>
          <t>Föryngringsavverkning</t>
        </is>
      </c>
      <c r="D3113" s="1" t="n">
        <v>44911</v>
      </c>
      <c r="E3113" s="1" t="n">
        <v>46312</v>
      </c>
      <c r="F3113" t="inlineStr">
        <is>
          <t>SKÅNE LÄN</t>
        </is>
      </c>
      <c r="G3113" t="inlineStr">
        <is>
          <t>BROMÖLLA</t>
        </is>
      </c>
      <c r="H3113" t="inlineStr">
        <is>
          <t>Kyrkan</t>
        </is>
      </c>
      <c r="I3113" t="n">
        <v>4.2</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7721-2026</t>
        </is>
      </c>
      <c r="B3114" t="inlineStr">
        <is>
          <t>avverkningsanmälan</t>
        </is>
      </c>
      <c r="C3114" t="inlineStr">
        <is>
          <t>Föryngringsavverkning</t>
        </is>
      </c>
      <c r="D3114" s="1" t="n">
        <v>46059</v>
      </c>
      <c r="E3114" s="1" t="n">
        <v>46312</v>
      </c>
      <c r="F3114" t="inlineStr">
        <is>
          <t>SKÅNE LÄN</t>
        </is>
      </c>
      <c r="G3114" t="inlineStr">
        <is>
          <t>HÄSSLEHOLM</t>
        </is>
      </c>
      <c r="I3114" t="n">
        <v>3.3</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7279-2026</t>
        </is>
      </c>
      <c r="B3115" t="inlineStr">
        <is>
          <t>avverkningsanmälan</t>
        </is>
      </c>
      <c r="C3115" t="inlineStr">
        <is>
          <t>Föryngringsavverkning</t>
        </is>
      </c>
      <c r="D3115" s="1" t="n">
        <v>46058</v>
      </c>
      <c r="E3115" s="1" t="n">
        <v>46312</v>
      </c>
      <c r="F3115" t="inlineStr">
        <is>
          <t>SKÅNE LÄN</t>
        </is>
      </c>
      <c r="G3115" t="inlineStr">
        <is>
          <t>ÖSTRA GÖINGE</t>
        </is>
      </c>
      <c r="I3115" t="n">
        <v>1.4</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26470-2026</t>
        </is>
      </c>
      <c r="B3116" t="inlineStr">
        <is>
          <t>avverkningsanmälan</t>
        </is>
      </c>
      <c r="C3116" t="inlineStr">
        <is>
          <t>Föryngringsavverkning</t>
        </is>
      </c>
      <c r="D3116" s="1" t="n">
        <v>46183</v>
      </c>
      <c r="E3116" s="1" t="n">
        <v>46312</v>
      </c>
      <c r="F3116" t="inlineStr">
        <is>
          <t>SKÅNE LÄN</t>
        </is>
      </c>
      <c r="G3116" t="inlineStr">
        <is>
          <t>OSBY</t>
        </is>
      </c>
      <c r="I3116" t="n">
        <v>4.4</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26505-2026</t>
        </is>
      </c>
      <c r="B3117" t="inlineStr">
        <is>
          <t>avverkningsanmälan</t>
        </is>
      </c>
      <c r="C3117" t="inlineStr">
        <is>
          <t>Föryngringsavverkning</t>
        </is>
      </c>
      <c r="D3117" s="1" t="n">
        <v>46183</v>
      </c>
      <c r="E3117" s="1" t="n">
        <v>46312</v>
      </c>
      <c r="F3117" t="inlineStr">
        <is>
          <t>SKÅNE LÄN</t>
        </is>
      </c>
      <c r="G3117" t="inlineStr">
        <is>
          <t>HÄSSLEHOLM</t>
        </is>
      </c>
      <c r="I3117" t="n">
        <v>3.9</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14554-2025</t>
        </is>
      </c>
      <c r="B3118" t="inlineStr">
        <is>
          <t>avverkningsanmälan</t>
        </is>
      </c>
      <c r="C3118" t="inlineStr">
        <is>
          <t>Föryngringsavverkning</t>
        </is>
      </c>
      <c r="D3118" s="1" t="n">
        <v>45741</v>
      </c>
      <c r="E3118" s="1" t="n">
        <v>46312</v>
      </c>
      <c r="F3118" t="inlineStr">
        <is>
          <t>SKÅNE LÄN</t>
        </is>
      </c>
      <c r="G3118" t="inlineStr">
        <is>
          <t>HÖÖR</t>
        </is>
      </c>
      <c r="I3118" t="n">
        <v>0.7</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46185-2022</t>
        </is>
      </c>
      <c r="B3119" t="inlineStr">
        <is>
          <t>avverkningsanmälan</t>
        </is>
      </c>
      <c r="C3119" t="inlineStr">
        <is>
          <t>Föryngringsavverkning</t>
        </is>
      </c>
      <c r="D3119" s="1" t="n">
        <v>44847</v>
      </c>
      <c r="E3119" s="1" t="n">
        <v>46312</v>
      </c>
      <c r="F3119" t="inlineStr">
        <is>
          <t>SKÅNE LÄN</t>
        </is>
      </c>
      <c r="G3119" t="inlineStr">
        <is>
          <t>HÄSSLEHOLM</t>
        </is>
      </c>
      <c r="I3119" t="n">
        <v>16.8</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26521-2026</t>
        </is>
      </c>
      <c r="B3120" t="inlineStr">
        <is>
          <t>avverkningsanmälan</t>
        </is>
      </c>
      <c r="C3120" t="inlineStr">
        <is>
          <t>Föryngringsavverkning</t>
        </is>
      </c>
      <c r="D3120" s="1" t="n">
        <v>46183</v>
      </c>
      <c r="E3120" s="1" t="n">
        <v>46312</v>
      </c>
      <c r="F3120" t="inlineStr">
        <is>
          <t>SKÅNE LÄN</t>
        </is>
      </c>
      <c r="G3120" t="inlineStr">
        <is>
          <t>ÖSTRA GÖINGE</t>
        </is>
      </c>
      <c r="I3120" t="n">
        <v>2.3</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2359-2023</t>
        </is>
      </c>
      <c r="B3121" t="inlineStr">
        <is>
          <t>avverkningsanmälan</t>
        </is>
      </c>
      <c r="C3121" t="inlineStr">
        <is>
          <t>Föryngringsavverkning</t>
        </is>
      </c>
      <c r="D3121" s="1" t="n">
        <v>44942</v>
      </c>
      <c r="E3121" s="1" t="n">
        <v>46312</v>
      </c>
      <c r="F3121" t="inlineStr">
        <is>
          <t>SKÅNE LÄN</t>
        </is>
      </c>
      <c r="G3121" t="inlineStr">
        <is>
          <t>ÖRKELLJUNGA</t>
        </is>
      </c>
      <c r="I3121" t="n">
        <v>1.5</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46397-2023</t>
        </is>
      </c>
      <c r="B3122" t="inlineStr">
        <is>
          <t>avverkningsanmälan</t>
        </is>
      </c>
      <c r="C3122" t="inlineStr">
        <is>
          <t>Föryngringsavverkning</t>
        </is>
      </c>
      <c r="D3122" s="1" t="n">
        <v>45191</v>
      </c>
      <c r="E3122" s="1" t="n">
        <v>46312</v>
      </c>
      <c r="F3122" t="inlineStr">
        <is>
          <t>SKÅNE LÄN</t>
        </is>
      </c>
      <c r="G3122" t="inlineStr">
        <is>
          <t>SJÖBO</t>
        </is>
      </c>
      <c r="I3122" t="n">
        <v>9.300000000000001</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46425-2023</t>
        </is>
      </c>
      <c r="B3123" t="inlineStr">
        <is>
          <t>avverkningsanmälan</t>
        </is>
      </c>
      <c r="C3123" t="inlineStr">
        <is>
          <t>Föryngringsavverkning</t>
        </is>
      </c>
      <c r="D3123" s="1" t="n">
        <v>45197</v>
      </c>
      <c r="E3123" s="1" t="n">
        <v>46312</v>
      </c>
      <c r="F3123" t="inlineStr">
        <is>
          <t>SKÅNE LÄN</t>
        </is>
      </c>
      <c r="G3123" t="inlineStr">
        <is>
          <t>OSBY</t>
        </is>
      </c>
      <c r="I3123" t="n">
        <v>1.9</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46431-2023</t>
        </is>
      </c>
      <c r="B3124" t="inlineStr">
        <is>
          <t>avverkningsanmälan</t>
        </is>
      </c>
      <c r="C3124" t="inlineStr">
        <is>
          <t>Föryngringsavverkning</t>
        </is>
      </c>
      <c r="D3124" s="1" t="n">
        <v>45197</v>
      </c>
      <c r="E3124" s="1" t="n">
        <v>46312</v>
      </c>
      <c r="F3124" t="inlineStr">
        <is>
          <t>SKÅNE LÄN</t>
        </is>
      </c>
      <c r="G3124" t="inlineStr">
        <is>
          <t>OSBY</t>
        </is>
      </c>
      <c r="I3124" t="n">
        <v>1.1</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1910-2026</t>
        </is>
      </c>
      <c r="B3125" t="inlineStr">
        <is>
          <t>avverkningsanmälan</t>
        </is>
      </c>
      <c r="C3125" t="inlineStr">
        <is>
          <t>Föryngringsavverkning</t>
        </is>
      </c>
      <c r="D3125" s="1" t="n">
        <v>46035</v>
      </c>
      <c r="E3125" s="1" t="n">
        <v>46312</v>
      </c>
      <c r="F3125" t="inlineStr">
        <is>
          <t>SKÅNE LÄN</t>
        </is>
      </c>
      <c r="G3125" t="inlineStr">
        <is>
          <t>SIMRISHAMN</t>
        </is>
      </c>
      <c r="I3125" t="n">
        <v>0.7</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1668-2024</t>
        </is>
      </c>
      <c r="B3126" t="inlineStr">
        <is>
          <t>avverkningsanmälan</t>
        </is>
      </c>
      <c r="C3126" t="inlineStr">
        <is>
          <t>Föryngringsavverkning</t>
        </is>
      </c>
      <c r="D3126" s="1" t="n">
        <v>45306</v>
      </c>
      <c r="E3126" s="1" t="n">
        <v>46312</v>
      </c>
      <c r="F3126" t="inlineStr">
        <is>
          <t>SKÅNE LÄN</t>
        </is>
      </c>
      <c r="G3126" t="inlineStr">
        <is>
          <t>KRISTIANSTAD</t>
        </is>
      </c>
      <c r="I3126" t="n">
        <v>0.5</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1736-2024</t>
        </is>
      </c>
      <c r="B3127" t="inlineStr">
        <is>
          <t>avverkningsanmälan</t>
        </is>
      </c>
      <c r="C3127" t="inlineStr">
        <is>
          <t>Föryngringsavverkning</t>
        </is>
      </c>
      <c r="D3127" s="1" t="n">
        <v>45307</v>
      </c>
      <c r="E3127" s="1" t="n">
        <v>46312</v>
      </c>
      <c r="F3127" t="inlineStr">
        <is>
          <t>SKÅNE LÄN</t>
        </is>
      </c>
      <c r="G3127" t="inlineStr">
        <is>
          <t>KRISTIANSTAD</t>
        </is>
      </c>
      <c r="I3127" t="n">
        <v>3.4</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26593-2026</t>
        </is>
      </c>
      <c r="B3128" t="inlineStr">
        <is>
          <t>avverkningsanmälan</t>
        </is>
      </c>
      <c r="C3128" t="inlineStr">
        <is>
          <t>Föryngringsavverkning</t>
        </is>
      </c>
      <c r="D3128" s="1" t="n">
        <v>46183</v>
      </c>
      <c r="E3128" s="1" t="n">
        <v>46312</v>
      </c>
      <c r="F3128" t="inlineStr">
        <is>
          <t>SKÅNE LÄN</t>
        </is>
      </c>
      <c r="G3128" t="inlineStr">
        <is>
          <t>ÖRKELLJUNGA</t>
        </is>
      </c>
      <c r="I3128" t="n">
        <v>1.6</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7474-2026</t>
        </is>
      </c>
      <c r="B3129" t="inlineStr">
        <is>
          <t>avverkningsanmälan</t>
        </is>
      </c>
      <c r="C3129" t="inlineStr">
        <is>
          <t>Avverkning för att bevara och utveckla /försöksver</t>
        </is>
      </c>
      <c r="D3129" s="1" t="n">
        <v>46059</v>
      </c>
      <c r="E3129" s="1" t="n">
        <v>46312</v>
      </c>
      <c r="F3129" t="inlineStr">
        <is>
          <t>SKÅNE LÄN</t>
        </is>
      </c>
      <c r="G3129" t="inlineStr">
        <is>
          <t>SJÖBO</t>
        </is>
      </c>
      <c r="H3129" t="inlineStr">
        <is>
          <t>Sveaskog</t>
        </is>
      </c>
      <c r="I3129" t="n">
        <v>0.9</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18623-2023</t>
        </is>
      </c>
      <c r="B3130" t="inlineStr">
        <is>
          <t>avverkningsanmälan</t>
        </is>
      </c>
      <c r="C3130" t="inlineStr">
        <is>
          <t>Föryngringsavverkning</t>
        </is>
      </c>
      <c r="D3130" s="1" t="n">
        <v>45043</v>
      </c>
      <c r="E3130" s="1" t="n">
        <v>46312</v>
      </c>
      <c r="F3130" t="inlineStr">
        <is>
          <t>SKÅNE LÄN</t>
        </is>
      </c>
      <c r="G3130" t="inlineStr">
        <is>
          <t>HÄSSLEHOLM</t>
        </is>
      </c>
      <c r="I3130" t="n">
        <v>3.2</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27281-2023</t>
        </is>
      </c>
      <c r="B3131" t="inlineStr">
        <is>
          <t>avverkningsanmälan</t>
        </is>
      </c>
      <c r="C3131" t="inlineStr">
        <is>
          <t>Föryngringsavverkning</t>
        </is>
      </c>
      <c r="D3131" s="1" t="n">
        <v>45096</v>
      </c>
      <c r="E3131" s="1" t="n">
        <v>46312</v>
      </c>
      <c r="F3131" t="inlineStr">
        <is>
          <t>SKÅNE LÄN</t>
        </is>
      </c>
      <c r="G3131" t="inlineStr">
        <is>
          <t>OSBY</t>
        </is>
      </c>
      <c r="H3131" t="inlineStr">
        <is>
          <t>Sveaskog</t>
        </is>
      </c>
      <c r="I3131" t="n">
        <v>1.5</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26781-2026</t>
        </is>
      </c>
      <c r="B3132" t="inlineStr">
        <is>
          <t>avverkningsanmälan</t>
        </is>
      </c>
      <c r="C3132" t="inlineStr">
        <is>
          <t>Föryngringsavverkning</t>
        </is>
      </c>
      <c r="D3132" s="1" t="n">
        <v>46184</v>
      </c>
      <c r="E3132" s="1" t="n">
        <v>46312</v>
      </c>
      <c r="F3132" t="inlineStr">
        <is>
          <t>SKÅNE LÄN</t>
        </is>
      </c>
      <c r="G3132" t="inlineStr">
        <is>
          <t>SJÖBO</t>
        </is>
      </c>
      <c r="I3132" t="n">
        <v>4.1</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15053-2023</t>
        </is>
      </c>
      <c r="B3133" t="inlineStr">
        <is>
          <t>avverkningsanmälan</t>
        </is>
      </c>
      <c r="C3133" t="inlineStr">
        <is>
          <t>Föryngringsavverkning</t>
        </is>
      </c>
      <c r="D3133" s="1" t="n">
        <v>45015</v>
      </c>
      <c r="E3133" s="1" t="n">
        <v>46312</v>
      </c>
      <c r="F3133" t="inlineStr">
        <is>
          <t>SKÅNE LÄN</t>
        </is>
      </c>
      <c r="G3133" t="inlineStr">
        <is>
          <t>HÄSSLEHOLM</t>
        </is>
      </c>
      <c r="I3133" t="n">
        <v>1</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26583-2026</t>
        </is>
      </c>
      <c r="B3134" t="inlineStr">
        <is>
          <t>avverkningsanmälan</t>
        </is>
      </c>
      <c r="C3134" t="inlineStr">
        <is>
          <t>Föryngringsavverkning</t>
        </is>
      </c>
      <c r="D3134" s="1" t="n">
        <v>46183</v>
      </c>
      <c r="E3134" s="1" t="n">
        <v>46312</v>
      </c>
      <c r="F3134" t="inlineStr">
        <is>
          <t>SKÅNE LÄN</t>
        </is>
      </c>
      <c r="G3134" t="inlineStr">
        <is>
          <t>ÖRKELLJUNGA</t>
        </is>
      </c>
      <c r="I3134" t="n">
        <v>8.199999999999999</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26591-2026</t>
        </is>
      </c>
      <c r="B3135" t="inlineStr">
        <is>
          <t>avverkningsanmälan</t>
        </is>
      </c>
      <c r="C3135" t="inlineStr">
        <is>
          <t>Föryngringsavverkning</t>
        </is>
      </c>
      <c r="D3135" s="1" t="n">
        <v>46183</v>
      </c>
      <c r="E3135" s="1" t="n">
        <v>46312</v>
      </c>
      <c r="F3135" t="inlineStr">
        <is>
          <t>SKÅNE LÄN</t>
        </is>
      </c>
      <c r="G3135" t="inlineStr">
        <is>
          <t>OSBY</t>
        </is>
      </c>
      <c r="I3135" t="n">
        <v>2.1</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26594-2026</t>
        </is>
      </c>
      <c r="B3136" t="inlineStr">
        <is>
          <t>avverkningsanmälan</t>
        </is>
      </c>
      <c r="C3136" t="inlineStr">
        <is>
          <t>Föryngringsavverkning</t>
        </is>
      </c>
      <c r="D3136" s="1" t="n">
        <v>46183</v>
      </c>
      <c r="E3136" s="1" t="n">
        <v>46312</v>
      </c>
      <c r="F3136" t="inlineStr">
        <is>
          <t>SKÅNE LÄN</t>
        </is>
      </c>
      <c r="G3136" t="inlineStr">
        <is>
          <t>ÖRKELLJUNGA</t>
        </is>
      </c>
      <c r="I3136" t="n">
        <v>1.2</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8024-2026</t>
        </is>
      </c>
      <c r="B3137" t="inlineStr">
        <is>
          <t>avverkningsanmälan</t>
        </is>
      </c>
      <c r="C3137" t="inlineStr">
        <is>
          <t>Föryngringsavverkning</t>
        </is>
      </c>
      <c r="D3137" s="1" t="n">
        <v>46063</v>
      </c>
      <c r="E3137" s="1" t="n">
        <v>46312</v>
      </c>
      <c r="F3137" t="inlineStr">
        <is>
          <t>SKÅNE LÄN</t>
        </is>
      </c>
      <c r="G3137" t="inlineStr">
        <is>
          <t>ÖRKELLJUNGA</t>
        </is>
      </c>
      <c r="H3137" t="inlineStr">
        <is>
          <t>Kommuner</t>
        </is>
      </c>
      <c r="I3137" t="n">
        <v>1</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30601-2024</t>
        </is>
      </c>
      <c r="B3138" t="inlineStr">
        <is>
          <t>avverkningsanmälan</t>
        </is>
      </c>
      <c r="C3138" t="inlineStr">
        <is>
          <t>Föryngringsavverkning</t>
        </is>
      </c>
      <c r="D3138" s="1" t="n">
        <v>45493</v>
      </c>
      <c r="E3138" s="1" t="n">
        <v>46312</v>
      </c>
      <c r="F3138" t="inlineStr">
        <is>
          <t>SKÅNE LÄN</t>
        </is>
      </c>
      <c r="G3138" t="inlineStr">
        <is>
          <t>KRISTIANSTAD</t>
        </is>
      </c>
      <c r="I3138" t="n">
        <v>1.7</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13523-2024</t>
        </is>
      </c>
      <c r="B3139" t="inlineStr">
        <is>
          <t>avverkningsanmälan</t>
        </is>
      </c>
      <c r="C3139" t="inlineStr">
        <is>
          <t>Föryngringsavverkning</t>
        </is>
      </c>
      <c r="D3139" s="1" t="n">
        <v>45387</v>
      </c>
      <c r="E3139" s="1" t="n">
        <v>46312</v>
      </c>
      <c r="F3139" t="inlineStr">
        <is>
          <t>SKÅNE LÄN</t>
        </is>
      </c>
      <c r="G3139" t="inlineStr">
        <is>
          <t>KRISTIANSTAD</t>
        </is>
      </c>
      <c r="I3139" t="n">
        <v>0.4</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24248-2024</t>
        </is>
      </c>
      <c r="B3140" t="inlineStr">
        <is>
          <t>avverkningsanmälan</t>
        </is>
      </c>
      <c r="C3140" t="inlineStr">
        <is>
          <t>Föryngringsavverkning</t>
        </is>
      </c>
      <c r="D3140" s="1" t="n">
        <v>45457</v>
      </c>
      <c r="E3140" s="1" t="n">
        <v>46312</v>
      </c>
      <c r="F3140" t="inlineStr">
        <is>
          <t>SKÅNE LÄN</t>
        </is>
      </c>
      <c r="G3140" t="inlineStr">
        <is>
          <t>TOMELILLA</t>
        </is>
      </c>
      <c r="I3140" t="n">
        <v>2</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1197-2024</t>
        </is>
      </c>
      <c r="B3141" t="inlineStr">
        <is>
          <t>avverkningsanmälan</t>
        </is>
      </c>
      <c r="C3141" t="inlineStr">
        <is>
          <t>Föryngringsavverkning</t>
        </is>
      </c>
      <c r="D3141" s="1" t="n">
        <v>45302</v>
      </c>
      <c r="E3141" s="1" t="n">
        <v>46312</v>
      </c>
      <c r="F3141" t="inlineStr">
        <is>
          <t>SKÅNE LÄN</t>
        </is>
      </c>
      <c r="G3141" t="inlineStr">
        <is>
          <t>HÄSSLEHOLM</t>
        </is>
      </c>
      <c r="I3141" t="n">
        <v>1.7</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16499-2025</t>
        </is>
      </c>
      <c r="B3142" t="inlineStr">
        <is>
          <t>avverkningsanmälan</t>
        </is>
      </c>
      <c r="C3142" t="inlineStr">
        <is>
          <t>Föryngringsavverkning</t>
        </is>
      </c>
      <c r="D3142" s="1" t="n">
        <v>45751</v>
      </c>
      <c r="E3142" s="1" t="n">
        <v>46312</v>
      </c>
      <c r="F3142" t="inlineStr">
        <is>
          <t>SKÅNE LÄN</t>
        </is>
      </c>
      <c r="G3142" t="inlineStr">
        <is>
          <t>LUND</t>
        </is>
      </c>
      <c r="I3142" t="n">
        <v>0.5</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8017-2022</t>
        </is>
      </c>
      <c r="B3143" t="inlineStr">
        <is>
          <t>avverkningsanmälan</t>
        </is>
      </c>
      <c r="C3143" t="inlineStr">
        <is>
          <t>Föryngringsavverkning</t>
        </is>
      </c>
      <c r="D3143" s="1" t="n">
        <v>44609</v>
      </c>
      <c r="E3143" s="1" t="n">
        <v>46312</v>
      </c>
      <c r="F3143" t="inlineStr">
        <is>
          <t>SKÅNE LÄN</t>
        </is>
      </c>
      <c r="G3143" t="inlineStr">
        <is>
          <t>KLIPPAN</t>
        </is>
      </c>
      <c r="I3143" t="n">
        <v>1</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26596-2026</t>
        </is>
      </c>
      <c r="B3144" t="inlineStr">
        <is>
          <t>avverkningsanmälan</t>
        </is>
      </c>
      <c r="C3144" t="inlineStr">
        <is>
          <t>Föryngringsavverkning</t>
        </is>
      </c>
      <c r="D3144" s="1" t="n">
        <v>46183</v>
      </c>
      <c r="E3144" s="1" t="n">
        <v>46312</v>
      </c>
      <c r="F3144" t="inlineStr">
        <is>
          <t>SKÅNE LÄN</t>
        </is>
      </c>
      <c r="G3144" t="inlineStr">
        <is>
          <t>ÖRKELLJUNGA</t>
        </is>
      </c>
      <c r="I3144" t="n">
        <v>1.2</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37358-2024</t>
        </is>
      </c>
      <c r="B3145" t="inlineStr">
        <is>
          <t>avverkningsanmälan</t>
        </is>
      </c>
      <c r="C3145" t="inlineStr">
        <is>
          <t>Föryngringsavverkning</t>
        </is>
      </c>
      <c r="D3145" s="1" t="n">
        <v>45540</v>
      </c>
      <c r="E3145" s="1" t="n">
        <v>46312</v>
      </c>
      <c r="F3145" t="inlineStr">
        <is>
          <t>SKÅNE LÄN</t>
        </is>
      </c>
      <c r="G3145" t="inlineStr">
        <is>
          <t>OSBY</t>
        </is>
      </c>
      <c r="I3145" t="n">
        <v>4.8</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8310-2026</t>
        </is>
      </c>
      <c r="B3146" t="inlineStr">
        <is>
          <t>avverkningsanmälan</t>
        </is>
      </c>
      <c r="C3146" t="inlineStr">
        <is>
          <t>Föryngringsavverkning</t>
        </is>
      </c>
      <c r="D3146" s="1" t="n">
        <v>46064</v>
      </c>
      <c r="E3146" s="1" t="n">
        <v>46312</v>
      </c>
      <c r="F3146" t="inlineStr">
        <is>
          <t>SKÅNE LÄN</t>
        </is>
      </c>
      <c r="G3146" t="inlineStr">
        <is>
          <t>HÖRBY</t>
        </is>
      </c>
      <c r="I3146" t="n">
        <v>1.4</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8260-2026</t>
        </is>
      </c>
      <c r="B3147" t="inlineStr">
        <is>
          <t>avverkningsanmälan</t>
        </is>
      </c>
      <c r="C3147" t="inlineStr">
        <is>
          <t>Föryngringsavverkning</t>
        </is>
      </c>
      <c r="D3147" s="1" t="n">
        <v>46064</v>
      </c>
      <c r="E3147" s="1" t="n">
        <v>46312</v>
      </c>
      <c r="F3147" t="inlineStr">
        <is>
          <t>SKÅNE LÄN</t>
        </is>
      </c>
      <c r="G3147" t="inlineStr">
        <is>
          <t>HÖRBY</t>
        </is>
      </c>
      <c r="I3147" t="n">
        <v>3.3</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49950-2023</t>
        </is>
      </c>
      <c r="B3148" t="inlineStr">
        <is>
          <t>avverkningsanmälan</t>
        </is>
      </c>
      <c r="C3148" t="inlineStr">
        <is>
          <t>Föryngringsavverkning</t>
        </is>
      </c>
      <c r="D3148" s="1" t="n">
        <v>45215</v>
      </c>
      <c r="E3148" s="1" t="n">
        <v>46312</v>
      </c>
      <c r="F3148" t="inlineStr">
        <is>
          <t>SKÅNE LÄN</t>
        </is>
      </c>
      <c r="G3148" t="inlineStr">
        <is>
          <t>HÄSSLEHOLM</t>
        </is>
      </c>
      <c r="I3148" t="n">
        <v>1</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6365-2026</t>
        </is>
      </c>
      <c r="B3149" t="inlineStr">
        <is>
          <t>avverkningsanmälan</t>
        </is>
      </c>
      <c r="C3149" t="inlineStr">
        <is>
          <t>Föryngringsavverkning</t>
        </is>
      </c>
      <c r="D3149" s="1" t="n">
        <v>46051</v>
      </c>
      <c r="E3149" s="1" t="n">
        <v>46312</v>
      </c>
      <c r="F3149" t="inlineStr">
        <is>
          <t>SKÅNE LÄN</t>
        </is>
      </c>
      <c r="G3149" t="inlineStr">
        <is>
          <t>SVALÖV</t>
        </is>
      </c>
      <c r="I3149" t="n">
        <v>2.9</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41694-2024</t>
        </is>
      </c>
      <c r="B3150" t="inlineStr">
        <is>
          <t>avverkningsanmälan</t>
        </is>
      </c>
      <c r="C3150" t="inlineStr">
        <is>
          <t>Föryngringsavverkning</t>
        </is>
      </c>
      <c r="D3150" s="1" t="n">
        <v>45560</v>
      </c>
      <c r="E3150" s="1" t="n">
        <v>46312</v>
      </c>
      <c r="F3150" t="inlineStr">
        <is>
          <t>SKÅNE LÄN</t>
        </is>
      </c>
      <c r="G3150" t="inlineStr">
        <is>
          <t>HÄSSLEHOLM</t>
        </is>
      </c>
      <c r="I3150" t="n">
        <v>0.4</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8259-2026</t>
        </is>
      </c>
      <c r="B3151" t="inlineStr">
        <is>
          <t>avverkningsanmälan</t>
        </is>
      </c>
      <c r="C3151" t="inlineStr">
        <is>
          <t>Föryngringsavverkning</t>
        </is>
      </c>
      <c r="D3151" s="1" t="n">
        <v>46064</v>
      </c>
      <c r="E3151" s="1" t="n">
        <v>46312</v>
      </c>
      <c r="F3151" t="inlineStr">
        <is>
          <t>SKÅNE LÄN</t>
        </is>
      </c>
      <c r="G3151" t="inlineStr">
        <is>
          <t>HÖRBY</t>
        </is>
      </c>
      <c r="I3151" t="n">
        <v>3.1</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8290-2026</t>
        </is>
      </c>
      <c r="B3152" t="inlineStr">
        <is>
          <t>avverkningsanmälan</t>
        </is>
      </c>
      <c r="C3152" t="inlineStr">
        <is>
          <t>Avverkning för annat ändamål</t>
        </is>
      </c>
      <c r="D3152" s="1" t="n">
        <v>46064</v>
      </c>
      <c r="E3152" s="1" t="n">
        <v>46312</v>
      </c>
      <c r="F3152" t="inlineStr">
        <is>
          <t>SKÅNE LÄN</t>
        </is>
      </c>
      <c r="G3152" t="inlineStr">
        <is>
          <t>HÖÖR</t>
        </is>
      </c>
      <c r="I3152" t="n">
        <v>5.2</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8366-2026</t>
        </is>
      </c>
      <c r="B3153" t="inlineStr">
        <is>
          <t>avverkningsanmälan</t>
        </is>
      </c>
      <c r="C3153" t="inlineStr">
        <is>
          <t>Föryngringsavverkning</t>
        </is>
      </c>
      <c r="D3153" s="1" t="n">
        <v>46064</v>
      </c>
      <c r="E3153" s="1" t="n">
        <v>46312</v>
      </c>
      <c r="F3153" t="inlineStr">
        <is>
          <t>SKÅNE LÄN</t>
        </is>
      </c>
      <c r="G3153" t="inlineStr">
        <is>
          <t>BROMÖLLA</t>
        </is>
      </c>
      <c r="I3153" t="n">
        <v>1.6</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26497-2026</t>
        </is>
      </c>
      <c r="B3154" t="inlineStr">
        <is>
          <t>avverkningsanmälan</t>
        </is>
      </c>
      <c r="C3154" t="inlineStr">
        <is>
          <t>Föryngringsavverkning</t>
        </is>
      </c>
      <c r="D3154" s="1" t="n">
        <v>46183</v>
      </c>
      <c r="E3154" s="1" t="n">
        <v>46312</v>
      </c>
      <c r="F3154" t="inlineStr">
        <is>
          <t>SKÅNE LÄN</t>
        </is>
      </c>
      <c r="G3154" t="inlineStr">
        <is>
          <t>ESLÖV</t>
        </is>
      </c>
      <c r="I3154" t="n">
        <v>1.4</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9105-2026</t>
        </is>
      </c>
      <c r="B3155" t="inlineStr">
        <is>
          <t>avverkningsanmälan</t>
        </is>
      </c>
      <c r="C3155" t="inlineStr">
        <is>
          <t>Föryngringsavverkning</t>
        </is>
      </c>
      <c r="D3155" s="1" t="n">
        <v>46069</v>
      </c>
      <c r="E3155" s="1" t="n">
        <v>46312</v>
      </c>
      <c r="F3155" t="inlineStr">
        <is>
          <t>SKÅNE LÄN</t>
        </is>
      </c>
      <c r="G3155" t="inlineStr">
        <is>
          <t>ÖRKELLJUNGA</t>
        </is>
      </c>
      <c r="I3155" t="n">
        <v>1.1</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9055-2026</t>
        </is>
      </c>
      <c r="B3156" t="inlineStr">
        <is>
          <t>avverkningsanmälan</t>
        </is>
      </c>
      <c r="C3156" t="inlineStr">
        <is>
          <t>Föryngringsavverkning</t>
        </is>
      </c>
      <c r="D3156" s="1" t="n">
        <v>46069</v>
      </c>
      <c r="E3156" s="1" t="n">
        <v>46312</v>
      </c>
      <c r="F3156" t="inlineStr">
        <is>
          <t>SKÅNE LÄN</t>
        </is>
      </c>
      <c r="G3156" t="inlineStr">
        <is>
          <t>ÄNGELHOLM</t>
        </is>
      </c>
      <c r="I3156" t="n">
        <v>0.7</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36795-2023</t>
        </is>
      </c>
      <c r="B3157" t="inlineStr">
        <is>
          <t>avverkningsanmälan</t>
        </is>
      </c>
      <c r="C3157" t="inlineStr">
        <is>
          <t>Föryngringsavverkning</t>
        </is>
      </c>
      <c r="D3157" s="1" t="n">
        <v>45154</v>
      </c>
      <c r="E3157" s="1" t="n">
        <v>46312</v>
      </c>
      <c r="F3157" t="inlineStr">
        <is>
          <t>SKÅNE LÄN</t>
        </is>
      </c>
      <c r="G3157" t="inlineStr">
        <is>
          <t>HÄSSLEHOLM</t>
        </is>
      </c>
      <c r="I3157" t="n">
        <v>0.9</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46942-2024</t>
        </is>
      </c>
      <c r="B3158" t="inlineStr">
        <is>
          <t>avverkningsanmälan</t>
        </is>
      </c>
      <c r="C3158" t="inlineStr">
        <is>
          <t>Föryngringsavverkning</t>
        </is>
      </c>
      <c r="D3158" s="1" t="n">
        <v>45585</v>
      </c>
      <c r="E3158" s="1" t="n">
        <v>46312</v>
      </c>
      <c r="F3158" t="inlineStr">
        <is>
          <t>SKÅNE LÄN</t>
        </is>
      </c>
      <c r="G3158" t="inlineStr">
        <is>
          <t>HÄSSLEHOLM</t>
        </is>
      </c>
      <c r="I3158" t="n">
        <v>1.8</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9024-2026</t>
        </is>
      </c>
      <c r="B3159" t="inlineStr">
        <is>
          <t>avverkningsanmälan</t>
        </is>
      </c>
      <c r="C3159" t="inlineStr">
        <is>
          <t>Föryngringsavverkning</t>
        </is>
      </c>
      <c r="D3159" s="1" t="n">
        <v>46069</v>
      </c>
      <c r="E3159" s="1" t="n">
        <v>46312</v>
      </c>
      <c r="F3159" t="inlineStr">
        <is>
          <t>SKÅNE LÄN</t>
        </is>
      </c>
      <c r="G3159" t="inlineStr">
        <is>
          <t>KRISTIANSTAD</t>
        </is>
      </c>
      <c r="I3159" t="n">
        <v>1.5</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8674-2026</t>
        </is>
      </c>
      <c r="B3160" t="inlineStr">
        <is>
          <t>avverkningsanmälan</t>
        </is>
      </c>
      <c r="C3160" t="inlineStr">
        <is>
          <t>Föryngringsavverkning</t>
        </is>
      </c>
      <c r="D3160" s="1" t="n">
        <v>46066</v>
      </c>
      <c r="E3160" s="1" t="n">
        <v>46312</v>
      </c>
      <c r="F3160" t="inlineStr">
        <is>
          <t>SKÅNE LÄN</t>
        </is>
      </c>
      <c r="G3160" t="inlineStr">
        <is>
          <t>HÄSSLEHOLM</t>
        </is>
      </c>
      <c r="I3160" t="n">
        <v>0.6</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9127-2026</t>
        </is>
      </c>
      <c r="B3161" t="inlineStr">
        <is>
          <t>avverkningsanmälan</t>
        </is>
      </c>
      <c r="C3161" t="inlineStr">
        <is>
          <t>Föryngringsavverkning</t>
        </is>
      </c>
      <c r="D3161" s="1" t="n">
        <v>46069</v>
      </c>
      <c r="E3161" s="1" t="n">
        <v>46312</v>
      </c>
      <c r="F3161" t="inlineStr">
        <is>
          <t>SKÅNE LÄN</t>
        </is>
      </c>
      <c r="G3161" t="inlineStr">
        <is>
          <t>ÖRKELLJUNGA</t>
        </is>
      </c>
      <c r="I3161" t="n">
        <v>3.8</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27097-2026</t>
        </is>
      </c>
      <c r="B3162" t="inlineStr">
        <is>
          <t>avverkningsanmälan</t>
        </is>
      </c>
      <c r="C3162" t="inlineStr">
        <is>
          <t>Föryngringsavverkning</t>
        </is>
      </c>
      <c r="D3162" s="1" t="n">
        <v>46188</v>
      </c>
      <c r="E3162" s="1" t="n">
        <v>46312</v>
      </c>
      <c r="F3162" t="inlineStr">
        <is>
          <t>SKÅNE LÄN</t>
        </is>
      </c>
      <c r="G3162" t="inlineStr">
        <is>
          <t>ÄNGELHOLM</t>
        </is>
      </c>
      <c r="I3162" t="n">
        <v>4</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74142-2021</t>
        </is>
      </c>
      <c r="B3163" t="inlineStr">
        <is>
          <t>avverkningsanmälan</t>
        </is>
      </c>
      <c r="C3163" t="inlineStr">
        <is>
          <t>Föryngringsavverkning</t>
        </is>
      </c>
      <c r="D3163" s="1" t="n">
        <v>44557</v>
      </c>
      <c r="E3163" s="1" t="n">
        <v>46312</v>
      </c>
      <c r="F3163" t="inlineStr">
        <is>
          <t>SKÅNE LÄN</t>
        </is>
      </c>
      <c r="G3163" t="inlineStr">
        <is>
          <t>ÖSTRA GÖINGE</t>
        </is>
      </c>
      <c r="I3163" t="n">
        <v>1</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8852-2026</t>
        </is>
      </c>
      <c r="B3164" t="inlineStr">
        <is>
          <t>avverkningsanmälan</t>
        </is>
      </c>
      <c r="C3164" t="inlineStr">
        <is>
          <t>Föryngringsavverkning</t>
        </is>
      </c>
      <c r="D3164" s="1" t="n">
        <v>46066</v>
      </c>
      <c r="E3164" s="1" t="n">
        <v>46312</v>
      </c>
      <c r="F3164" t="inlineStr">
        <is>
          <t>SKÅNE LÄN</t>
        </is>
      </c>
      <c r="G3164" t="inlineStr">
        <is>
          <t>HÄSSLEHOLM</t>
        </is>
      </c>
      <c r="I3164" t="n">
        <v>2.4</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15357-2023</t>
        </is>
      </c>
      <c r="B3165" t="inlineStr">
        <is>
          <t>avverkningsanmälan</t>
        </is>
      </c>
      <c r="C3165" t="inlineStr">
        <is>
          <t>Föryngringsavverkning</t>
        </is>
      </c>
      <c r="D3165" s="1" t="n">
        <v>45019</v>
      </c>
      <c r="E3165" s="1" t="n">
        <v>46312</v>
      </c>
      <c r="F3165" t="inlineStr">
        <is>
          <t>SKÅNE LÄN</t>
        </is>
      </c>
      <c r="G3165" t="inlineStr">
        <is>
          <t>ESLÖV</t>
        </is>
      </c>
      <c r="I3165" t="n">
        <v>1</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58985-2022</t>
        </is>
      </c>
      <c r="B3166" t="inlineStr">
        <is>
          <t>avverkningsanmälan</t>
        </is>
      </c>
      <c r="C3166" t="inlineStr">
        <is>
          <t>Föryngringsavverkning</t>
        </is>
      </c>
      <c r="D3166" s="1" t="n">
        <v>44903</v>
      </c>
      <c r="E3166" s="1" t="n">
        <v>46312</v>
      </c>
      <c r="F3166" t="inlineStr">
        <is>
          <t>SKÅNE LÄN</t>
        </is>
      </c>
      <c r="G3166" t="inlineStr">
        <is>
          <t>SIMRISHAMN</t>
        </is>
      </c>
      <c r="I3166" t="n">
        <v>2.6</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27447-2026</t>
        </is>
      </c>
      <c r="B3167" t="inlineStr">
        <is>
          <t>avverkningsanmälan</t>
        </is>
      </c>
      <c r="C3167" t="inlineStr">
        <is>
          <t>Föryngringsavverkning</t>
        </is>
      </c>
      <c r="D3167" s="1" t="n">
        <v>46188</v>
      </c>
      <c r="E3167" s="1" t="n">
        <v>46312</v>
      </c>
      <c r="F3167" t="inlineStr">
        <is>
          <t>SKÅNE LÄN</t>
        </is>
      </c>
      <c r="G3167" t="inlineStr">
        <is>
          <t>KRISTIANSTAD</t>
        </is>
      </c>
      <c r="I3167" t="n">
        <v>3.6</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9081-2026</t>
        </is>
      </c>
      <c r="B3168" t="inlineStr">
        <is>
          <t>avverkningsanmälan</t>
        </is>
      </c>
      <c r="C3168" t="inlineStr">
        <is>
          <t>Föryngringsavverkning</t>
        </is>
      </c>
      <c r="D3168" s="1" t="n">
        <v>46069</v>
      </c>
      <c r="E3168" s="1" t="n">
        <v>46312</v>
      </c>
      <c r="F3168" t="inlineStr">
        <is>
          <t>SKÅNE LÄN</t>
        </is>
      </c>
      <c r="G3168" t="inlineStr">
        <is>
          <t>ÖSTRA GÖINGE</t>
        </is>
      </c>
      <c r="I3168" t="n">
        <v>3.2</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27590-2024</t>
        </is>
      </c>
      <c r="B3169" t="inlineStr">
        <is>
          <t>avverkningsanmälan</t>
        </is>
      </c>
      <c r="C3169" t="inlineStr">
        <is>
          <t>Avverkning för annat ändamål</t>
        </is>
      </c>
      <c r="D3169" s="1" t="n">
        <v>45474</v>
      </c>
      <c r="E3169" s="1" t="n">
        <v>46312</v>
      </c>
      <c r="F3169" t="inlineStr">
        <is>
          <t>SKÅNE LÄN</t>
        </is>
      </c>
      <c r="G3169" t="inlineStr">
        <is>
          <t>KRISTIANSTAD</t>
        </is>
      </c>
      <c r="I3169" t="n">
        <v>4.7</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4663-2026</t>
        </is>
      </c>
      <c r="B3170" t="inlineStr">
        <is>
          <t>avverkningsanmälan</t>
        </is>
      </c>
      <c r="C3170" t="inlineStr">
        <is>
          <t>Föryngringsavverkning</t>
        </is>
      </c>
      <c r="D3170" s="1" t="n">
        <v>46048</v>
      </c>
      <c r="E3170" s="1" t="n">
        <v>46312</v>
      </c>
      <c r="F3170" t="inlineStr">
        <is>
          <t>SKÅNE LÄN</t>
        </is>
      </c>
      <c r="G3170" t="inlineStr">
        <is>
          <t>SJÖBO</t>
        </is>
      </c>
      <c r="I3170" t="n">
        <v>0.9</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36761-2022</t>
        </is>
      </c>
      <c r="B3171" t="inlineStr">
        <is>
          <t>avverkningsanmälan</t>
        </is>
      </c>
      <c r="C3171" t="inlineStr">
        <is>
          <t>Föryngringsavverkning</t>
        </is>
      </c>
      <c r="D3171" s="1" t="n">
        <v>44805</v>
      </c>
      <c r="E3171" s="1" t="n">
        <v>46312</v>
      </c>
      <c r="F3171" t="inlineStr">
        <is>
          <t>SKÅNE LÄN</t>
        </is>
      </c>
      <c r="G3171" t="inlineStr">
        <is>
          <t>ESLÖV</t>
        </is>
      </c>
      <c r="I3171" t="n">
        <v>4.8</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9125-2026</t>
        </is>
      </c>
      <c r="B3172" t="inlineStr">
        <is>
          <t>avverkningsanmälan</t>
        </is>
      </c>
      <c r="C3172" t="inlineStr">
        <is>
          <t>Föryngringsavverkning</t>
        </is>
      </c>
      <c r="D3172" s="1" t="n">
        <v>46069</v>
      </c>
      <c r="E3172" s="1" t="n">
        <v>46312</v>
      </c>
      <c r="F3172" t="inlineStr">
        <is>
          <t>SKÅNE LÄN</t>
        </is>
      </c>
      <c r="G3172" t="inlineStr">
        <is>
          <t>ÖRKELLJUNGA</t>
        </is>
      </c>
      <c r="I3172" t="n">
        <v>1.5</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44579-2023</t>
        </is>
      </c>
      <c r="B3173" t="inlineStr">
        <is>
          <t>avverkningsanmälan</t>
        </is>
      </c>
      <c r="C3173" t="inlineStr">
        <is>
          <t>Föryngringsavverkning</t>
        </is>
      </c>
      <c r="D3173" s="1" t="n">
        <v>45189</v>
      </c>
      <c r="E3173" s="1" t="n">
        <v>46312</v>
      </c>
      <c r="F3173" t="inlineStr">
        <is>
          <t>SKÅNE LÄN</t>
        </is>
      </c>
      <c r="G3173" t="inlineStr">
        <is>
          <t>KRISTIANSTAD</t>
        </is>
      </c>
      <c r="I3173" t="n">
        <v>0.6</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43696-2024</t>
        </is>
      </c>
      <c r="B3174" t="inlineStr">
        <is>
          <t>avverkningsanmälan</t>
        </is>
      </c>
      <c r="C3174" t="inlineStr">
        <is>
          <t>Föryngringsavverkning</t>
        </is>
      </c>
      <c r="D3174" s="1" t="n">
        <v>45569</v>
      </c>
      <c r="E3174" s="1" t="n">
        <v>46312</v>
      </c>
      <c r="F3174" t="inlineStr">
        <is>
          <t>SKÅNE LÄN</t>
        </is>
      </c>
      <c r="G3174" t="inlineStr">
        <is>
          <t>HÄSSLEHOLM</t>
        </is>
      </c>
      <c r="I3174" t="n">
        <v>2.9</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43724-2024</t>
        </is>
      </c>
      <c r="B3175" t="inlineStr">
        <is>
          <t>avverkningsanmälan</t>
        </is>
      </c>
      <c r="C3175" t="inlineStr">
        <is>
          <t>Föryngringsavverkning</t>
        </is>
      </c>
      <c r="D3175" s="1" t="n">
        <v>45569</v>
      </c>
      <c r="E3175" s="1" t="n">
        <v>46312</v>
      </c>
      <c r="F3175" t="inlineStr">
        <is>
          <t>SKÅNE LÄN</t>
        </is>
      </c>
      <c r="G3175" t="inlineStr">
        <is>
          <t>SIMRISHAMN</t>
        </is>
      </c>
      <c r="I3175" t="n">
        <v>1.7</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38485-2023</t>
        </is>
      </c>
      <c r="B3176" t="inlineStr">
        <is>
          <t>avverkningsanmälan</t>
        </is>
      </c>
      <c r="C3176" t="inlineStr">
        <is>
          <t>Föryngringsavverkning</t>
        </is>
      </c>
      <c r="D3176" s="1" t="n">
        <v>45162</v>
      </c>
      <c r="E3176" s="1" t="n">
        <v>46312</v>
      </c>
      <c r="F3176" t="inlineStr">
        <is>
          <t>SKÅNE LÄN</t>
        </is>
      </c>
      <c r="G3176" t="inlineStr">
        <is>
          <t>OSBY</t>
        </is>
      </c>
      <c r="I3176" t="n">
        <v>2.1</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36706-2022</t>
        </is>
      </c>
      <c r="B3177" t="inlineStr">
        <is>
          <t>avverkningsanmälan</t>
        </is>
      </c>
      <c r="C3177" t="inlineStr">
        <is>
          <t>Föryngringsavverkning</t>
        </is>
      </c>
      <c r="D3177" s="1" t="n">
        <v>44805</v>
      </c>
      <c r="E3177" s="1" t="n">
        <v>46312</v>
      </c>
      <c r="F3177" t="inlineStr">
        <is>
          <t>SKÅNE LÄN</t>
        </is>
      </c>
      <c r="G3177" t="inlineStr">
        <is>
          <t>HÄSSLEHOLM</t>
        </is>
      </c>
      <c r="I3177" t="n">
        <v>0.9</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9292-2026</t>
        </is>
      </c>
      <c r="B3178" t="inlineStr">
        <is>
          <t>avverkningsanmälan</t>
        </is>
      </c>
      <c r="C3178" t="inlineStr">
        <is>
          <t>Föryngringsavverkning</t>
        </is>
      </c>
      <c r="D3178" s="1" t="n">
        <v>46070</v>
      </c>
      <c r="E3178" s="1" t="n">
        <v>46312</v>
      </c>
      <c r="F3178" t="inlineStr">
        <is>
          <t>SKÅNE LÄN</t>
        </is>
      </c>
      <c r="G3178" t="inlineStr">
        <is>
          <t>ÖRKELLJUNGA</t>
        </is>
      </c>
      <c r="I3178" t="n">
        <v>1.6</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58689-2025</t>
        </is>
      </c>
      <c r="B3179" t="inlineStr">
        <is>
          <t>avverkningsanmälan</t>
        </is>
      </c>
      <c r="C3179" t="inlineStr">
        <is>
          <t>Föryngringsavverkning</t>
        </is>
      </c>
      <c r="D3179" s="1" t="n">
        <v>45986</v>
      </c>
      <c r="E3179" s="1" t="n">
        <v>46312</v>
      </c>
      <c r="F3179" t="inlineStr">
        <is>
          <t>SKÅNE LÄN</t>
        </is>
      </c>
      <c r="G3179" t="inlineStr">
        <is>
          <t>HÄSSLEHOLM</t>
        </is>
      </c>
      <c r="I3179" t="n">
        <v>3.9</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325-2024</t>
        </is>
      </c>
      <c r="B3180" t="inlineStr">
        <is>
          <t>avverkningsanmälan</t>
        </is>
      </c>
      <c r="C3180" t="inlineStr">
        <is>
          <t>Föryngringsavverkning</t>
        </is>
      </c>
      <c r="D3180" s="1" t="n">
        <v>45295</v>
      </c>
      <c r="E3180" s="1" t="n">
        <v>46312</v>
      </c>
      <c r="F3180" t="inlineStr">
        <is>
          <t>SKÅNE LÄN</t>
        </is>
      </c>
      <c r="G3180" t="inlineStr">
        <is>
          <t>BJUV</t>
        </is>
      </c>
      <c r="I3180" t="n">
        <v>2.1</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53289-2025</t>
        </is>
      </c>
      <c r="B3181" t="inlineStr">
        <is>
          <t>avverkningsanmälan</t>
        </is>
      </c>
      <c r="C3181" t="inlineStr">
        <is>
          <t>Föryngringsavverkning</t>
        </is>
      </c>
      <c r="D3181" s="1" t="n">
        <v>45958</v>
      </c>
      <c r="E3181" s="1" t="n">
        <v>46312</v>
      </c>
      <c r="F3181" t="inlineStr">
        <is>
          <t>SKÅNE LÄN</t>
        </is>
      </c>
      <c r="G3181" t="inlineStr">
        <is>
          <t>KLIPPAN</t>
        </is>
      </c>
      <c r="I3181" t="n">
        <v>1.3</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22594-2024</t>
        </is>
      </c>
      <c r="B3182" t="inlineStr">
        <is>
          <t>avverkningsanmälan</t>
        </is>
      </c>
      <c r="C3182" t="inlineStr">
        <is>
          <t>Föryngringsavverkning</t>
        </is>
      </c>
      <c r="D3182" s="1" t="n">
        <v>45447</v>
      </c>
      <c r="E3182" s="1" t="n">
        <v>46312</v>
      </c>
      <c r="F3182" t="inlineStr">
        <is>
          <t>SKÅNE LÄN</t>
        </is>
      </c>
      <c r="G3182" t="inlineStr">
        <is>
          <t>HÄSSLEHOLM</t>
        </is>
      </c>
      <c r="I3182" t="n">
        <v>1.1</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53290-2025</t>
        </is>
      </c>
      <c r="B3183" t="inlineStr">
        <is>
          <t>avverkningsanmälan</t>
        </is>
      </c>
      <c r="C3183" t="inlineStr">
        <is>
          <t>Föryngringsavverkning</t>
        </is>
      </c>
      <c r="D3183" s="1" t="n">
        <v>45958</v>
      </c>
      <c r="E3183" s="1" t="n">
        <v>46312</v>
      </c>
      <c r="F3183" t="inlineStr">
        <is>
          <t>SKÅNE LÄN</t>
        </is>
      </c>
      <c r="G3183" t="inlineStr">
        <is>
          <t>KLIPPAN</t>
        </is>
      </c>
      <c r="I3183" t="n">
        <v>0.9</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55049-2023</t>
        </is>
      </c>
      <c r="B3184" t="inlineStr">
        <is>
          <t>avverkningsanmälan</t>
        </is>
      </c>
      <c r="C3184" t="inlineStr">
        <is>
          <t>Föryngringsavverkning</t>
        </is>
      </c>
      <c r="D3184" s="1" t="n">
        <v>45237</v>
      </c>
      <c r="E3184" s="1" t="n">
        <v>46312</v>
      </c>
      <c r="F3184" t="inlineStr">
        <is>
          <t>SKÅNE LÄN</t>
        </is>
      </c>
      <c r="G3184" t="inlineStr">
        <is>
          <t>ÖRKELLJUNGA</t>
        </is>
      </c>
      <c r="I3184" t="n">
        <v>0.5</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27146-2026</t>
        </is>
      </c>
      <c r="B3185" t="inlineStr">
        <is>
          <t>avverkningsanmälan</t>
        </is>
      </c>
      <c r="C3185" t="inlineStr">
        <is>
          <t>Föryngringsavverkning</t>
        </is>
      </c>
      <c r="D3185" s="1" t="n">
        <v>46188</v>
      </c>
      <c r="E3185" s="1" t="n">
        <v>46312</v>
      </c>
      <c r="F3185" t="inlineStr">
        <is>
          <t>SKÅNE LÄN</t>
        </is>
      </c>
      <c r="G3185" t="inlineStr">
        <is>
          <t>ÖRKELLJUNGA</t>
        </is>
      </c>
      <c r="I3185" t="n">
        <v>1.5</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9828-2026</t>
        </is>
      </c>
      <c r="B3186" t="inlineStr">
        <is>
          <t>avverkningsanmälan</t>
        </is>
      </c>
      <c r="C3186" t="inlineStr">
        <is>
          <t>Föryngringsavverkning</t>
        </is>
      </c>
      <c r="D3186" s="1" t="n">
        <v>46071</v>
      </c>
      <c r="E3186" s="1" t="n">
        <v>46312</v>
      </c>
      <c r="F3186" t="inlineStr">
        <is>
          <t>SKÅNE LÄN</t>
        </is>
      </c>
      <c r="G3186" t="inlineStr">
        <is>
          <t>OSBY</t>
        </is>
      </c>
      <c r="I3186" t="n">
        <v>3</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27465-2026</t>
        </is>
      </c>
      <c r="B3187" t="inlineStr">
        <is>
          <t>avverkningsanmälan</t>
        </is>
      </c>
      <c r="C3187" t="inlineStr">
        <is>
          <t>Föryngringsavverkning</t>
        </is>
      </c>
      <c r="D3187" s="1" t="n">
        <v>46189</v>
      </c>
      <c r="E3187" s="1" t="n">
        <v>46312</v>
      </c>
      <c r="F3187" t="inlineStr">
        <is>
          <t>SKÅNE LÄN</t>
        </is>
      </c>
      <c r="G3187" t="inlineStr">
        <is>
          <t>PERSTORP</t>
        </is>
      </c>
      <c r="I3187" t="n">
        <v>4.7</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15987-2025</t>
        </is>
      </c>
      <c r="B3188" t="inlineStr">
        <is>
          <t>avverkningsanmälan</t>
        </is>
      </c>
      <c r="C3188" t="inlineStr">
        <is>
          <t>Föryngringsavverkning</t>
        </is>
      </c>
      <c r="D3188" s="1" t="n">
        <v>45749</v>
      </c>
      <c r="E3188" s="1" t="n">
        <v>46312</v>
      </c>
      <c r="F3188" t="inlineStr">
        <is>
          <t>SKÅNE LÄN</t>
        </is>
      </c>
      <c r="G3188" t="inlineStr">
        <is>
          <t>ÖRKELLJUNGA</t>
        </is>
      </c>
      <c r="I3188" t="n">
        <v>6</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25934-2022</t>
        </is>
      </c>
      <c r="B3189" t="inlineStr">
        <is>
          <t>avverkningsanmälan</t>
        </is>
      </c>
      <c r="C3189" t="inlineStr">
        <is>
          <t>Föryngringsavverkning</t>
        </is>
      </c>
      <c r="D3189" s="1" t="n">
        <v>44734</v>
      </c>
      <c r="E3189" s="1" t="n">
        <v>46312</v>
      </c>
      <c r="F3189" t="inlineStr">
        <is>
          <t>SKÅNE LÄN</t>
        </is>
      </c>
      <c r="G3189" t="inlineStr">
        <is>
          <t>HÖÖR</t>
        </is>
      </c>
      <c r="H3189" t="inlineStr">
        <is>
          <t>Övriga statliga verk och myndigheter</t>
        </is>
      </c>
      <c r="I3189" t="n">
        <v>0.3</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31503-2023</t>
        </is>
      </c>
      <c r="B3190" t="inlineStr">
        <is>
          <t>avverkningsanmälan</t>
        </is>
      </c>
      <c r="C3190" t="inlineStr">
        <is>
          <t>Föryngringsavverkning</t>
        </is>
      </c>
      <c r="D3190" s="1" t="n">
        <v>45115</v>
      </c>
      <c r="E3190" s="1" t="n">
        <v>46312</v>
      </c>
      <c r="F3190" t="inlineStr">
        <is>
          <t>SKÅNE LÄN</t>
        </is>
      </c>
      <c r="G3190" t="inlineStr">
        <is>
          <t>ÄNGELHOLM</t>
        </is>
      </c>
      <c r="I3190" t="n">
        <v>1.9</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9488-2026</t>
        </is>
      </c>
      <c r="B3191" t="inlineStr">
        <is>
          <t>avverkningsanmälan</t>
        </is>
      </c>
      <c r="C3191" t="inlineStr">
        <is>
          <t>Föryngringsavverkning</t>
        </is>
      </c>
      <c r="D3191" s="1" t="n">
        <v>46071</v>
      </c>
      <c r="E3191" s="1" t="n">
        <v>46312</v>
      </c>
      <c r="F3191" t="inlineStr">
        <is>
          <t>SKÅNE LÄN</t>
        </is>
      </c>
      <c r="G3191" t="inlineStr">
        <is>
          <t>KLIPPAN</t>
        </is>
      </c>
      <c r="I3191" t="n">
        <v>1.2</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9508-2026</t>
        </is>
      </c>
      <c r="B3192" t="inlineStr">
        <is>
          <t>avverkningsanmälan</t>
        </is>
      </c>
      <c r="C3192" t="inlineStr">
        <is>
          <t>Föryngringsavverkning</t>
        </is>
      </c>
      <c r="D3192" s="1" t="n">
        <v>46071</v>
      </c>
      <c r="E3192" s="1" t="n">
        <v>46312</v>
      </c>
      <c r="F3192" t="inlineStr">
        <is>
          <t>SKÅNE LÄN</t>
        </is>
      </c>
      <c r="G3192" t="inlineStr">
        <is>
          <t>BROMÖLLA</t>
        </is>
      </c>
      <c r="I3192" t="n">
        <v>3.2</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9509-2026</t>
        </is>
      </c>
      <c r="B3193" t="inlineStr">
        <is>
          <t>avverkningsanmälan</t>
        </is>
      </c>
      <c r="C3193" t="inlineStr">
        <is>
          <t>Föryngringsavverkning</t>
        </is>
      </c>
      <c r="D3193" s="1" t="n">
        <v>46071</v>
      </c>
      <c r="E3193" s="1" t="n">
        <v>46312</v>
      </c>
      <c r="F3193" t="inlineStr">
        <is>
          <t>SKÅNE LÄN</t>
        </is>
      </c>
      <c r="G3193" t="inlineStr">
        <is>
          <t>BROMÖLLA</t>
        </is>
      </c>
      <c r="I3193" t="n">
        <v>3.2</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25213-2023</t>
        </is>
      </c>
      <c r="B3194" t="inlineStr">
        <is>
          <t>avverkningsanmälan</t>
        </is>
      </c>
      <c r="C3194" t="inlineStr">
        <is>
          <t>Föryngringsavverkning</t>
        </is>
      </c>
      <c r="D3194" s="1" t="n">
        <v>45086</v>
      </c>
      <c r="E3194" s="1" t="n">
        <v>46312</v>
      </c>
      <c r="F3194" t="inlineStr">
        <is>
          <t>SKÅNE LÄN</t>
        </is>
      </c>
      <c r="G3194" t="inlineStr">
        <is>
          <t>HÄSSLEHOLM</t>
        </is>
      </c>
      <c r="I3194" t="n">
        <v>7.2</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57208-2022</t>
        </is>
      </c>
      <c r="B3195" t="inlineStr">
        <is>
          <t>avverkningsanmälan</t>
        </is>
      </c>
      <c r="C3195" t="inlineStr">
        <is>
          <t>Föryngringsavverkning</t>
        </is>
      </c>
      <c r="D3195" s="1" t="n">
        <v>44895</v>
      </c>
      <c r="E3195" s="1" t="n">
        <v>46312</v>
      </c>
      <c r="F3195" t="inlineStr">
        <is>
          <t>SKÅNE LÄN</t>
        </is>
      </c>
      <c r="G3195" t="inlineStr">
        <is>
          <t>ÖRKELLJUNGA</t>
        </is>
      </c>
      <c r="I3195" t="n">
        <v>1.4</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57218-2022</t>
        </is>
      </c>
      <c r="B3196" t="inlineStr">
        <is>
          <t>avverkningsanmälan</t>
        </is>
      </c>
      <c r="C3196" t="inlineStr">
        <is>
          <t>Föryngringsavverkning</t>
        </is>
      </c>
      <c r="D3196" s="1" t="n">
        <v>44895</v>
      </c>
      <c r="E3196" s="1" t="n">
        <v>46312</v>
      </c>
      <c r="F3196" t="inlineStr">
        <is>
          <t>SKÅNE LÄN</t>
        </is>
      </c>
      <c r="G3196" t="inlineStr">
        <is>
          <t>OSBY</t>
        </is>
      </c>
      <c r="I3196" t="n">
        <v>3.9</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9889-2026</t>
        </is>
      </c>
      <c r="B3197" t="inlineStr">
        <is>
          <t>avverkningsanmälan</t>
        </is>
      </c>
      <c r="C3197" t="inlineStr">
        <is>
          <t>Föryngringsavverkning</t>
        </is>
      </c>
      <c r="D3197" s="1" t="n">
        <v>46073</v>
      </c>
      <c r="E3197" s="1" t="n">
        <v>46312</v>
      </c>
      <c r="F3197" t="inlineStr">
        <is>
          <t>SKÅNE LÄN</t>
        </is>
      </c>
      <c r="G3197" t="inlineStr">
        <is>
          <t>LUND</t>
        </is>
      </c>
      <c r="I3197" t="n">
        <v>0.9</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55490-2022</t>
        </is>
      </c>
      <c r="B3198" t="inlineStr">
        <is>
          <t>avverkningsanmälan</t>
        </is>
      </c>
      <c r="C3198" t="inlineStr">
        <is>
          <t>Föryngringsavverkning</t>
        </is>
      </c>
      <c r="D3198" s="1" t="n">
        <v>44887</v>
      </c>
      <c r="E3198" s="1" t="n">
        <v>46312</v>
      </c>
      <c r="F3198" t="inlineStr">
        <is>
          <t>SKÅNE LÄN</t>
        </is>
      </c>
      <c r="G3198" t="inlineStr">
        <is>
          <t>ÖSTRA GÖINGE</t>
        </is>
      </c>
      <c r="I3198" t="n">
        <v>2.1</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39014-2023</t>
        </is>
      </c>
      <c r="B3199" t="inlineStr">
        <is>
          <t>avverkningsanmälan</t>
        </is>
      </c>
      <c r="C3199" t="inlineStr">
        <is>
          <t>Föryngringsavverkning</t>
        </is>
      </c>
      <c r="D3199" s="1" t="n">
        <v>45163</v>
      </c>
      <c r="E3199" s="1" t="n">
        <v>46312</v>
      </c>
      <c r="F3199" t="inlineStr">
        <is>
          <t>SKÅNE LÄN</t>
        </is>
      </c>
      <c r="G3199" t="inlineStr">
        <is>
          <t>ÄNGELHOLM</t>
        </is>
      </c>
      <c r="I3199" t="n">
        <v>1.9</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18063-2023</t>
        </is>
      </c>
      <c r="B3200" t="inlineStr">
        <is>
          <t>avverkningsanmälan</t>
        </is>
      </c>
      <c r="C3200" t="inlineStr">
        <is>
          <t>Föryngringsavverkning</t>
        </is>
      </c>
      <c r="D3200" s="1" t="n">
        <v>45040</v>
      </c>
      <c r="E3200" s="1" t="n">
        <v>46312</v>
      </c>
      <c r="F3200" t="inlineStr">
        <is>
          <t>SKÅNE LÄN</t>
        </is>
      </c>
      <c r="G3200" t="inlineStr">
        <is>
          <t>HÄSSLEHOLM</t>
        </is>
      </c>
      <c r="I3200" t="n">
        <v>0.8</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64835-2023</t>
        </is>
      </c>
      <c r="B3201" t="inlineStr">
        <is>
          <t>avverkningsanmälan</t>
        </is>
      </c>
      <c r="C3201" t="inlineStr">
        <is>
          <t>Föryngringsavverkning</t>
        </is>
      </c>
      <c r="D3201" s="1" t="n">
        <v>45282</v>
      </c>
      <c r="E3201" s="1" t="n">
        <v>46312</v>
      </c>
      <c r="F3201" t="inlineStr">
        <is>
          <t>SKÅNE LÄN</t>
        </is>
      </c>
      <c r="G3201" t="inlineStr">
        <is>
          <t>KRISTIANSTAD</t>
        </is>
      </c>
      <c r="I3201" t="n">
        <v>1.3</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22223-2024</t>
        </is>
      </c>
      <c r="B3202" t="inlineStr">
        <is>
          <t>avverkningsanmälan</t>
        </is>
      </c>
      <c r="C3202" t="inlineStr">
        <is>
          <t>Föryngringsavverkning</t>
        </is>
      </c>
      <c r="D3202" s="1" t="n">
        <v>45446</v>
      </c>
      <c r="E3202" s="1" t="n">
        <v>46312</v>
      </c>
      <c r="F3202" t="inlineStr">
        <is>
          <t>SKÅNE LÄN</t>
        </is>
      </c>
      <c r="G3202" t="inlineStr">
        <is>
          <t>OSBY</t>
        </is>
      </c>
      <c r="I3202" t="n">
        <v>1.3</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9849-2026</t>
        </is>
      </c>
      <c r="B3203" t="inlineStr">
        <is>
          <t>avverkningsanmälan</t>
        </is>
      </c>
      <c r="C3203" t="inlineStr">
        <is>
          <t>Föryngringsavverkning</t>
        </is>
      </c>
      <c r="D3203" s="1" t="n">
        <v>46072</v>
      </c>
      <c r="E3203" s="1" t="n">
        <v>46312</v>
      </c>
      <c r="F3203" t="inlineStr">
        <is>
          <t>SKÅNE LÄN</t>
        </is>
      </c>
      <c r="G3203" t="inlineStr">
        <is>
          <t>ESLÖV</t>
        </is>
      </c>
      <c r="I3203" t="n">
        <v>2.5</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10051-2026</t>
        </is>
      </c>
      <c r="B3204" t="inlineStr">
        <is>
          <t>avverkningsanmälan</t>
        </is>
      </c>
      <c r="C3204" t="inlineStr">
        <is>
          <t>Föryngringsavverkning</t>
        </is>
      </c>
      <c r="D3204" s="1" t="n">
        <v>46073</v>
      </c>
      <c r="E3204" s="1" t="n">
        <v>46312</v>
      </c>
      <c r="F3204" t="inlineStr">
        <is>
          <t>SKÅNE LÄN</t>
        </is>
      </c>
      <c r="G3204" t="inlineStr">
        <is>
          <t>HÄSSLEHOLM</t>
        </is>
      </c>
      <c r="I3204" t="n">
        <v>0.7</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7731-2026</t>
        </is>
      </c>
      <c r="B3205" t="inlineStr">
        <is>
          <t>avverkningsanmälan</t>
        </is>
      </c>
      <c r="C3205" t="inlineStr">
        <is>
          <t>Föryngringsavverkning</t>
        </is>
      </c>
      <c r="D3205" s="1" t="n">
        <v>46062</v>
      </c>
      <c r="E3205" s="1" t="n">
        <v>46312</v>
      </c>
      <c r="F3205" t="inlineStr">
        <is>
          <t>SKÅNE LÄN</t>
        </is>
      </c>
      <c r="G3205" t="inlineStr">
        <is>
          <t>BÅSTAD</t>
        </is>
      </c>
      <c r="I3205" t="n">
        <v>5.9</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63561-2023</t>
        </is>
      </c>
      <c r="B3206" t="inlineStr">
        <is>
          <t>avverkningsanmälan</t>
        </is>
      </c>
      <c r="C3206" t="inlineStr">
        <is>
          <t>Föryngringsavverkning</t>
        </is>
      </c>
      <c r="D3206" s="1" t="n">
        <v>45274</v>
      </c>
      <c r="E3206" s="1" t="n">
        <v>46312</v>
      </c>
      <c r="F3206" t="inlineStr">
        <is>
          <t>SKÅNE LÄN</t>
        </is>
      </c>
      <c r="G3206" t="inlineStr">
        <is>
          <t>KRISTIANSTAD</t>
        </is>
      </c>
      <c r="I3206" t="n">
        <v>0.9</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10237-2026</t>
        </is>
      </c>
      <c r="B3207" t="inlineStr">
        <is>
          <t>avverkningsanmälan</t>
        </is>
      </c>
      <c r="C3207" t="inlineStr">
        <is>
          <t>Föryngringsavverkning</t>
        </is>
      </c>
      <c r="D3207" s="1" t="n">
        <v>46076</v>
      </c>
      <c r="E3207" s="1" t="n">
        <v>46312</v>
      </c>
      <c r="F3207" t="inlineStr">
        <is>
          <t>SKÅNE LÄN</t>
        </is>
      </c>
      <c r="G3207" t="inlineStr">
        <is>
          <t>OSBY</t>
        </is>
      </c>
      <c r="I3207" t="n">
        <v>2.3</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49726-2023</t>
        </is>
      </c>
      <c r="B3208" t="inlineStr">
        <is>
          <t>avverkningsanmälan</t>
        </is>
      </c>
      <c r="C3208" t="inlineStr">
        <is>
          <t>Föryngringsavverkning</t>
        </is>
      </c>
      <c r="D3208" s="1" t="n">
        <v>45208</v>
      </c>
      <c r="E3208" s="1" t="n">
        <v>46312</v>
      </c>
      <c r="F3208" t="inlineStr">
        <is>
          <t>SKÅNE LÄN</t>
        </is>
      </c>
      <c r="G3208" t="inlineStr">
        <is>
          <t>HÖRBY</t>
        </is>
      </c>
      <c r="I3208" t="n">
        <v>1.3</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13954-2025</t>
        </is>
      </c>
      <c r="B3209" t="inlineStr">
        <is>
          <t>avverkningsanmälan</t>
        </is>
      </c>
      <c r="C3209" t="inlineStr">
        <is>
          <t>Avverkning för annat ändamål</t>
        </is>
      </c>
      <c r="D3209" s="1" t="n">
        <v>45737</v>
      </c>
      <c r="E3209" s="1" t="n">
        <v>46312</v>
      </c>
      <c r="F3209" t="inlineStr">
        <is>
          <t>SKÅNE LÄN</t>
        </is>
      </c>
      <c r="G3209" t="inlineStr">
        <is>
          <t>KRISTIANSTAD</t>
        </is>
      </c>
      <c r="I3209" t="n">
        <v>0.6</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13995-2025</t>
        </is>
      </c>
      <c r="B3210" t="inlineStr">
        <is>
          <t>avverkningsanmälan</t>
        </is>
      </c>
      <c r="C3210" t="inlineStr">
        <is>
          <t>Föryngringsavverkning</t>
        </is>
      </c>
      <c r="D3210" s="1" t="n">
        <v>45739</v>
      </c>
      <c r="E3210" s="1" t="n">
        <v>46312</v>
      </c>
      <c r="F3210" t="inlineStr">
        <is>
          <t>SKÅNE LÄN</t>
        </is>
      </c>
      <c r="G3210" t="inlineStr">
        <is>
          <t>KLIPPAN</t>
        </is>
      </c>
      <c r="I3210" t="n">
        <v>1.9</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14103-2024</t>
        </is>
      </c>
      <c r="B3211" t="inlineStr">
        <is>
          <t>avverkningsanmälan</t>
        </is>
      </c>
      <c r="C3211" t="inlineStr">
        <is>
          <t>Föryngringsavverkning</t>
        </is>
      </c>
      <c r="D3211" s="1" t="n">
        <v>45392</v>
      </c>
      <c r="E3211" s="1" t="n">
        <v>46312</v>
      </c>
      <c r="F3211" t="inlineStr">
        <is>
          <t>SKÅNE LÄN</t>
        </is>
      </c>
      <c r="G3211" t="inlineStr">
        <is>
          <t>SIMRISHAMN</t>
        </is>
      </c>
      <c r="I3211" t="n">
        <v>0.4</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61520-2022</t>
        </is>
      </c>
      <c r="B3212" t="inlineStr">
        <is>
          <t>avverkningsanmälan</t>
        </is>
      </c>
      <c r="C3212" t="inlineStr">
        <is>
          <t>Föryngringsavverkning</t>
        </is>
      </c>
      <c r="D3212" s="1" t="n">
        <v>44910</v>
      </c>
      <c r="E3212" s="1" t="n">
        <v>46312</v>
      </c>
      <c r="F3212" t="inlineStr">
        <is>
          <t>SKÅNE LÄN</t>
        </is>
      </c>
      <c r="G3212" t="inlineStr">
        <is>
          <t>OSBY</t>
        </is>
      </c>
      <c r="H3212" t="inlineStr">
        <is>
          <t>Kyrkan</t>
        </is>
      </c>
      <c r="I3212" t="n">
        <v>2.6</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61524-2022</t>
        </is>
      </c>
      <c r="B3213" t="inlineStr">
        <is>
          <t>avverkningsanmälan</t>
        </is>
      </c>
      <c r="C3213" t="inlineStr">
        <is>
          <t>Föryngringsavverkning</t>
        </is>
      </c>
      <c r="D3213" s="1" t="n">
        <v>44910</v>
      </c>
      <c r="E3213" s="1" t="n">
        <v>46312</v>
      </c>
      <c r="F3213" t="inlineStr">
        <is>
          <t>SKÅNE LÄN</t>
        </is>
      </c>
      <c r="G3213" t="inlineStr">
        <is>
          <t>HÄSSLEHOLM</t>
        </is>
      </c>
      <c r="H3213" t="inlineStr">
        <is>
          <t>Kyrkan</t>
        </is>
      </c>
      <c r="I3213" t="n">
        <v>2.1</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61550-2023</t>
        </is>
      </c>
      <c r="B3214" t="inlineStr">
        <is>
          <t>avverkningsanmälan</t>
        </is>
      </c>
      <c r="C3214" t="inlineStr">
        <is>
          <t>Avverkning för annat ändamål</t>
        </is>
      </c>
      <c r="D3214" s="1" t="n">
        <v>45265</v>
      </c>
      <c r="E3214" s="1" t="n">
        <v>46312</v>
      </c>
      <c r="F3214" t="inlineStr">
        <is>
          <t>SKÅNE LÄN</t>
        </is>
      </c>
      <c r="G3214" t="inlineStr">
        <is>
          <t>KRISTIANSTAD</t>
        </is>
      </c>
      <c r="I3214" t="n">
        <v>1.4</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61578-2023</t>
        </is>
      </c>
      <c r="B3215" t="inlineStr">
        <is>
          <t>avverkningsanmälan</t>
        </is>
      </c>
      <c r="C3215" t="inlineStr">
        <is>
          <t>Föryngringsavverkning</t>
        </is>
      </c>
      <c r="D3215" s="1" t="n">
        <v>45265</v>
      </c>
      <c r="E3215" s="1" t="n">
        <v>46312</v>
      </c>
      <c r="F3215" t="inlineStr">
        <is>
          <t>SKÅNE LÄN</t>
        </is>
      </c>
      <c r="G3215" t="inlineStr">
        <is>
          <t>HÄSSLEHOLM</t>
        </is>
      </c>
      <c r="I3215" t="n">
        <v>1.2</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6440-2024</t>
        </is>
      </c>
      <c r="B3216" t="inlineStr">
        <is>
          <t>avverkningsanmälan</t>
        </is>
      </c>
      <c r="C3216" t="inlineStr">
        <is>
          <t>Föryngringsavverkning</t>
        </is>
      </c>
      <c r="D3216" s="1" t="n">
        <v>45338</v>
      </c>
      <c r="E3216" s="1" t="n">
        <v>46312</v>
      </c>
      <c r="F3216" t="inlineStr">
        <is>
          <t>SKÅNE LÄN</t>
        </is>
      </c>
      <c r="G3216" t="inlineStr">
        <is>
          <t>HÖÖR</t>
        </is>
      </c>
      <c r="I3216" t="n">
        <v>0.6</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36840-2024</t>
        </is>
      </c>
      <c r="B3217" t="inlineStr">
        <is>
          <t>avverkningsanmälan</t>
        </is>
      </c>
      <c r="C3217" t="inlineStr">
        <is>
          <t>Föryngringsavverkning</t>
        </is>
      </c>
      <c r="D3217" s="1" t="n">
        <v>45538</v>
      </c>
      <c r="E3217" s="1" t="n">
        <v>46312</v>
      </c>
      <c r="F3217" t="inlineStr">
        <is>
          <t>SKÅNE LÄN</t>
        </is>
      </c>
      <c r="G3217" t="inlineStr">
        <is>
          <t>HÖRBY</t>
        </is>
      </c>
      <c r="H3217" t="inlineStr">
        <is>
          <t>Sveaskog</t>
        </is>
      </c>
      <c r="I3217" t="n">
        <v>0.9</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8296-2026</t>
        </is>
      </c>
      <c r="B3218" t="inlineStr">
        <is>
          <t>avverkningsanmälan</t>
        </is>
      </c>
      <c r="C3218" t="inlineStr">
        <is>
          <t>Föryngringsavverkning</t>
        </is>
      </c>
      <c r="D3218" s="1" t="n">
        <v>46064</v>
      </c>
      <c r="E3218" s="1" t="n">
        <v>46312</v>
      </c>
      <c r="F3218" t="inlineStr">
        <is>
          <t>SKÅNE LÄN</t>
        </is>
      </c>
      <c r="G3218" t="inlineStr">
        <is>
          <t>HÖÖR</t>
        </is>
      </c>
      <c r="I3218" t="n">
        <v>1.4</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25542-2024</t>
        </is>
      </c>
      <c r="B3219" t="inlineStr">
        <is>
          <t>avverkningsanmälan</t>
        </is>
      </c>
      <c r="C3219" t="inlineStr">
        <is>
          <t>Föryngringsavverkning</t>
        </is>
      </c>
      <c r="D3219" s="1" t="n">
        <v>45463</v>
      </c>
      <c r="E3219" s="1" t="n">
        <v>46312</v>
      </c>
      <c r="F3219" t="inlineStr">
        <is>
          <t>SKÅNE LÄN</t>
        </is>
      </c>
      <c r="G3219" t="inlineStr">
        <is>
          <t>HÄSSLEHOLM</t>
        </is>
      </c>
      <c r="I3219" t="n">
        <v>6.9</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10473-2026</t>
        </is>
      </c>
      <c r="B3220" t="inlineStr">
        <is>
          <t>avverkningsanmälan</t>
        </is>
      </c>
      <c r="C3220" t="inlineStr">
        <is>
          <t>Föryngringsavverkning</t>
        </is>
      </c>
      <c r="D3220" s="1" t="n">
        <v>46077</v>
      </c>
      <c r="E3220" s="1" t="n">
        <v>46312</v>
      </c>
      <c r="F3220" t="inlineStr">
        <is>
          <t>SKÅNE LÄN</t>
        </is>
      </c>
      <c r="G3220" t="inlineStr">
        <is>
          <t>ÖRKELLJUNGA</t>
        </is>
      </c>
      <c r="I3220" t="n">
        <v>0.9</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42370-2023</t>
        </is>
      </c>
      <c r="B3221" t="inlineStr">
        <is>
          <t>avverkningsanmälan</t>
        </is>
      </c>
      <c r="C3221" t="inlineStr">
        <is>
          <t>Föryngringsavverkning</t>
        </is>
      </c>
      <c r="D3221" s="1" t="n">
        <v>45180</v>
      </c>
      <c r="E3221" s="1" t="n">
        <v>46312</v>
      </c>
      <c r="F3221" t="inlineStr">
        <is>
          <t>SKÅNE LÄN</t>
        </is>
      </c>
      <c r="G3221" t="inlineStr">
        <is>
          <t>HÄSSLEHOLM</t>
        </is>
      </c>
      <c r="I3221" t="n">
        <v>2.6</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31908-2023</t>
        </is>
      </c>
      <c r="B3222" t="inlineStr">
        <is>
          <t>avverkningsanmälan</t>
        </is>
      </c>
      <c r="C3222" t="inlineStr">
        <is>
          <t>Föryngringsavverkning</t>
        </is>
      </c>
      <c r="D3222" s="1" t="n">
        <v>45118</v>
      </c>
      <c r="E3222" s="1" t="n">
        <v>46312</v>
      </c>
      <c r="F3222" t="inlineStr">
        <is>
          <t>SKÅNE LÄN</t>
        </is>
      </c>
      <c r="G3222" t="inlineStr">
        <is>
          <t>ÄNGELHOLM</t>
        </is>
      </c>
      <c r="I3222" t="n">
        <v>1.5</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10466-2026</t>
        </is>
      </c>
      <c r="B3223" t="inlineStr">
        <is>
          <t>avverkningsanmälan</t>
        </is>
      </c>
      <c r="C3223" t="inlineStr">
        <is>
          <t>Föryngringsavverkning</t>
        </is>
      </c>
      <c r="D3223" s="1" t="n">
        <v>46077</v>
      </c>
      <c r="E3223" s="1" t="n">
        <v>46312</v>
      </c>
      <c r="F3223" t="inlineStr">
        <is>
          <t>SKÅNE LÄN</t>
        </is>
      </c>
      <c r="G3223" t="inlineStr">
        <is>
          <t>ÖRKELLJUNGA</t>
        </is>
      </c>
      <c r="I3223" t="n">
        <v>1.2</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10263-2026</t>
        </is>
      </c>
      <c r="B3224" t="inlineStr">
        <is>
          <t>avverkningsanmälan</t>
        </is>
      </c>
      <c r="C3224" t="inlineStr">
        <is>
          <t>Föryngringsavverkning</t>
        </is>
      </c>
      <c r="D3224" s="1" t="n">
        <v>46076</v>
      </c>
      <c r="E3224" s="1" t="n">
        <v>46312</v>
      </c>
      <c r="F3224" t="inlineStr">
        <is>
          <t>SKÅNE LÄN</t>
        </is>
      </c>
      <c r="G3224" t="inlineStr">
        <is>
          <t>KRISTIANSTAD</t>
        </is>
      </c>
      <c r="H3224" t="inlineStr">
        <is>
          <t>Övriga Aktiebolag</t>
        </is>
      </c>
      <c r="I3224" t="n">
        <v>1.3</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10731-2026</t>
        </is>
      </c>
      <c r="B3225" t="inlineStr">
        <is>
          <t>avverkningsanmälan</t>
        </is>
      </c>
      <c r="C3225" t="inlineStr">
        <is>
          <t>Föryngringsavverkning</t>
        </is>
      </c>
      <c r="D3225" s="1" t="n">
        <v>46078</v>
      </c>
      <c r="E3225" s="1" t="n">
        <v>46312</v>
      </c>
      <c r="F3225" t="inlineStr">
        <is>
          <t>SKÅNE LÄN</t>
        </is>
      </c>
      <c r="G3225" t="inlineStr">
        <is>
          <t>HÖRBY</t>
        </is>
      </c>
      <c r="H3225" t="inlineStr">
        <is>
          <t>Kyrkan</t>
        </is>
      </c>
      <c r="I3225" t="n">
        <v>4.8</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62807-2025</t>
        </is>
      </c>
      <c r="B3226" t="inlineStr">
        <is>
          <t>avverkningsanmälan</t>
        </is>
      </c>
      <c r="C3226" t="inlineStr">
        <is>
          <t>Föryngringsavverkning</t>
        </is>
      </c>
      <c r="D3226" s="1" t="n">
        <v>46008</v>
      </c>
      <c r="E3226" s="1" t="n">
        <v>46312</v>
      </c>
      <c r="F3226" t="inlineStr">
        <is>
          <t>SKÅNE LÄN</t>
        </is>
      </c>
      <c r="G3226" t="inlineStr">
        <is>
          <t>SJÖBO</t>
        </is>
      </c>
      <c r="H3226" t="inlineStr">
        <is>
          <t>Sveaskog</t>
        </is>
      </c>
      <c r="I3226" t="n">
        <v>1.1</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36421-2022</t>
        </is>
      </c>
      <c r="B3227" t="inlineStr">
        <is>
          <t>avverkningsanmälan</t>
        </is>
      </c>
      <c r="C3227" t="inlineStr">
        <is>
          <t>Föryngringsavverkning</t>
        </is>
      </c>
      <c r="D3227" s="1" t="n">
        <v>44804</v>
      </c>
      <c r="E3227" s="1" t="n">
        <v>46312</v>
      </c>
      <c r="F3227" t="inlineStr">
        <is>
          <t>SKÅNE LÄN</t>
        </is>
      </c>
      <c r="G3227" t="inlineStr">
        <is>
          <t>BROMÖLLA</t>
        </is>
      </c>
      <c r="I3227" t="n">
        <v>2.7</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10480-2026</t>
        </is>
      </c>
      <c r="B3228" t="inlineStr">
        <is>
          <t>avverkningsanmälan</t>
        </is>
      </c>
      <c r="C3228" t="inlineStr">
        <is>
          <t>Föryngringsavverkning</t>
        </is>
      </c>
      <c r="D3228" s="1" t="n">
        <v>46077</v>
      </c>
      <c r="E3228" s="1" t="n">
        <v>46312</v>
      </c>
      <c r="F3228" t="inlineStr">
        <is>
          <t>SKÅNE LÄN</t>
        </is>
      </c>
      <c r="G3228" t="inlineStr">
        <is>
          <t>ÖRKELLJUNGA</t>
        </is>
      </c>
      <c r="I3228" t="n">
        <v>0.9</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62798-2025</t>
        </is>
      </c>
      <c r="B3229" t="inlineStr">
        <is>
          <t>avverkningsanmälan</t>
        </is>
      </c>
      <c r="C3229" t="inlineStr">
        <is>
          <t>Föryngringsavverkning</t>
        </is>
      </c>
      <c r="D3229" s="1" t="n">
        <v>46008</v>
      </c>
      <c r="E3229" s="1" t="n">
        <v>46312</v>
      </c>
      <c r="F3229" t="inlineStr">
        <is>
          <t>SKÅNE LÄN</t>
        </is>
      </c>
      <c r="G3229" t="inlineStr">
        <is>
          <t>SJÖBO</t>
        </is>
      </c>
      <c r="H3229" t="inlineStr">
        <is>
          <t>Sveaskog</t>
        </is>
      </c>
      <c r="I3229" t="n">
        <v>1.8</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24724-2024</t>
        </is>
      </c>
      <c r="B3230" t="inlineStr">
        <is>
          <t>avverkningsanmälan</t>
        </is>
      </c>
      <c r="C3230" t="inlineStr">
        <is>
          <t>Avverkning för annat ändamål</t>
        </is>
      </c>
      <c r="D3230" s="1" t="n">
        <v>45460</v>
      </c>
      <c r="E3230" s="1" t="n">
        <v>46312</v>
      </c>
      <c r="F3230" t="inlineStr">
        <is>
          <t>SKÅNE LÄN</t>
        </is>
      </c>
      <c r="G3230" t="inlineStr">
        <is>
          <t>HÖRBY</t>
        </is>
      </c>
      <c r="I3230" t="n">
        <v>1.4</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27122-2026</t>
        </is>
      </c>
      <c r="B3231" t="inlineStr">
        <is>
          <t>avverkningsanmälan</t>
        </is>
      </c>
      <c r="C3231" t="inlineStr">
        <is>
          <t>Föryngringsavverkning</t>
        </is>
      </c>
      <c r="D3231" s="1" t="n">
        <v>46188</v>
      </c>
      <c r="E3231" s="1" t="n">
        <v>46312</v>
      </c>
      <c r="F3231" t="inlineStr">
        <is>
          <t>SKÅNE LÄN</t>
        </is>
      </c>
      <c r="G3231" t="inlineStr">
        <is>
          <t>HÄSSLEHOLM</t>
        </is>
      </c>
      <c r="I3231" t="n">
        <v>0.9</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27123-2026</t>
        </is>
      </c>
      <c r="B3232" t="inlineStr">
        <is>
          <t>avverkningsanmälan</t>
        </is>
      </c>
      <c r="C3232" t="inlineStr">
        <is>
          <t>Föryngringsavverkning</t>
        </is>
      </c>
      <c r="D3232" s="1" t="n">
        <v>46188</v>
      </c>
      <c r="E3232" s="1" t="n">
        <v>46312</v>
      </c>
      <c r="F3232" t="inlineStr">
        <is>
          <t>SKÅNE LÄN</t>
        </is>
      </c>
      <c r="G3232" t="inlineStr">
        <is>
          <t>HÄSSLEHOLM</t>
        </is>
      </c>
      <c r="I3232" t="n">
        <v>0.6</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5027-2024</t>
        </is>
      </c>
      <c r="B3233" t="inlineStr">
        <is>
          <t>avverkningsanmälan</t>
        </is>
      </c>
      <c r="C3233" t="inlineStr">
        <is>
          <t>Föryngringsavverkning</t>
        </is>
      </c>
      <c r="D3233" s="1" t="n">
        <v>45329</v>
      </c>
      <c r="E3233" s="1" t="n">
        <v>46312</v>
      </c>
      <c r="F3233" t="inlineStr">
        <is>
          <t>SKÅNE LÄN</t>
        </is>
      </c>
      <c r="G3233" t="inlineStr">
        <is>
          <t>TOMELILLA</t>
        </is>
      </c>
      <c r="H3233" t="inlineStr">
        <is>
          <t>Övriga Aktiebolag</t>
        </is>
      </c>
      <c r="I3233" t="n">
        <v>4.7</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39407-2023</t>
        </is>
      </c>
      <c r="B3234" t="inlineStr">
        <is>
          <t>avverkningsanmälan</t>
        </is>
      </c>
      <c r="C3234" t="inlineStr">
        <is>
          <t>Avverkning för annat ändamål</t>
        </is>
      </c>
      <c r="D3234" s="1" t="n">
        <v>45163</v>
      </c>
      <c r="E3234" s="1" t="n">
        <v>46312</v>
      </c>
      <c r="F3234" t="inlineStr">
        <is>
          <t>SKÅNE LÄN</t>
        </is>
      </c>
      <c r="G3234" t="inlineStr">
        <is>
          <t>SJÖBO</t>
        </is>
      </c>
      <c r="I3234" t="n">
        <v>9.300000000000001</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59709-2023</t>
        </is>
      </c>
      <c r="B3235" t="inlineStr">
        <is>
          <t>avverkningsanmälan</t>
        </is>
      </c>
      <c r="C3235" t="inlineStr">
        <is>
          <t>Föryngringsavverkning</t>
        </is>
      </c>
      <c r="D3235" s="1" t="n">
        <v>45256</v>
      </c>
      <c r="E3235" s="1" t="n">
        <v>46312</v>
      </c>
      <c r="F3235" t="inlineStr">
        <is>
          <t>SKÅNE LÄN</t>
        </is>
      </c>
      <c r="G3235" t="inlineStr">
        <is>
          <t>ÖSTRA GÖINGE</t>
        </is>
      </c>
      <c r="I3235" t="n">
        <v>1.2</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11422-2025</t>
        </is>
      </c>
      <c r="B3236" t="inlineStr">
        <is>
          <t>avverkningsanmälan</t>
        </is>
      </c>
      <c r="C3236" t="inlineStr">
        <is>
          <t>Föryngringsavverkning</t>
        </is>
      </c>
      <c r="D3236" s="1" t="n">
        <v>45726</v>
      </c>
      <c r="E3236" s="1" t="n">
        <v>46312</v>
      </c>
      <c r="F3236" t="inlineStr">
        <is>
          <t>SKÅNE LÄN</t>
        </is>
      </c>
      <c r="G3236" t="inlineStr">
        <is>
          <t>HÄSSLEHOLM</t>
        </is>
      </c>
      <c r="I3236" t="n">
        <v>14.9</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31502-2023</t>
        </is>
      </c>
      <c r="B3237" t="inlineStr">
        <is>
          <t>avverkningsanmälan</t>
        </is>
      </c>
      <c r="C3237" t="inlineStr">
        <is>
          <t>Föryngringsavverkning</t>
        </is>
      </c>
      <c r="D3237" s="1" t="n">
        <v>45115</v>
      </c>
      <c r="E3237" s="1" t="n">
        <v>46312</v>
      </c>
      <c r="F3237" t="inlineStr">
        <is>
          <t>SKÅNE LÄN</t>
        </is>
      </c>
      <c r="G3237" t="inlineStr">
        <is>
          <t>ÄNGELHOLM</t>
        </is>
      </c>
      <c r="I3237" t="n">
        <v>0.7</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42275-2024</t>
        </is>
      </c>
      <c r="B3238" t="inlineStr">
        <is>
          <t>avverkningsanmälan</t>
        </is>
      </c>
      <c r="C3238" t="inlineStr">
        <is>
          <t>Föryngringsavverkning</t>
        </is>
      </c>
      <c r="D3238" s="1" t="n">
        <v>45562</v>
      </c>
      <c r="E3238" s="1" t="n">
        <v>46312</v>
      </c>
      <c r="F3238" t="inlineStr">
        <is>
          <t>SKÅNE LÄN</t>
        </is>
      </c>
      <c r="G3238" t="inlineStr">
        <is>
          <t>KLIPPAN</t>
        </is>
      </c>
      <c r="H3238" t="inlineStr">
        <is>
          <t>Sveaskog</t>
        </is>
      </c>
      <c r="I3238" t="n">
        <v>0.6</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56065-2025</t>
        </is>
      </c>
      <c r="B3239" t="inlineStr">
        <is>
          <t>avverkningsanmälan</t>
        </is>
      </c>
      <c r="C3239" t="inlineStr">
        <is>
          <t>Föryngringsavverkning</t>
        </is>
      </c>
      <c r="D3239" s="1" t="n">
        <v>45973</v>
      </c>
      <c r="E3239" s="1" t="n">
        <v>46312</v>
      </c>
      <c r="F3239" t="inlineStr">
        <is>
          <t>SKÅNE LÄN</t>
        </is>
      </c>
      <c r="G3239" t="inlineStr">
        <is>
          <t>HÄSSLEHOLM</t>
        </is>
      </c>
      <c r="I3239" t="n">
        <v>1.6</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29853-2024</t>
        </is>
      </c>
      <c r="B3240" t="inlineStr">
        <is>
          <t>avverkningsanmälan</t>
        </is>
      </c>
      <c r="C3240" t="inlineStr">
        <is>
          <t>Föryngringsavverkning</t>
        </is>
      </c>
      <c r="D3240" s="1" t="n">
        <v>45485</v>
      </c>
      <c r="E3240" s="1" t="n">
        <v>46312</v>
      </c>
      <c r="F3240" t="inlineStr">
        <is>
          <t>SKÅNE LÄN</t>
        </is>
      </c>
      <c r="G3240" t="inlineStr">
        <is>
          <t>HÄSSLEHOLM</t>
        </is>
      </c>
      <c r="I3240" t="n">
        <v>0.8</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58807-2025</t>
        </is>
      </c>
      <c r="B3241" t="inlineStr">
        <is>
          <t>avverkningsanmälan</t>
        </is>
      </c>
      <c r="C3241" t="inlineStr">
        <is>
          <t>Föryngringsavverkning</t>
        </is>
      </c>
      <c r="D3241" s="1" t="n">
        <v>45987</v>
      </c>
      <c r="E3241" s="1" t="n">
        <v>46312</v>
      </c>
      <c r="F3241" t="inlineStr">
        <is>
          <t>SKÅNE LÄN</t>
        </is>
      </c>
      <c r="G3241" t="inlineStr">
        <is>
          <t>HÖÖR</t>
        </is>
      </c>
      <c r="I3241" t="n">
        <v>0.9</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29287-2023</t>
        </is>
      </c>
      <c r="B3242" t="inlineStr">
        <is>
          <t>avverkningsanmälan</t>
        </is>
      </c>
      <c r="C3242" t="inlineStr">
        <is>
          <t>Föryngringsavverkning</t>
        </is>
      </c>
      <c r="D3242" s="1" t="n">
        <v>45098</v>
      </c>
      <c r="E3242" s="1" t="n">
        <v>46312</v>
      </c>
      <c r="F3242" t="inlineStr">
        <is>
          <t>SKÅNE LÄN</t>
        </is>
      </c>
      <c r="G3242" t="inlineStr">
        <is>
          <t>HÄSSLEHOLM</t>
        </is>
      </c>
      <c r="I3242" t="n">
        <v>5.7</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58641-2023</t>
        </is>
      </c>
      <c r="B3243" t="inlineStr">
        <is>
          <t>avverkningsanmälan</t>
        </is>
      </c>
      <c r="C3243" t="inlineStr">
        <is>
          <t>Avverkning för annat ändamål</t>
        </is>
      </c>
      <c r="D3243" s="1" t="n">
        <v>45251</v>
      </c>
      <c r="E3243" s="1" t="n">
        <v>46312</v>
      </c>
      <c r="F3243" t="inlineStr">
        <is>
          <t>SKÅNE LÄN</t>
        </is>
      </c>
      <c r="G3243" t="inlineStr">
        <is>
          <t>HÖRBY</t>
        </is>
      </c>
      <c r="I3243" t="n">
        <v>1.2</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5992-2022</t>
        </is>
      </c>
      <c r="B3244" t="inlineStr">
        <is>
          <t>avverkningsanmälan</t>
        </is>
      </c>
      <c r="C3244" t="inlineStr">
        <is>
          <t>Föryngringsavverkning</t>
        </is>
      </c>
      <c r="D3244" s="1" t="n">
        <v>44599</v>
      </c>
      <c r="E3244" s="1" t="n">
        <v>46312</v>
      </c>
      <c r="F3244" t="inlineStr">
        <is>
          <t>SKÅNE LÄN</t>
        </is>
      </c>
      <c r="G3244" t="inlineStr">
        <is>
          <t>HÄSSLEHOLM</t>
        </is>
      </c>
      <c r="I3244" t="n">
        <v>1</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31404-2025</t>
        </is>
      </c>
      <c r="B3245" t="inlineStr">
        <is>
          <t>avverkningsanmälan</t>
        </is>
      </c>
      <c r="C3245" t="inlineStr">
        <is>
          <t>Föryngringsavverkning</t>
        </is>
      </c>
      <c r="D3245" s="1" t="n">
        <v>45833</v>
      </c>
      <c r="E3245" s="1" t="n">
        <v>46312</v>
      </c>
      <c r="F3245" t="inlineStr">
        <is>
          <t>SKÅNE LÄN</t>
        </is>
      </c>
      <c r="G3245" t="inlineStr">
        <is>
          <t>BROMÖLLA</t>
        </is>
      </c>
      <c r="I3245" t="n">
        <v>3.2</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21572-2023</t>
        </is>
      </c>
      <c r="B3246" t="inlineStr">
        <is>
          <t>avverkningsanmälan</t>
        </is>
      </c>
      <c r="C3246" t="inlineStr">
        <is>
          <t>Föryngringsavverkning</t>
        </is>
      </c>
      <c r="D3246" s="1" t="n">
        <v>45063</v>
      </c>
      <c r="E3246" s="1" t="n">
        <v>46312</v>
      </c>
      <c r="F3246" t="inlineStr">
        <is>
          <t>SKÅNE LÄN</t>
        </is>
      </c>
      <c r="G3246" t="inlineStr">
        <is>
          <t>BÅSTAD</t>
        </is>
      </c>
      <c r="I3246" t="n">
        <v>1.7</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40000-2025</t>
        </is>
      </c>
      <c r="B3247" t="inlineStr">
        <is>
          <t>avverkningsanmälan</t>
        </is>
      </c>
      <c r="C3247" t="inlineStr">
        <is>
          <t>Föryngringsavverkning</t>
        </is>
      </c>
      <c r="D3247" s="1" t="n">
        <v>45894</v>
      </c>
      <c r="E3247" s="1" t="n">
        <v>46312</v>
      </c>
      <c r="F3247" t="inlineStr">
        <is>
          <t>SKÅNE LÄN</t>
        </is>
      </c>
      <c r="G3247" t="inlineStr">
        <is>
          <t>KRISTIANSTAD</t>
        </is>
      </c>
      <c r="I3247" t="n">
        <v>4</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30736-2025</t>
        </is>
      </c>
      <c r="B3248" t="inlineStr">
        <is>
          <t>avverkningsanmälan</t>
        </is>
      </c>
      <c r="C3248" t="inlineStr">
        <is>
          <t>Föryngringsavverkning</t>
        </is>
      </c>
      <c r="D3248" s="1" t="n">
        <v>45831</v>
      </c>
      <c r="E3248" s="1" t="n">
        <v>46312</v>
      </c>
      <c r="F3248" t="inlineStr">
        <is>
          <t>SKÅNE LÄN</t>
        </is>
      </c>
      <c r="G3248" t="inlineStr">
        <is>
          <t>KRISTIANSTAD</t>
        </is>
      </c>
      <c r="I3248" t="n">
        <v>5.9</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25324-2024</t>
        </is>
      </c>
      <c r="B3249" t="inlineStr">
        <is>
          <t>avverkningsanmälan</t>
        </is>
      </c>
      <c r="C3249" t="inlineStr">
        <is>
          <t>Föryngringsavverkning</t>
        </is>
      </c>
      <c r="D3249" s="1" t="n">
        <v>45462</v>
      </c>
      <c r="E3249" s="1" t="n">
        <v>46312</v>
      </c>
      <c r="F3249" t="inlineStr">
        <is>
          <t>SKÅNE LÄN</t>
        </is>
      </c>
      <c r="G3249" t="inlineStr">
        <is>
          <t>HÄSSLEHOLM</t>
        </is>
      </c>
      <c r="I3249" t="n">
        <v>0.2</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11761-2026</t>
        </is>
      </c>
      <c r="B3250" t="inlineStr">
        <is>
          <t>avverkningsanmälan</t>
        </is>
      </c>
      <c r="C3250" t="inlineStr">
        <is>
          <t>Föryngringsavverkning</t>
        </is>
      </c>
      <c r="D3250" s="1" t="n">
        <v>46084</v>
      </c>
      <c r="E3250" s="1" t="n">
        <v>46312</v>
      </c>
      <c r="F3250" t="inlineStr">
        <is>
          <t>SKÅNE LÄN</t>
        </is>
      </c>
      <c r="G3250" t="inlineStr">
        <is>
          <t>ÖSTRA GÖINGE</t>
        </is>
      </c>
      <c r="I3250" t="n">
        <v>12</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8803-2023</t>
        </is>
      </c>
      <c r="B3251" t="inlineStr">
        <is>
          <t>avverkningsanmälan</t>
        </is>
      </c>
      <c r="C3251" t="inlineStr">
        <is>
          <t>Föryngringsavverkning</t>
        </is>
      </c>
      <c r="D3251" s="1" t="n">
        <v>44978</v>
      </c>
      <c r="E3251" s="1" t="n">
        <v>46312</v>
      </c>
      <c r="F3251" t="inlineStr">
        <is>
          <t>SKÅNE LÄN</t>
        </is>
      </c>
      <c r="G3251" t="inlineStr">
        <is>
          <t>HÄSSLEHOLM</t>
        </is>
      </c>
      <c r="I3251" t="n">
        <v>1.1</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11762-2026</t>
        </is>
      </c>
      <c r="B3252" t="inlineStr">
        <is>
          <t>avverkningsanmälan</t>
        </is>
      </c>
      <c r="C3252" t="inlineStr">
        <is>
          <t>Föryngringsavverkning</t>
        </is>
      </c>
      <c r="D3252" s="1" t="n">
        <v>46084</v>
      </c>
      <c r="E3252" s="1" t="n">
        <v>46312</v>
      </c>
      <c r="F3252" t="inlineStr">
        <is>
          <t>SKÅNE LÄN</t>
        </is>
      </c>
      <c r="G3252" t="inlineStr">
        <is>
          <t>ÖSTRA GÖINGE</t>
        </is>
      </c>
      <c r="I3252" t="n">
        <v>7.4</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1426-2025</t>
        </is>
      </c>
      <c r="B3253" t="inlineStr">
        <is>
          <t>avverkningsanmälan</t>
        </is>
      </c>
      <c r="C3253" t="inlineStr">
        <is>
          <t>Föryngringsavverkning</t>
        </is>
      </c>
      <c r="D3253" s="1" t="n">
        <v>45668</v>
      </c>
      <c r="E3253" s="1" t="n">
        <v>46312</v>
      </c>
      <c r="F3253" t="inlineStr">
        <is>
          <t>SKÅNE LÄN</t>
        </is>
      </c>
      <c r="G3253" t="inlineStr">
        <is>
          <t>KRISTIANSTAD</t>
        </is>
      </c>
      <c r="I3253" t="n">
        <v>4.1</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11531-2026</t>
        </is>
      </c>
      <c r="B3254" t="inlineStr">
        <is>
          <t>avverkningsanmälan</t>
        </is>
      </c>
      <c r="C3254" t="inlineStr">
        <is>
          <t>Föryngringsavverkning</t>
        </is>
      </c>
      <c r="D3254" s="1" t="n">
        <v>46083</v>
      </c>
      <c r="E3254" s="1" t="n">
        <v>46312</v>
      </c>
      <c r="F3254" t="inlineStr">
        <is>
          <t>SKÅNE LÄN</t>
        </is>
      </c>
      <c r="G3254" t="inlineStr">
        <is>
          <t>KRISTIANSTAD</t>
        </is>
      </c>
      <c r="I3254" t="n">
        <v>0.9</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39997-2025</t>
        </is>
      </c>
      <c r="B3255" t="inlineStr">
        <is>
          <t>avverkningsanmälan</t>
        </is>
      </c>
      <c r="C3255" t="inlineStr">
        <is>
          <t>Föryngringsavverkning</t>
        </is>
      </c>
      <c r="D3255" s="1" t="n">
        <v>45894</v>
      </c>
      <c r="E3255" s="1" t="n">
        <v>46312</v>
      </c>
      <c r="F3255" t="inlineStr">
        <is>
          <t>SKÅNE LÄN</t>
        </is>
      </c>
      <c r="G3255" t="inlineStr">
        <is>
          <t>KRISTIANSTAD</t>
        </is>
      </c>
      <c r="I3255" t="n">
        <v>5.5</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40005-2025</t>
        </is>
      </c>
      <c r="B3256" t="inlineStr">
        <is>
          <t>avverkningsanmälan</t>
        </is>
      </c>
      <c r="C3256" t="inlineStr">
        <is>
          <t>Föryngringsavverkning</t>
        </is>
      </c>
      <c r="D3256" s="1" t="n">
        <v>45894</v>
      </c>
      <c r="E3256" s="1" t="n">
        <v>46312</v>
      </c>
      <c r="F3256" t="inlineStr">
        <is>
          <t>SKÅNE LÄN</t>
        </is>
      </c>
      <c r="G3256" t="inlineStr">
        <is>
          <t>KRISTIANSTAD</t>
        </is>
      </c>
      <c r="I3256" t="n">
        <v>2.4</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28619-2025</t>
        </is>
      </c>
      <c r="B3257" t="inlineStr">
        <is>
          <t>avverkningsanmälan</t>
        </is>
      </c>
      <c r="C3257" t="inlineStr">
        <is>
          <t>Föryngringsavverkning</t>
        </is>
      </c>
      <c r="D3257" s="1" t="n">
        <v>45819</v>
      </c>
      <c r="E3257" s="1" t="n">
        <v>46312</v>
      </c>
      <c r="F3257" t="inlineStr">
        <is>
          <t>SKÅNE LÄN</t>
        </is>
      </c>
      <c r="G3257" t="inlineStr">
        <is>
          <t>ÖSTRA GÖINGE</t>
        </is>
      </c>
      <c r="I3257" t="n">
        <v>2.6</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59284-2025</t>
        </is>
      </c>
      <c r="B3258" t="inlineStr">
        <is>
          <t>avverkningsanmälan</t>
        </is>
      </c>
      <c r="C3258" t="inlineStr">
        <is>
          <t>Föryngringsavverkning</t>
        </is>
      </c>
      <c r="D3258" s="1" t="n">
        <v>45988</v>
      </c>
      <c r="E3258" s="1" t="n">
        <v>46312</v>
      </c>
      <c r="F3258" t="inlineStr">
        <is>
          <t>SKÅNE LÄN</t>
        </is>
      </c>
      <c r="G3258" t="inlineStr">
        <is>
          <t>HÖRBY</t>
        </is>
      </c>
      <c r="I3258" t="n">
        <v>1.5</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4809-2025</t>
        </is>
      </c>
      <c r="B3259" t="inlineStr">
        <is>
          <t>avverkningsanmälan</t>
        </is>
      </c>
      <c r="C3259" t="inlineStr">
        <is>
          <t>Föryngringsavverkning</t>
        </is>
      </c>
      <c r="D3259" s="1" t="n">
        <v>45688</v>
      </c>
      <c r="E3259" s="1" t="n">
        <v>46312</v>
      </c>
      <c r="F3259" t="inlineStr">
        <is>
          <t>SKÅNE LÄN</t>
        </is>
      </c>
      <c r="G3259" t="inlineStr">
        <is>
          <t>HÄSSLEHOLM</t>
        </is>
      </c>
      <c r="I3259" t="n">
        <v>0.7</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36414-2023</t>
        </is>
      </c>
      <c r="B3260" t="inlineStr">
        <is>
          <t>avverkningsanmälan</t>
        </is>
      </c>
      <c r="C3260" t="inlineStr">
        <is>
          <t>Föryngringsavverkning</t>
        </is>
      </c>
      <c r="D3260" s="1" t="n">
        <v>45152</v>
      </c>
      <c r="E3260" s="1" t="n">
        <v>46312</v>
      </c>
      <c r="F3260" t="inlineStr">
        <is>
          <t>SKÅNE LÄN</t>
        </is>
      </c>
      <c r="G3260" t="inlineStr">
        <is>
          <t>SJÖBO</t>
        </is>
      </c>
      <c r="I3260" t="n">
        <v>1.9</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12780-2024</t>
        </is>
      </c>
      <c r="B3261" t="inlineStr">
        <is>
          <t>avverkningsanmälan</t>
        </is>
      </c>
      <c r="C3261" t="inlineStr">
        <is>
          <t>Föryngringsavverkning</t>
        </is>
      </c>
      <c r="D3261" s="1" t="n">
        <v>45384</v>
      </c>
      <c r="E3261" s="1" t="n">
        <v>46312</v>
      </c>
      <c r="F3261" t="inlineStr">
        <is>
          <t>SKÅNE LÄN</t>
        </is>
      </c>
      <c r="G3261" t="inlineStr">
        <is>
          <t>HÄSSLEHOLM</t>
        </is>
      </c>
      <c r="I3261" t="n">
        <v>0.7</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35524-2025</t>
        </is>
      </c>
      <c r="B3262" t="inlineStr">
        <is>
          <t>avverkningsanmälan</t>
        </is>
      </c>
      <c r="C3262" t="inlineStr">
        <is>
          <t>Föryngringsavverkning</t>
        </is>
      </c>
      <c r="D3262" s="1" t="n">
        <v>45856</v>
      </c>
      <c r="E3262" s="1" t="n">
        <v>46312</v>
      </c>
      <c r="F3262" t="inlineStr">
        <is>
          <t>SKÅNE LÄN</t>
        </is>
      </c>
      <c r="G3262" t="inlineStr">
        <is>
          <t>ÖSTRA GÖINGE</t>
        </is>
      </c>
      <c r="I3262" t="n">
        <v>4.2</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35527-2025</t>
        </is>
      </c>
      <c r="B3263" t="inlineStr">
        <is>
          <t>avverkningsanmälan</t>
        </is>
      </c>
      <c r="C3263" t="inlineStr">
        <is>
          <t>Föryngringsavverkning</t>
        </is>
      </c>
      <c r="D3263" s="1" t="n">
        <v>45856</v>
      </c>
      <c r="E3263" s="1" t="n">
        <v>46312</v>
      </c>
      <c r="F3263" t="inlineStr">
        <is>
          <t>SKÅNE LÄN</t>
        </is>
      </c>
      <c r="G3263" t="inlineStr">
        <is>
          <t>ÖSTRA GÖINGE</t>
        </is>
      </c>
      <c r="I3263" t="n">
        <v>11.9</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38173-2025</t>
        </is>
      </c>
      <c r="B3264" t="inlineStr">
        <is>
          <t>avverkningsanmälan</t>
        </is>
      </c>
      <c r="C3264" t="inlineStr">
        <is>
          <t>Föryngringsavverkning</t>
        </is>
      </c>
      <c r="D3264" s="1" t="n">
        <v>45882</v>
      </c>
      <c r="E3264" s="1" t="n">
        <v>46312</v>
      </c>
      <c r="F3264" t="inlineStr">
        <is>
          <t>SKÅNE LÄN</t>
        </is>
      </c>
      <c r="G3264" t="inlineStr">
        <is>
          <t>KRISTIANSTAD</t>
        </is>
      </c>
      <c r="I3264" t="n">
        <v>1.9</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9375-2023</t>
        </is>
      </c>
      <c r="B3265" t="inlineStr">
        <is>
          <t>avverkningsanmälan</t>
        </is>
      </c>
      <c r="C3265" t="inlineStr">
        <is>
          <t>Föryngringsavverkning</t>
        </is>
      </c>
      <c r="D3265" s="1" t="n">
        <v>44981</v>
      </c>
      <c r="E3265" s="1" t="n">
        <v>46312</v>
      </c>
      <c r="F3265" t="inlineStr">
        <is>
          <t>SKÅNE LÄN</t>
        </is>
      </c>
      <c r="G3265" t="inlineStr">
        <is>
          <t>HÄSSLEHOLM</t>
        </is>
      </c>
      <c r="I3265" t="n">
        <v>0.5</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3864-2023</t>
        </is>
      </c>
      <c r="B3266" t="inlineStr">
        <is>
          <t>avverkningsanmälan</t>
        </is>
      </c>
      <c r="C3266" t="inlineStr">
        <is>
          <t>Föryngringsavverkning</t>
        </is>
      </c>
      <c r="D3266" s="1" t="n">
        <v>44951</v>
      </c>
      <c r="E3266" s="1" t="n">
        <v>46312</v>
      </c>
      <c r="F3266" t="inlineStr">
        <is>
          <t>SKÅNE LÄN</t>
        </is>
      </c>
      <c r="G3266" t="inlineStr">
        <is>
          <t>ÖRKELLJUNGA</t>
        </is>
      </c>
      <c r="I3266" t="n">
        <v>6.2</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3874-2023</t>
        </is>
      </c>
      <c r="B3267" t="inlineStr">
        <is>
          <t>avverkningsanmälan</t>
        </is>
      </c>
      <c r="C3267" t="inlineStr">
        <is>
          <t>Föryngringsavverkning</t>
        </is>
      </c>
      <c r="D3267" s="1" t="n">
        <v>44951</v>
      </c>
      <c r="E3267" s="1" t="n">
        <v>46312</v>
      </c>
      <c r="F3267" t="inlineStr">
        <is>
          <t>SKÅNE LÄN</t>
        </is>
      </c>
      <c r="G3267" t="inlineStr">
        <is>
          <t>OSBY</t>
        </is>
      </c>
      <c r="I3267" t="n">
        <v>1.8</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24034-2023</t>
        </is>
      </c>
      <c r="B3268" t="inlineStr">
        <is>
          <t>avverkningsanmälan</t>
        </is>
      </c>
      <c r="C3268" t="inlineStr">
        <is>
          <t>Föryngringsavverkning</t>
        </is>
      </c>
      <c r="D3268" s="1" t="n">
        <v>45078</v>
      </c>
      <c r="E3268" s="1" t="n">
        <v>46312</v>
      </c>
      <c r="F3268" t="inlineStr">
        <is>
          <t>SKÅNE LÄN</t>
        </is>
      </c>
      <c r="G3268" t="inlineStr">
        <is>
          <t>KLIPPAN</t>
        </is>
      </c>
      <c r="I3268" t="n">
        <v>1</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6152-2026</t>
        </is>
      </c>
      <c r="B3269" t="inlineStr">
        <is>
          <t>avverkningsanmälan</t>
        </is>
      </c>
      <c r="C3269" t="inlineStr">
        <is>
          <t>Föryngringsavverkning</t>
        </is>
      </c>
      <c r="D3269" s="1" t="n">
        <v>46055</v>
      </c>
      <c r="E3269" s="1" t="n">
        <v>46312</v>
      </c>
      <c r="F3269" t="inlineStr">
        <is>
          <t>SKÅNE LÄN</t>
        </is>
      </c>
      <c r="G3269" t="inlineStr">
        <is>
          <t>KRISTIANSTAD</t>
        </is>
      </c>
      <c r="I3269" t="n">
        <v>1.9</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38631-2023</t>
        </is>
      </c>
      <c r="B3270" t="inlineStr">
        <is>
          <t>avverkningsanmälan</t>
        </is>
      </c>
      <c r="C3270" t="inlineStr">
        <is>
          <t>Föryngringsavverkning</t>
        </is>
      </c>
      <c r="D3270" s="1" t="n">
        <v>45162</v>
      </c>
      <c r="E3270" s="1" t="n">
        <v>46312</v>
      </c>
      <c r="F3270" t="inlineStr">
        <is>
          <t>SKÅNE LÄN</t>
        </is>
      </c>
      <c r="G3270" t="inlineStr">
        <is>
          <t>YSTAD</t>
        </is>
      </c>
      <c r="I3270" t="n">
        <v>0.8</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5196-2022</t>
        </is>
      </c>
      <c r="B3271" t="inlineStr">
        <is>
          <t>avverkningsanmälan</t>
        </is>
      </c>
      <c r="C3271" t="inlineStr">
        <is>
          <t>Föryngringsavverkning</t>
        </is>
      </c>
      <c r="D3271" s="1" t="n">
        <v>44593</v>
      </c>
      <c r="E3271" s="1" t="n">
        <v>46312</v>
      </c>
      <c r="F3271" t="inlineStr">
        <is>
          <t>SKÅNE LÄN</t>
        </is>
      </c>
      <c r="G3271" t="inlineStr">
        <is>
          <t>KLIPPAN</t>
        </is>
      </c>
      <c r="I3271" t="n">
        <v>5.6</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56596-2022</t>
        </is>
      </c>
      <c r="B3272" t="inlineStr">
        <is>
          <t>avverkningsanmälan</t>
        </is>
      </c>
      <c r="C3272" t="inlineStr">
        <is>
          <t>Föryngringsavverkning</t>
        </is>
      </c>
      <c r="D3272" s="1" t="n">
        <v>44888</v>
      </c>
      <c r="E3272" s="1" t="n">
        <v>46312</v>
      </c>
      <c r="F3272" t="inlineStr">
        <is>
          <t>SKÅNE LÄN</t>
        </is>
      </c>
      <c r="G3272" t="inlineStr">
        <is>
          <t>HÖÖR</t>
        </is>
      </c>
      <c r="I3272" t="n">
        <v>0.8</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56633-2022</t>
        </is>
      </c>
      <c r="B3273" t="inlineStr">
        <is>
          <t>avverkningsanmälan</t>
        </is>
      </c>
      <c r="C3273" t="inlineStr">
        <is>
          <t>Föryngringsavverkning</t>
        </is>
      </c>
      <c r="D3273" s="1" t="n">
        <v>44893</v>
      </c>
      <c r="E3273" s="1" t="n">
        <v>46312</v>
      </c>
      <c r="F3273" t="inlineStr">
        <is>
          <t>SKÅNE LÄN</t>
        </is>
      </c>
      <c r="G3273" t="inlineStr">
        <is>
          <t>KRISTIANSTAD</t>
        </is>
      </c>
      <c r="I3273" t="n">
        <v>0.5</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27439-2026</t>
        </is>
      </c>
      <c r="B3274" t="inlineStr">
        <is>
          <t>avverkningsanmälan</t>
        </is>
      </c>
      <c r="C3274" t="inlineStr">
        <is>
          <t>Föryngringsavverkning</t>
        </is>
      </c>
      <c r="D3274" s="1" t="n">
        <v>46189</v>
      </c>
      <c r="E3274" s="1" t="n">
        <v>46312</v>
      </c>
      <c r="F3274" t="inlineStr">
        <is>
          <t>SKÅNE LÄN</t>
        </is>
      </c>
      <c r="G3274" t="inlineStr">
        <is>
          <t>ESLÖV</t>
        </is>
      </c>
      <c r="I3274" t="n">
        <v>1.6</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27503-2026</t>
        </is>
      </c>
      <c r="B3275" t="inlineStr">
        <is>
          <t>avverkningsanmälan</t>
        </is>
      </c>
      <c r="C3275" t="inlineStr">
        <is>
          <t>Föryngringsavverkning</t>
        </is>
      </c>
      <c r="D3275" s="1" t="n">
        <v>46189</v>
      </c>
      <c r="E3275" s="1" t="n">
        <v>46312</v>
      </c>
      <c r="F3275" t="inlineStr">
        <is>
          <t>SKÅNE LÄN</t>
        </is>
      </c>
      <c r="G3275" t="inlineStr">
        <is>
          <t>OSBY</t>
        </is>
      </c>
      <c r="H3275" t="inlineStr">
        <is>
          <t>Sveaskog</t>
        </is>
      </c>
      <c r="I3275" t="n">
        <v>3.8</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27844-2026</t>
        </is>
      </c>
      <c r="B3276" t="inlineStr">
        <is>
          <t>avverkningsanmälan</t>
        </is>
      </c>
      <c r="C3276" t="inlineStr">
        <is>
          <t>Föryngringsavverkning</t>
        </is>
      </c>
      <c r="D3276" s="1" t="n">
        <v>46191</v>
      </c>
      <c r="E3276" s="1" t="n">
        <v>46312</v>
      </c>
      <c r="F3276" t="inlineStr">
        <is>
          <t>SKÅNE LÄN</t>
        </is>
      </c>
      <c r="G3276" t="inlineStr">
        <is>
          <t>SVEDALA</t>
        </is>
      </c>
      <c r="I3276" t="n">
        <v>3.4</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27479-2026</t>
        </is>
      </c>
      <c r="B3277" t="inlineStr">
        <is>
          <t>avverkningsanmälan</t>
        </is>
      </c>
      <c r="C3277" t="inlineStr">
        <is>
          <t>Föryngringsavverkning</t>
        </is>
      </c>
      <c r="D3277" s="1" t="n">
        <v>46189</v>
      </c>
      <c r="E3277" s="1" t="n">
        <v>46312</v>
      </c>
      <c r="F3277" t="inlineStr">
        <is>
          <t>SKÅNE LÄN</t>
        </is>
      </c>
      <c r="G3277" t="inlineStr">
        <is>
          <t>OSBY</t>
        </is>
      </c>
      <c r="H3277" t="inlineStr">
        <is>
          <t>Sveaskog</t>
        </is>
      </c>
      <c r="I3277" t="n">
        <v>1.1</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27483-2026</t>
        </is>
      </c>
      <c r="B3278" t="inlineStr">
        <is>
          <t>avverkningsanmälan</t>
        </is>
      </c>
      <c r="C3278" t="inlineStr">
        <is>
          <t>Föryngringsavverkning</t>
        </is>
      </c>
      <c r="D3278" s="1" t="n">
        <v>46189</v>
      </c>
      <c r="E3278" s="1" t="n">
        <v>46312</v>
      </c>
      <c r="F3278" t="inlineStr">
        <is>
          <t>SKÅNE LÄN</t>
        </is>
      </c>
      <c r="G3278" t="inlineStr">
        <is>
          <t>OSBY</t>
        </is>
      </c>
      <c r="H3278" t="inlineStr">
        <is>
          <t>Sveaskog</t>
        </is>
      </c>
      <c r="I3278" t="n">
        <v>2</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41636-2025</t>
        </is>
      </c>
      <c r="B3279" t="inlineStr">
        <is>
          <t>avverkningsanmälan</t>
        </is>
      </c>
      <c r="C3279" t="inlineStr">
        <is>
          <t>Föryngringsavverkning</t>
        </is>
      </c>
      <c r="D3279" s="1" t="n">
        <v>45902</v>
      </c>
      <c r="E3279" s="1" t="n">
        <v>46312</v>
      </c>
      <c r="F3279" t="inlineStr">
        <is>
          <t>SKÅNE LÄN</t>
        </is>
      </c>
      <c r="G3279" t="inlineStr">
        <is>
          <t>KRISTIANSTAD</t>
        </is>
      </c>
      <c r="I3279" t="n">
        <v>2.2</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27488-2026</t>
        </is>
      </c>
      <c r="B3280" t="inlineStr">
        <is>
          <t>avverkningsanmälan</t>
        </is>
      </c>
      <c r="C3280" t="inlineStr">
        <is>
          <t>Föryngringsavverkning</t>
        </is>
      </c>
      <c r="D3280" s="1" t="n">
        <v>46189</v>
      </c>
      <c r="E3280" s="1" t="n">
        <v>46312</v>
      </c>
      <c r="F3280" t="inlineStr">
        <is>
          <t>SKÅNE LÄN</t>
        </is>
      </c>
      <c r="G3280" t="inlineStr">
        <is>
          <t>OSBY</t>
        </is>
      </c>
      <c r="H3280" t="inlineStr">
        <is>
          <t>Sveaskog</t>
        </is>
      </c>
      <c r="I3280" t="n">
        <v>6.7</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27489-2026</t>
        </is>
      </c>
      <c r="B3281" t="inlineStr">
        <is>
          <t>avverkningsanmälan</t>
        </is>
      </c>
      <c r="C3281" t="inlineStr">
        <is>
          <t>Föryngringsavverkning</t>
        </is>
      </c>
      <c r="D3281" s="1" t="n">
        <v>46189</v>
      </c>
      <c r="E3281" s="1" t="n">
        <v>46312</v>
      </c>
      <c r="F3281" t="inlineStr">
        <is>
          <t>SKÅNE LÄN</t>
        </is>
      </c>
      <c r="G3281" t="inlineStr">
        <is>
          <t>OSBY</t>
        </is>
      </c>
      <c r="H3281" t="inlineStr">
        <is>
          <t>Sveaskog</t>
        </is>
      </c>
      <c r="I3281" t="n">
        <v>2.6</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11999-2026</t>
        </is>
      </c>
      <c r="B3282" t="inlineStr">
        <is>
          <t>avverkningsanmälan</t>
        </is>
      </c>
      <c r="C3282" t="inlineStr">
        <is>
          <t>Föryngringsavverkning</t>
        </is>
      </c>
      <c r="D3282" s="1" t="n">
        <v>46085</v>
      </c>
      <c r="E3282" s="1" t="n">
        <v>46312</v>
      </c>
      <c r="F3282" t="inlineStr">
        <is>
          <t>SKÅNE LÄN</t>
        </is>
      </c>
      <c r="G3282" t="inlineStr">
        <is>
          <t>HÄSSLEHOLM</t>
        </is>
      </c>
      <c r="I3282" t="n">
        <v>0.2</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27493-2026</t>
        </is>
      </c>
      <c r="B3283" t="inlineStr">
        <is>
          <t>avverkningsanmälan</t>
        </is>
      </c>
      <c r="C3283" t="inlineStr">
        <is>
          <t>Föryngringsavverkning</t>
        </is>
      </c>
      <c r="D3283" s="1" t="n">
        <v>46189</v>
      </c>
      <c r="E3283" s="1" t="n">
        <v>46312</v>
      </c>
      <c r="F3283" t="inlineStr">
        <is>
          <t>SKÅNE LÄN</t>
        </is>
      </c>
      <c r="G3283" t="inlineStr">
        <is>
          <t>OSBY</t>
        </is>
      </c>
      <c r="H3283" t="inlineStr">
        <is>
          <t>Sveaskog</t>
        </is>
      </c>
      <c r="I3283" t="n">
        <v>0.6</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25965-2023</t>
        </is>
      </c>
      <c r="B3284" t="inlineStr">
        <is>
          <t>avverkningsanmälan</t>
        </is>
      </c>
      <c r="C3284" t="inlineStr">
        <is>
          <t>Föryngringsavverkning</t>
        </is>
      </c>
      <c r="D3284" s="1" t="n">
        <v>45090</v>
      </c>
      <c r="E3284" s="1" t="n">
        <v>46312</v>
      </c>
      <c r="F3284" t="inlineStr">
        <is>
          <t>SKÅNE LÄN</t>
        </is>
      </c>
      <c r="G3284" t="inlineStr">
        <is>
          <t>ÖRKELLJUNGA</t>
        </is>
      </c>
      <c r="I3284" t="n">
        <v>2.5</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11998-2026</t>
        </is>
      </c>
      <c r="B3285" t="inlineStr">
        <is>
          <t>avverkningsanmälan</t>
        </is>
      </c>
      <c r="C3285" t="inlineStr">
        <is>
          <t>Föryngringsavverkning</t>
        </is>
      </c>
      <c r="D3285" s="1" t="n">
        <v>46085</v>
      </c>
      <c r="E3285" s="1" t="n">
        <v>46312</v>
      </c>
      <c r="F3285" t="inlineStr">
        <is>
          <t>SKÅNE LÄN</t>
        </is>
      </c>
      <c r="G3285" t="inlineStr">
        <is>
          <t>HÄSSLEHOLM</t>
        </is>
      </c>
      <c r="I3285" t="n">
        <v>1</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40739-2024</t>
        </is>
      </c>
      <c r="B3286" t="inlineStr">
        <is>
          <t>avverkningsanmälan</t>
        </is>
      </c>
      <c r="C3286" t="inlineStr">
        <is>
          <t>Föryngringsavverkning</t>
        </is>
      </c>
      <c r="D3286" s="1" t="n">
        <v>45558</v>
      </c>
      <c r="E3286" s="1" t="n">
        <v>46312</v>
      </c>
      <c r="F3286" t="inlineStr">
        <is>
          <t>SKÅNE LÄN</t>
        </is>
      </c>
      <c r="G3286" t="inlineStr">
        <is>
          <t>HÄSSLEHOLM</t>
        </is>
      </c>
      <c r="I3286" t="n">
        <v>1.6</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56767-2025</t>
        </is>
      </c>
      <c r="B3287" t="inlineStr">
        <is>
          <t>avverkningsanmälan</t>
        </is>
      </c>
      <c r="C3287" t="inlineStr">
        <is>
          <t>Föryngringsavverkning</t>
        </is>
      </c>
      <c r="D3287" s="1" t="n">
        <v>45978</v>
      </c>
      <c r="E3287" s="1" t="n">
        <v>46312</v>
      </c>
      <c r="F3287" t="inlineStr">
        <is>
          <t>SKÅNE LÄN</t>
        </is>
      </c>
      <c r="G3287" t="inlineStr">
        <is>
          <t>HÄSSLEHOLM</t>
        </is>
      </c>
      <c r="I3287" t="n">
        <v>1.7</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56769-2025</t>
        </is>
      </c>
      <c r="B3288" t="inlineStr">
        <is>
          <t>avverkningsanmälan</t>
        </is>
      </c>
      <c r="C3288" t="inlineStr">
        <is>
          <t>Föryngringsavverkning</t>
        </is>
      </c>
      <c r="D3288" s="1" t="n">
        <v>45978</v>
      </c>
      <c r="E3288" s="1" t="n">
        <v>46312</v>
      </c>
      <c r="F3288" t="inlineStr">
        <is>
          <t>SKÅNE LÄN</t>
        </is>
      </c>
      <c r="G3288" t="inlineStr">
        <is>
          <t>HÄSSLEHOLM</t>
        </is>
      </c>
      <c r="I3288" t="n">
        <v>1.1</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16663-2022</t>
        </is>
      </c>
      <c r="B3289" t="inlineStr">
        <is>
          <t>avverkningsanmälan</t>
        </is>
      </c>
      <c r="C3289" t="inlineStr">
        <is>
          <t>Föryngringsavverkning</t>
        </is>
      </c>
      <c r="D3289" s="1" t="n">
        <v>44672</v>
      </c>
      <c r="E3289" s="1" t="n">
        <v>46312</v>
      </c>
      <c r="F3289" t="inlineStr">
        <is>
          <t>SKÅNE LÄN</t>
        </is>
      </c>
      <c r="G3289" t="inlineStr">
        <is>
          <t>HÖÖR</t>
        </is>
      </c>
      <c r="I3289" t="n">
        <v>1.7</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30006-2023</t>
        </is>
      </c>
      <c r="B3290" t="inlineStr">
        <is>
          <t>avverkningsanmälan</t>
        </is>
      </c>
      <c r="C3290" t="inlineStr">
        <is>
          <t>Föryngringsavverkning</t>
        </is>
      </c>
      <c r="D3290" s="1" t="n">
        <v>45109</v>
      </c>
      <c r="E3290" s="1" t="n">
        <v>46312</v>
      </c>
      <c r="F3290" t="inlineStr">
        <is>
          <t>SKÅNE LÄN</t>
        </is>
      </c>
      <c r="G3290" t="inlineStr">
        <is>
          <t>HÄSSLEHOLM</t>
        </is>
      </c>
      <c r="I3290" t="n">
        <v>1.7</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12362-2026</t>
        </is>
      </c>
      <c r="B3291" t="inlineStr">
        <is>
          <t>avverkningsanmälan</t>
        </is>
      </c>
      <c r="C3291" t="inlineStr">
        <is>
          <t>Föryngringsavverkning</t>
        </is>
      </c>
      <c r="D3291" s="1" t="n">
        <v>46089</v>
      </c>
      <c r="E3291" s="1" t="n">
        <v>46312</v>
      </c>
      <c r="F3291" t="inlineStr">
        <is>
          <t>SKÅNE LÄN</t>
        </is>
      </c>
      <c r="G3291" t="inlineStr">
        <is>
          <t>OSBY</t>
        </is>
      </c>
      <c r="I3291" t="n">
        <v>1.2</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49167-2022</t>
        </is>
      </c>
      <c r="B3292" t="inlineStr">
        <is>
          <t>avverkningsanmälan</t>
        </is>
      </c>
      <c r="C3292" t="inlineStr">
        <is>
          <t>Föryngringsavverkning</t>
        </is>
      </c>
      <c r="D3292" s="1" t="n">
        <v>44860</v>
      </c>
      <c r="E3292" s="1" t="n">
        <v>46312</v>
      </c>
      <c r="F3292" t="inlineStr">
        <is>
          <t>SKÅNE LÄN</t>
        </is>
      </c>
      <c r="G3292" t="inlineStr">
        <is>
          <t>HÄSSLEHOLM</t>
        </is>
      </c>
      <c r="I3292" t="n">
        <v>1.3</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25249-2022</t>
        </is>
      </c>
      <c r="B3293" t="inlineStr">
        <is>
          <t>avverkningsanmälan</t>
        </is>
      </c>
      <c r="C3293" t="inlineStr">
        <is>
          <t>Föryngringsavverkning</t>
        </is>
      </c>
      <c r="D3293" s="1" t="n">
        <v>44729</v>
      </c>
      <c r="E3293" s="1" t="n">
        <v>46312</v>
      </c>
      <c r="F3293" t="inlineStr">
        <is>
          <t>SKÅNE LÄN</t>
        </is>
      </c>
      <c r="G3293" t="inlineStr">
        <is>
          <t>KRISTIANSTAD</t>
        </is>
      </c>
      <c r="I3293" t="n">
        <v>2.9</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27375-2026</t>
        </is>
      </c>
      <c r="B3294" t="inlineStr">
        <is>
          <t>avverkningsanmälan</t>
        </is>
      </c>
      <c r="C3294" t="inlineStr">
        <is>
          <t>Föryngringsavverkning</t>
        </is>
      </c>
      <c r="D3294" s="1" t="n">
        <v>46189</v>
      </c>
      <c r="E3294" s="1" t="n">
        <v>46312</v>
      </c>
      <c r="F3294" t="inlineStr">
        <is>
          <t>SKÅNE LÄN</t>
        </is>
      </c>
      <c r="G3294" t="inlineStr">
        <is>
          <t>OSBY</t>
        </is>
      </c>
      <c r="H3294" t="inlineStr">
        <is>
          <t>Sveaskog</t>
        </is>
      </c>
      <c r="I3294" t="n">
        <v>1</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27491-2026</t>
        </is>
      </c>
      <c r="B3295" t="inlineStr">
        <is>
          <t>avverkningsanmälan</t>
        </is>
      </c>
      <c r="C3295" t="inlineStr">
        <is>
          <t>Föryngringsavverkning</t>
        </is>
      </c>
      <c r="D3295" s="1" t="n">
        <v>46189</v>
      </c>
      <c r="E3295" s="1" t="n">
        <v>46312</v>
      </c>
      <c r="F3295" t="inlineStr">
        <is>
          <t>SKÅNE LÄN</t>
        </is>
      </c>
      <c r="G3295" t="inlineStr">
        <is>
          <t>OSBY</t>
        </is>
      </c>
      <c r="H3295" t="inlineStr">
        <is>
          <t>Sveaskog</t>
        </is>
      </c>
      <c r="I3295" t="n">
        <v>2.9</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12363-2026</t>
        </is>
      </c>
      <c r="B3296" t="inlineStr">
        <is>
          <t>avverkningsanmälan</t>
        </is>
      </c>
      <c r="C3296" t="inlineStr">
        <is>
          <t>Föryngringsavverkning</t>
        </is>
      </c>
      <c r="D3296" s="1" t="n">
        <v>46089</v>
      </c>
      <c r="E3296" s="1" t="n">
        <v>46312</v>
      </c>
      <c r="F3296" t="inlineStr">
        <is>
          <t>SKÅNE LÄN</t>
        </is>
      </c>
      <c r="G3296" t="inlineStr">
        <is>
          <t>OSBY</t>
        </is>
      </c>
      <c r="I3296" t="n">
        <v>1.5</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52089-2022</t>
        </is>
      </c>
      <c r="B3297" t="inlineStr">
        <is>
          <t>avverkningsanmälan</t>
        </is>
      </c>
      <c r="C3297" t="inlineStr">
        <is>
          <t>Föryngringsavverkning</t>
        </is>
      </c>
      <c r="D3297" s="1" t="n">
        <v>44873</v>
      </c>
      <c r="E3297" s="1" t="n">
        <v>46312</v>
      </c>
      <c r="F3297" t="inlineStr">
        <is>
          <t>SKÅNE LÄN</t>
        </is>
      </c>
      <c r="G3297" t="inlineStr">
        <is>
          <t>OSBY</t>
        </is>
      </c>
      <c r="I3297" t="n">
        <v>2.8</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28253-2023</t>
        </is>
      </c>
      <c r="B3298" t="inlineStr">
        <is>
          <t>avverkningsanmälan</t>
        </is>
      </c>
      <c r="C3298" t="inlineStr">
        <is>
          <t>Föryngringsavverkning</t>
        </is>
      </c>
      <c r="D3298" s="1" t="n">
        <v>45099</v>
      </c>
      <c r="E3298" s="1" t="n">
        <v>46312</v>
      </c>
      <c r="F3298" t="inlineStr">
        <is>
          <t>SKÅNE LÄN</t>
        </is>
      </c>
      <c r="G3298" t="inlineStr">
        <is>
          <t>ÄNGELHOLM</t>
        </is>
      </c>
      <c r="I3298" t="n">
        <v>2.7</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6941-2024</t>
        </is>
      </c>
      <c r="B3299" t="inlineStr">
        <is>
          <t>avverkningsanmälan</t>
        </is>
      </c>
      <c r="C3299" t="inlineStr">
        <is>
          <t>Föryngringsavverkning</t>
        </is>
      </c>
      <c r="D3299" s="1" t="n">
        <v>45343</v>
      </c>
      <c r="E3299" s="1" t="n">
        <v>46312</v>
      </c>
      <c r="F3299" t="inlineStr">
        <is>
          <t>SKÅNE LÄN</t>
        </is>
      </c>
      <c r="G3299" t="inlineStr">
        <is>
          <t>HÖÖR</t>
        </is>
      </c>
      <c r="I3299" t="n">
        <v>0.6</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6944-2024</t>
        </is>
      </c>
      <c r="B3300" t="inlineStr">
        <is>
          <t>avverkningsanmälan</t>
        </is>
      </c>
      <c r="C3300" t="inlineStr">
        <is>
          <t>Föryngringsavverkning</t>
        </is>
      </c>
      <c r="D3300" s="1" t="n">
        <v>45343</v>
      </c>
      <c r="E3300" s="1" t="n">
        <v>46312</v>
      </c>
      <c r="F3300" t="inlineStr">
        <is>
          <t>SKÅNE LÄN</t>
        </is>
      </c>
      <c r="G3300" t="inlineStr">
        <is>
          <t>HÖÖR</t>
        </is>
      </c>
      <c r="I3300" t="n">
        <v>0.5</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57963-2023</t>
        </is>
      </c>
      <c r="B3301" t="inlineStr">
        <is>
          <t>avverkningsanmälan</t>
        </is>
      </c>
      <c r="C3301" t="inlineStr">
        <is>
          <t>Föryngringsavverkning</t>
        </is>
      </c>
      <c r="D3301" s="1" t="n">
        <v>45247</v>
      </c>
      <c r="E3301" s="1" t="n">
        <v>46312</v>
      </c>
      <c r="F3301" t="inlineStr">
        <is>
          <t>SKÅNE LÄN</t>
        </is>
      </c>
      <c r="G3301" t="inlineStr">
        <is>
          <t>HÄSSLEHOLM</t>
        </is>
      </c>
      <c r="I3301" t="n">
        <v>4.6</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3278-2026</t>
        </is>
      </c>
      <c r="B3302" t="inlineStr">
        <is>
          <t>avverkningsanmälan</t>
        </is>
      </c>
      <c r="C3302" t="inlineStr">
        <is>
          <t>Föryngringsavverkning</t>
        </is>
      </c>
      <c r="D3302" s="1" t="n">
        <v>46041</v>
      </c>
      <c r="E3302" s="1" t="n">
        <v>46312</v>
      </c>
      <c r="F3302" t="inlineStr">
        <is>
          <t>SKÅNE LÄN</t>
        </is>
      </c>
      <c r="G3302" t="inlineStr">
        <is>
          <t>KRISTIANSTAD</t>
        </is>
      </c>
      <c r="I3302" t="n">
        <v>11.1</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35680-2023</t>
        </is>
      </c>
      <c r="B3303" t="inlineStr">
        <is>
          <t>avverkningsanmälan</t>
        </is>
      </c>
      <c r="C3303" t="inlineStr">
        <is>
          <t>Föryngringsavverkning</t>
        </is>
      </c>
      <c r="D3303" s="1" t="n">
        <v>45147</v>
      </c>
      <c r="E3303" s="1" t="n">
        <v>46312</v>
      </c>
      <c r="F3303" t="inlineStr">
        <is>
          <t>SKÅNE LÄN</t>
        </is>
      </c>
      <c r="G3303" t="inlineStr">
        <is>
          <t>ÖSTRA GÖINGE</t>
        </is>
      </c>
      <c r="I3303" t="n">
        <v>15.4</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3040-2024</t>
        </is>
      </c>
      <c r="B3304" t="inlineStr">
        <is>
          <t>avverkningsanmälan</t>
        </is>
      </c>
      <c r="C3304" t="inlineStr">
        <is>
          <t>Föryngringsavverkning</t>
        </is>
      </c>
      <c r="D3304" s="1" t="n">
        <v>45316</v>
      </c>
      <c r="E3304" s="1" t="n">
        <v>46312</v>
      </c>
      <c r="F3304" t="inlineStr">
        <is>
          <t>SKÅNE LÄN</t>
        </is>
      </c>
      <c r="G3304" t="inlineStr">
        <is>
          <t>HÖRBY</t>
        </is>
      </c>
      <c r="I3304" t="n">
        <v>4</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27476-2026</t>
        </is>
      </c>
      <c r="B3305" t="inlineStr">
        <is>
          <t>avverkningsanmälan</t>
        </is>
      </c>
      <c r="C3305" t="inlineStr">
        <is>
          <t>Föryngringsavverkning</t>
        </is>
      </c>
      <c r="D3305" s="1" t="n">
        <v>46189</v>
      </c>
      <c r="E3305" s="1" t="n">
        <v>46312</v>
      </c>
      <c r="F3305" t="inlineStr">
        <is>
          <t>SKÅNE LÄN</t>
        </is>
      </c>
      <c r="G3305" t="inlineStr">
        <is>
          <t>OSBY</t>
        </is>
      </c>
      <c r="H3305" t="inlineStr">
        <is>
          <t>Sveaskog</t>
        </is>
      </c>
      <c r="I3305" t="n">
        <v>1.6</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27480-2026</t>
        </is>
      </c>
      <c r="B3306" t="inlineStr">
        <is>
          <t>avverkningsanmälan</t>
        </is>
      </c>
      <c r="C3306" t="inlineStr">
        <is>
          <t>Föryngringsavverkning</t>
        </is>
      </c>
      <c r="D3306" s="1" t="n">
        <v>46189</v>
      </c>
      <c r="E3306" s="1" t="n">
        <v>46312</v>
      </c>
      <c r="F3306" t="inlineStr">
        <is>
          <t>SKÅNE LÄN</t>
        </is>
      </c>
      <c r="G3306" t="inlineStr">
        <is>
          <t>OSBY</t>
        </is>
      </c>
      <c r="H3306" t="inlineStr">
        <is>
          <t>Sveaskog</t>
        </is>
      </c>
      <c r="I3306" t="n">
        <v>1</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57033-2022</t>
        </is>
      </c>
      <c r="B3307" t="inlineStr">
        <is>
          <t>avverkningsanmälan</t>
        </is>
      </c>
      <c r="C3307" t="inlineStr">
        <is>
          <t>Föryngringsavverkning</t>
        </is>
      </c>
      <c r="D3307" s="1" t="n">
        <v>44895</v>
      </c>
      <c r="E3307" s="1" t="n">
        <v>46312</v>
      </c>
      <c r="F3307" t="inlineStr">
        <is>
          <t>SKÅNE LÄN</t>
        </is>
      </c>
      <c r="G3307" t="inlineStr">
        <is>
          <t>HÄSSLEHOLM</t>
        </is>
      </c>
      <c r="I3307" t="n">
        <v>0.5</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35845-2022</t>
        </is>
      </c>
      <c r="B3308" t="inlineStr">
        <is>
          <t>avverkningsanmälan</t>
        </is>
      </c>
      <c r="C3308" t="inlineStr">
        <is>
          <t>Föryngringsavverkning</t>
        </is>
      </c>
      <c r="D3308" s="1" t="n">
        <v>44802</v>
      </c>
      <c r="E3308" s="1" t="n">
        <v>46312</v>
      </c>
      <c r="F3308" t="inlineStr">
        <is>
          <t>SKÅNE LÄN</t>
        </is>
      </c>
      <c r="G3308" t="inlineStr">
        <is>
          <t>HÄSSLEHOLM</t>
        </is>
      </c>
      <c r="I3308" t="n">
        <v>0.9</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11633-2024</t>
        </is>
      </c>
      <c r="B3309" t="inlineStr">
        <is>
          <t>avverkningsanmälan</t>
        </is>
      </c>
      <c r="C3309" t="inlineStr">
        <is>
          <t>Föryngringsavverkning</t>
        </is>
      </c>
      <c r="D3309" s="1" t="n">
        <v>45373</v>
      </c>
      <c r="E3309" s="1" t="n">
        <v>46312</v>
      </c>
      <c r="F3309" t="inlineStr">
        <is>
          <t>SKÅNE LÄN</t>
        </is>
      </c>
      <c r="G3309" t="inlineStr">
        <is>
          <t>SVALÖV</t>
        </is>
      </c>
      <c r="I3309" t="n">
        <v>4.9</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38928-2024</t>
        </is>
      </c>
      <c r="B3310" t="inlineStr">
        <is>
          <t>avverkningsanmälan</t>
        </is>
      </c>
      <c r="C3310" t="inlineStr">
        <is>
          <t>Föryngringsavverkning</t>
        </is>
      </c>
      <c r="D3310" s="1" t="n">
        <v>45548</v>
      </c>
      <c r="E3310" s="1" t="n">
        <v>46312</v>
      </c>
      <c r="F3310" t="inlineStr">
        <is>
          <t>SKÅNE LÄN</t>
        </is>
      </c>
      <c r="G3310" t="inlineStr">
        <is>
          <t>ÖRKELLJUNGA</t>
        </is>
      </c>
      <c r="I3310" t="n">
        <v>2.5</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23798-2024</t>
        </is>
      </c>
      <c r="B3311" t="inlineStr">
        <is>
          <t>avverkningsanmälan</t>
        </is>
      </c>
      <c r="C3311" t="inlineStr">
        <is>
          <t>Föryngringsavverkning</t>
        </is>
      </c>
      <c r="D3311" s="1" t="n">
        <v>45455</v>
      </c>
      <c r="E3311" s="1" t="n">
        <v>46312</v>
      </c>
      <c r="F3311" t="inlineStr">
        <is>
          <t>SKÅNE LÄN</t>
        </is>
      </c>
      <c r="G3311" t="inlineStr">
        <is>
          <t>ÅSTORP</t>
        </is>
      </c>
      <c r="I3311" t="n">
        <v>1.3</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27428-2026</t>
        </is>
      </c>
      <c r="B3312" t="inlineStr">
        <is>
          <t>avverkningsanmälan</t>
        </is>
      </c>
      <c r="C3312" t="inlineStr">
        <is>
          <t>Föryngringsavverkning</t>
        </is>
      </c>
      <c r="D3312" s="1" t="n">
        <v>46189</v>
      </c>
      <c r="E3312" s="1" t="n">
        <v>46312</v>
      </c>
      <c r="F3312" t="inlineStr">
        <is>
          <t>SKÅNE LÄN</t>
        </is>
      </c>
      <c r="G3312" t="inlineStr">
        <is>
          <t>ESLÖV</t>
        </is>
      </c>
      <c r="I3312" t="n">
        <v>3.4</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27374-2026</t>
        </is>
      </c>
      <c r="B3313" t="inlineStr">
        <is>
          <t>avverkningsanmälan</t>
        </is>
      </c>
      <c r="C3313" t="inlineStr">
        <is>
          <t>Föryngringsavverkning</t>
        </is>
      </c>
      <c r="D3313" s="1" t="n">
        <v>46189</v>
      </c>
      <c r="E3313" s="1" t="n">
        <v>46312</v>
      </c>
      <c r="F3313" t="inlineStr">
        <is>
          <t>SKÅNE LÄN</t>
        </is>
      </c>
      <c r="G3313" t="inlineStr">
        <is>
          <t>OSBY</t>
        </is>
      </c>
      <c r="H3313" t="inlineStr">
        <is>
          <t>Sveaskog</t>
        </is>
      </c>
      <c r="I3313" t="n">
        <v>1.1</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12839-2026</t>
        </is>
      </c>
      <c r="B3314" t="inlineStr">
        <is>
          <t>avverkningsanmälan</t>
        </is>
      </c>
      <c r="C3314" t="inlineStr">
        <is>
          <t>Föryngringsavverkning</t>
        </is>
      </c>
      <c r="D3314" s="1" t="n">
        <v>46092</v>
      </c>
      <c r="E3314" s="1" t="n">
        <v>46312</v>
      </c>
      <c r="F3314" t="inlineStr">
        <is>
          <t>SKÅNE LÄN</t>
        </is>
      </c>
      <c r="G3314" t="inlineStr">
        <is>
          <t>KRISTIANSTAD</t>
        </is>
      </c>
      <c r="I3314" t="n">
        <v>1.9</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27481-2026</t>
        </is>
      </c>
      <c r="B3315" t="inlineStr">
        <is>
          <t>avverkningsanmälan</t>
        </is>
      </c>
      <c r="C3315" t="inlineStr">
        <is>
          <t>Föryngringsavverkning</t>
        </is>
      </c>
      <c r="D3315" s="1" t="n">
        <v>46189</v>
      </c>
      <c r="E3315" s="1" t="n">
        <v>46312</v>
      </c>
      <c r="F3315" t="inlineStr">
        <is>
          <t>SKÅNE LÄN</t>
        </is>
      </c>
      <c r="G3315" t="inlineStr">
        <is>
          <t>OSBY</t>
        </is>
      </c>
      <c r="H3315" t="inlineStr">
        <is>
          <t>Sveaskog</t>
        </is>
      </c>
      <c r="I3315" t="n">
        <v>1.4</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27435-2026</t>
        </is>
      </c>
      <c r="B3316" t="inlineStr">
        <is>
          <t>avverkningsanmälan</t>
        </is>
      </c>
      <c r="C3316" t="inlineStr">
        <is>
          <t>Föryngringsavverkning</t>
        </is>
      </c>
      <c r="D3316" s="1" t="n">
        <v>46189</v>
      </c>
      <c r="E3316" s="1" t="n">
        <v>46312</v>
      </c>
      <c r="F3316" t="inlineStr">
        <is>
          <t>SKÅNE LÄN</t>
        </is>
      </c>
      <c r="G3316" t="inlineStr">
        <is>
          <t>ESLÖV</t>
        </is>
      </c>
      <c r="I3316" t="n">
        <v>0.9</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14994-2022</t>
        </is>
      </c>
      <c r="B3317" t="inlineStr">
        <is>
          <t>avverkningsanmälan</t>
        </is>
      </c>
      <c r="C3317" t="inlineStr">
        <is>
          <t>Föryngringsavverkning</t>
        </is>
      </c>
      <c r="D3317" s="1" t="n">
        <v>44657</v>
      </c>
      <c r="E3317" s="1" t="n">
        <v>46312</v>
      </c>
      <c r="F3317" t="inlineStr">
        <is>
          <t>SKÅNE LÄN</t>
        </is>
      </c>
      <c r="G3317" t="inlineStr">
        <is>
          <t>SIMRISHAMN</t>
        </is>
      </c>
      <c r="H3317" t="inlineStr">
        <is>
          <t>Övriga Aktiebolag</t>
        </is>
      </c>
      <c r="I3317" t="n">
        <v>4.4</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64905-2023</t>
        </is>
      </c>
      <c r="B3318" t="inlineStr">
        <is>
          <t>avverkningsanmälan</t>
        </is>
      </c>
      <c r="C3318" t="inlineStr">
        <is>
          <t>Föryngringsavverkning</t>
        </is>
      </c>
      <c r="D3318" s="1" t="n">
        <v>45282</v>
      </c>
      <c r="E3318" s="1" t="n">
        <v>46312</v>
      </c>
      <c r="F3318" t="inlineStr">
        <is>
          <t>SKÅNE LÄN</t>
        </is>
      </c>
      <c r="G3318" t="inlineStr">
        <is>
          <t>SJÖBO</t>
        </is>
      </c>
      <c r="I3318" t="n">
        <v>1.3</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18005-2026</t>
        </is>
      </c>
      <c r="B3319" t="inlineStr">
        <is>
          <t>avverkningsanmälan</t>
        </is>
      </c>
      <c r="C3319" t="inlineStr">
        <is>
          <t>Föryngringsavverkning</t>
        </is>
      </c>
      <c r="D3319" s="1" t="n">
        <v>46125</v>
      </c>
      <c r="E3319" s="1" t="n">
        <v>46312</v>
      </c>
      <c r="F3319" t="inlineStr">
        <is>
          <t>SKÅNE LÄN</t>
        </is>
      </c>
      <c r="G3319" t="inlineStr">
        <is>
          <t>SIMRISHAMN</t>
        </is>
      </c>
      <c r="I3319" t="n">
        <v>1.2</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10500-2026</t>
        </is>
      </c>
      <c r="B3320" t="inlineStr">
        <is>
          <t>avverkningsanmälan</t>
        </is>
      </c>
      <c r="C3320" t="inlineStr">
        <is>
          <t>Föryngringsavverkning</t>
        </is>
      </c>
      <c r="D3320" s="1" t="n">
        <v>46076</v>
      </c>
      <c r="E3320" s="1" t="n">
        <v>46312</v>
      </c>
      <c r="F3320" t="inlineStr">
        <is>
          <t>SKÅNE LÄN</t>
        </is>
      </c>
      <c r="G3320" t="inlineStr">
        <is>
          <t>HÖRBY</t>
        </is>
      </c>
      <c r="I3320" t="n">
        <v>1.1</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61970-2025</t>
        </is>
      </c>
      <c r="B3321" t="inlineStr">
        <is>
          <t>avverkningsanmälan</t>
        </is>
      </c>
      <c r="C3321" t="inlineStr">
        <is>
          <t>Avverkning för annat ändamål</t>
        </is>
      </c>
      <c r="D3321" s="1" t="n">
        <v>46003</v>
      </c>
      <c r="E3321" s="1" t="n">
        <v>46312</v>
      </c>
      <c r="F3321" t="inlineStr">
        <is>
          <t>SKÅNE LÄN</t>
        </is>
      </c>
      <c r="G3321" t="inlineStr">
        <is>
          <t>TOMELILLA</t>
        </is>
      </c>
      <c r="I3321" t="n">
        <v>2</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8804-2025</t>
        </is>
      </c>
      <c r="B3322" t="inlineStr">
        <is>
          <t>avverkningsanmälan</t>
        </is>
      </c>
      <c r="C3322" t="inlineStr">
        <is>
          <t>Föryngringsavverkning</t>
        </is>
      </c>
      <c r="D3322" s="1" t="n">
        <v>45712</v>
      </c>
      <c r="E3322" s="1" t="n">
        <v>46312</v>
      </c>
      <c r="F3322" t="inlineStr">
        <is>
          <t>SKÅNE LÄN</t>
        </is>
      </c>
      <c r="G3322" t="inlineStr">
        <is>
          <t>KRISTIANSTAD</t>
        </is>
      </c>
      <c r="I3322" t="n">
        <v>3.3</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21488-2023</t>
        </is>
      </c>
      <c r="B3323" t="inlineStr">
        <is>
          <t>avverkningsanmälan</t>
        </is>
      </c>
      <c r="C3323" t="inlineStr">
        <is>
          <t>Föryngringsavverkning</t>
        </is>
      </c>
      <c r="D3323" s="1" t="n">
        <v>45061</v>
      </c>
      <c r="E3323" s="1" t="n">
        <v>46312</v>
      </c>
      <c r="F3323" t="inlineStr">
        <is>
          <t>SKÅNE LÄN</t>
        </is>
      </c>
      <c r="G3323" t="inlineStr">
        <is>
          <t>ÄNGELHOLM</t>
        </is>
      </c>
      <c r="I3323" t="n">
        <v>1.1</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21524-2023</t>
        </is>
      </c>
      <c r="B3324" t="inlineStr">
        <is>
          <t>avverkningsanmälan</t>
        </is>
      </c>
      <c r="C3324" t="inlineStr">
        <is>
          <t>Föryngringsavverkning</t>
        </is>
      </c>
      <c r="D3324" s="1" t="n">
        <v>45063</v>
      </c>
      <c r="E3324" s="1" t="n">
        <v>46312</v>
      </c>
      <c r="F3324" t="inlineStr">
        <is>
          <t>SKÅNE LÄN</t>
        </is>
      </c>
      <c r="G3324" t="inlineStr">
        <is>
          <t>OSBY</t>
        </is>
      </c>
      <c r="I3324" t="n">
        <v>1.7</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22140-2023</t>
        </is>
      </c>
      <c r="B3325" t="inlineStr">
        <is>
          <t>avverkningsanmälan</t>
        </is>
      </c>
      <c r="C3325" t="inlineStr">
        <is>
          <t>Föryngringsavverkning</t>
        </is>
      </c>
      <c r="D3325" s="1" t="n">
        <v>45065</v>
      </c>
      <c r="E3325" s="1" t="n">
        <v>46312</v>
      </c>
      <c r="F3325" t="inlineStr">
        <is>
          <t>SKÅNE LÄN</t>
        </is>
      </c>
      <c r="G3325" t="inlineStr">
        <is>
          <t>HÄSSLEHOLM</t>
        </is>
      </c>
      <c r="I3325" t="n">
        <v>6.7</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21208-2023</t>
        </is>
      </c>
      <c r="B3326" t="inlineStr">
        <is>
          <t>avverkningsanmälan</t>
        </is>
      </c>
      <c r="C3326" t="inlineStr">
        <is>
          <t>Föryngringsavverkning</t>
        </is>
      </c>
      <c r="D3326" s="1" t="n">
        <v>45062</v>
      </c>
      <c r="E3326" s="1" t="n">
        <v>46312</v>
      </c>
      <c r="F3326" t="inlineStr">
        <is>
          <t>SKÅNE LÄN</t>
        </is>
      </c>
      <c r="G3326" t="inlineStr">
        <is>
          <t>PERSTORP</t>
        </is>
      </c>
      <c r="I3326" t="n">
        <v>1.1</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12834-2026</t>
        </is>
      </c>
      <c r="B3327" t="inlineStr">
        <is>
          <t>avverkningsanmälan</t>
        </is>
      </c>
      <c r="C3327" t="inlineStr">
        <is>
          <t>Föryngringsavverkning</t>
        </is>
      </c>
      <c r="D3327" s="1" t="n">
        <v>46092</v>
      </c>
      <c r="E3327" s="1" t="n">
        <v>46312</v>
      </c>
      <c r="F3327" t="inlineStr">
        <is>
          <t>SKÅNE LÄN</t>
        </is>
      </c>
      <c r="G3327" t="inlineStr">
        <is>
          <t>KRISTIANSTAD</t>
        </is>
      </c>
      <c r="I3327" t="n">
        <v>0.8</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7653-2024</t>
        </is>
      </c>
      <c r="B3328" t="inlineStr">
        <is>
          <t>avverkningsanmälan</t>
        </is>
      </c>
      <c r="C3328" t="inlineStr">
        <is>
          <t>Föryngringsavverkning</t>
        </is>
      </c>
      <c r="D3328" s="1" t="n">
        <v>45348</v>
      </c>
      <c r="E3328" s="1" t="n">
        <v>46312</v>
      </c>
      <c r="F3328" t="inlineStr">
        <is>
          <t>SKÅNE LÄN</t>
        </is>
      </c>
      <c r="G3328" t="inlineStr">
        <is>
          <t>HÄSSLEHOLM</t>
        </is>
      </c>
      <c r="I3328" t="n">
        <v>0.5</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7707-2024</t>
        </is>
      </c>
      <c r="B3329" t="inlineStr">
        <is>
          <t>avverkningsanmälan</t>
        </is>
      </c>
      <c r="C3329" t="inlineStr">
        <is>
          <t>Föryngringsavverkning</t>
        </is>
      </c>
      <c r="D3329" s="1" t="n">
        <v>45349</v>
      </c>
      <c r="E3329" s="1" t="n">
        <v>46312</v>
      </c>
      <c r="F3329" t="inlineStr">
        <is>
          <t>SKÅNE LÄN</t>
        </is>
      </c>
      <c r="G3329" t="inlineStr">
        <is>
          <t>ÖRKELLJUNGA</t>
        </is>
      </c>
      <c r="I3329" t="n">
        <v>0.7</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13283-2026</t>
        </is>
      </c>
      <c r="B3330" t="inlineStr">
        <is>
          <t>avverkningsanmälan</t>
        </is>
      </c>
      <c r="C3330" t="inlineStr">
        <is>
          <t>Föryngringsavverkning</t>
        </is>
      </c>
      <c r="D3330" s="1" t="n">
        <v>46093</v>
      </c>
      <c r="E3330" s="1" t="n">
        <v>46312</v>
      </c>
      <c r="F3330" t="inlineStr">
        <is>
          <t>SKÅNE LÄN</t>
        </is>
      </c>
      <c r="G3330" t="inlineStr">
        <is>
          <t>ÖRKELLJUNGA</t>
        </is>
      </c>
      <c r="I3330" t="n">
        <v>8.1</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635-2023</t>
        </is>
      </c>
      <c r="B3331" t="inlineStr">
        <is>
          <t>avverkningsanmälan</t>
        </is>
      </c>
      <c r="C3331" t="inlineStr">
        <is>
          <t>Föryngringsavverkning</t>
        </is>
      </c>
      <c r="D3331" s="1" t="n">
        <v>44930</v>
      </c>
      <c r="E3331" s="1" t="n">
        <v>46312</v>
      </c>
      <c r="F3331" t="inlineStr">
        <is>
          <t>SKÅNE LÄN</t>
        </is>
      </c>
      <c r="G3331" t="inlineStr">
        <is>
          <t>BÅSTAD</t>
        </is>
      </c>
      <c r="I3331" t="n">
        <v>0.5</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24679-2023</t>
        </is>
      </c>
      <c r="B3332" t="inlineStr">
        <is>
          <t>avverkningsanmälan</t>
        </is>
      </c>
      <c r="C3332" t="inlineStr">
        <is>
          <t>Föryngringsavverkning</t>
        </is>
      </c>
      <c r="D3332" s="1" t="n">
        <v>45084</v>
      </c>
      <c r="E3332" s="1" t="n">
        <v>46312</v>
      </c>
      <c r="F3332" t="inlineStr">
        <is>
          <t>SKÅNE LÄN</t>
        </is>
      </c>
      <c r="G3332" t="inlineStr">
        <is>
          <t>HÄSSLEHOLM</t>
        </is>
      </c>
      <c r="I3332" t="n">
        <v>7.1</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13430-2026</t>
        </is>
      </c>
      <c r="B3333" t="inlineStr">
        <is>
          <t>avverkningsanmälan</t>
        </is>
      </c>
      <c r="C3333" t="inlineStr">
        <is>
          <t>Föryngringsavverkning</t>
        </is>
      </c>
      <c r="D3333" s="1" t="n">
        <v>46094</v>
      </c>
      <c r="E3333" s="1" t="n">
        <v>46312</v>
      </c>
      <c r="F3333" t="inlineStr">
        <is>
          <t>SKÅNE LÄN</t>
        </is>
      </c>
      <c r="G3333" t="inlineStr">
        <is>
          <t>KRISTIANSTAD</t>
        </is>
      </c>
      <c r="H3333" t="inlineStr">
        <is>
          <t>Övriga Aktiebolag</t>
        </is>
      </c>
      <c r="I3333" t="n">
        <v>7.8</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13444-2026</t>
        </is>
      </c>
      <c r="B3334" t="inlineStr">
        <is>
          <t>avverkningsanmälan</t>
        </is>
      </c>
      <c r="C3334" t="inlineStr">
        <is>
          <t>Föryngringsavverkning</t>
        </is>
      </c>
      <c r="D3334" s="1" t="n">
        <v>46094</v>
      </c>
      <c r="E3334" s="1" t="n">
        <v>46312</v>
      </c>
      <c r="F3334" t="inlineStr">
        <is>
          <t>SKÅNE LÄN</t>
        </is>
      </c>
      <c r="G3334" t="inlineStr">
        <is>
          <t>KRISTIANSTAD</t>
        </is>
      </c>
      <c r="H3334" t="inlineStr">
        <is>
          <t>Övriga Aktiebolag</t>
        </is>
      </c>
      <c r="I3334" t="n">
        <v>1.2</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27946-2026</t>
        </is>
      </c>
      <c r="B3335" t="inlineStr">
        <is>
          <t>avverkningsanmälan</t>
        </is>
      </c>
      <c r="C3335" t="inlineStr">
        <is>
          <t>Föryngringsavverkning</t>
        </is>
      </c>
      <c r="D3335" s="1" t="n">
        <v>46192</v>
      </c>
      <c r="E3335" s="1" t="n">
        <v>46312</v>
      </c>
      <c r="F3335" t="inlineStr">
        <is>
          <t>SKÅNE LÄN</t>
        </is>
      </c>
      <c r="G3335" t="inlineStr">
        <is>
          <t>HÄSSLEHOLM</t>
        </is>
      </c>
      <c r="I3335" t="n">
        <v>0.5</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7994-2023</t>
        </is>
      </c>
      <c r="B3336" t="inlineStr">
        <is>
          <t>avverkningsanmälan</t>
        </is>
      </c>
      <c r="C3336" t="inlineStr">
        <is>
          <t>Föryngringsavverkning</t>
        </is>
      </c>
      <c r="D3336" s="1" t="n">
        <v>44973</v>
      </c>
      <c r="E3336" s="1" t="n">
        <v>46312</v>
      </c>
      <c r="F3336" t="inlineStr">
        <is>
          <t>SKÅNE LÄN</t>
        </is>
      </c>
      <c r="G3336" t="inlineStr">
        <is>
          <t>ÄNGELHOLM</t>
        </is>
      </c>
      <c r="I3336" t="n">
        <v>0.6</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5890-2023</t>
        </is>
      </c>
      <c r="B3337" t="inlineStr">
        <is>
          <t>avverkningsanmälan</t>
        </is>
      </c>
      <c r="C3337" t="inlineStr">
        <is>
          <t>Föryngringsavverkning</t>
        </is>
      </c>
      <c r="D3337" s="1" t="n">
        <v>44963</v>
      </c>
      <c r="E3337" s="1" t="n">
        <v>46312</v>
      </c>
      <c r="F3337" t="inlineStr">
        <is>
          <t>SKÅNE LÄN</t>
        </is>
      </c>
      <c r="G3337" t="inlineStr">
        <is>
          <t>HÄSSLEHOLM</t>
        </is>
      </c>
      <c r="I3337" t="n">
        <v>1.6</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12936-2025</t>
        </is>
      </c>
      <c r="B3338" t="inlineStr">
        <is>
          <t>avverkningsanmälan</t>
        </is>
      </c>
      <c r="C3338" t="inlineStr">
        <is>
          <t>Föryngringsavverkning</t>
        </is>
      </c>
      <c r="D3338" s="1" t="n">
        <v>45734</v>
      </c>
      <c r="E3338" s="1" t="n">
        <v>46312</v>
      </c>
      <c r="F3338" t="inlineStr">
        <is>
          <t>SKÅNE LÄN</t>
        </is>
      </c>
      <c r="G3338" t="inlineStr">
        <is>
          <t>HÄSSLEHOLM</t>
        </is>
      </c>
      <c r="I3338" t="n">
        <v>1.7</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5177-2024</t>
        </is>
      </c>
      <c r="B3339" t="inlineStr">
        <is>
          <t>avverkningsanmälan</t>
        </is>
      </c>
      <c r="C3339" t="inlineStr">
        <is>
          <t>Föryngringsavverkning</t>
        </is>
      </c>
      <c r="D3339" s="1" t="n">
        <v>45330</v>
      </c>
      <c r="E3339" s="1" t="n">
        <v>46312</v>
      </c>
      <c r="F3339" t="inlineStr">
        <is>
          <t>SKÅNE LÄN</t>
        </is>
      </c>
      <c r="G3339" t="inlineStr">
        <is>
          <t>ÖSTRA GÖINGE</t>
        </is>
      </c>
      <c r="I3339" t="n">
        <v>0.5</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56062-2024</t>
        </is>
      </c>
      <c r="B3340" t="inlineStr">
        <is>
          <t>avverkningsanmälan</t>
        </is>
      </c>
      <c r="C3340" t="inlineStr">
        <is>
          <t>Föryngringsavverkning</t>
        </is>
      </c>
      <c r="D3340" s="1" t="n">
        <v>45624</v>
      </c>
      <c r="E3340" s="1" t="n">
        <v>46312</v>
      </c>
      <c r="F3340" t="inlineStr">
        <is>
          <t>SKÅNE LÄN</t>
        </is>
      </c>
      <c r="G3340" t="inlineStr">
        <is>
          <t>HÄSSLEHOLM</t>
        </is>
      </c>
      <c r="H3340" t="inlineStr">
        <is>
          <t>Övriga Aktiebolag</t>
        </is>
      </c>
      <c r="I3340" t="n">
        <v>0.6</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5958-2024</t>
        </is>
      </c>
      <c r="B3341" t="inlineStr">
        <is>
          <t>avverkningsanmälan</t>
        </is>
      </c>
      <c r="C3341" t="inlineStr">
        <is>
          <t>Föryngringsavverkning</t>
        </is>
      </c>
      <c r="D3341" s="1" t="n">
        <v>45336</v>
      </c>
      <c r="E3341" s="1" t="n">
        <v>46312</v>
      </c>
      <c r="F3341" t="inlineStr">
        <is>
          <t>SKÅNE LÄN</t>
        </is>
      </c>
      <c r="G3341" t="inlineStr">
        <is>
          <t>KRISTIANSTAD</t>
        </is>
      </c>
      <c r="I3341" t="n">
        <v>0.7</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13818-2026</t>
        </is>
      </c>
      <c r="B3342" t="inlineStr">
        <is>
          <t>avverkningsanmälan</t>
        </is>
      </c>
      <c r="C3342" t="inlineStr">
        <is>
          <t>Föryngringsavverkning</t>
        </is>
      </c>
      <c r="D3342" s="1" t="n">
        <v>46098</v>
      </c>
      <c r="E3342" s="1" t="n">
        <v>46312</v>
      </c>
      <c r="F3342" t="inlineStr">
        <is>
          <t>SKÅNE LÄN</t>
        </is>
      </c>
      <c r="G3342" t="inlineStr">
        <is>
          <t>PERSTORP</t>
        </is>
      </c>
      <c r="I3342" t="n">
        <v>3.2</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2935-2024</t>
        </is>
      </c>
      <c r="B3343" t="inlineStr">
        <is>
          <t>avverkningsanmälan</t>
        </is>
      </c>
      <c r="C3343" t="inlineStr">
        <is>
          <t>Föryngringsavverkning</t>
        </is>
      </c>
      <c r="D3343" s="1" t="n">
        <v>45315</v>
      </c>
      <c r="E3343" s="1" t="n">
        <v>46312</v>
      </c>
      <c r="F3343" t="inlineStr">
        <is>
          <t>SKÅNE LÄN</t>
        </is>
      </c>
      <c r="G3343" t="inlineStr">
        <is>
          <t>HÖÖR</t>
        </is>
      </c>
      <c r="I3343" t="n">
        <v>5.4</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41209-2023</t>
        </is>
      </c>
      <c r="B3344" t="inlineStr">
        <is>
          <t>avverkningsanmälan</t>
        </is>
      </c>
      <c r="C3344" t="inlineStr">
        <is>
          <t>Föryngringsavverkning</t>
        </is>
      </c>
      <c r="D3344" s="1" t="n">
        <v>45174</v>
      </c>
      <c r="E3344" s="1" t="n">
        <v>46312</v>
      </c>
      <c r="F3344" t="inlineStr">
        <is>
          <t>SKÅNE LÄN</t>
        </is>
      </c>
      <c r="G3344" t="inlineStr">
        <is>
          <t>HÄSSLEHOLM</t>
        </is>
      </c>
      <c r="I3344" t="n">
        <v>0.8</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18046-2024</t>
        </is>
      </c>
      <c r="B3345" t="inlineStr">
        <is>
          <t>avverkningsanmälan</t>
        </is>
      </c>
      <c r="C3345" t="inlineStr">
        <is>
          <t>Föryngringsavverkning</t>
        </is>
      </c>
      <c r="D3345" s="1" t="n">
        <v>45420</v>
      </c>
      <c r="E3345" s="1" t="n">
        <v>46312</v>
      </c>
      <c r="F3345" t="inlineStr">
        <is>
          <t>SKÅNE LÄN</t>
        </is>
      </c>
      <c r="G3345" t="inlineStr">
        <is>
          <t>KRISTIANSTAD</t>
        </is>
      </c>
      <c r="I3345" t="n">
        <v>3.9</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13842-2026</t>
        </is>
      </c>
      <c r="B3346" t="inlineStr">
        <is>
          <t>avverkningsanmälan</t>
        </is>
      </c>
      <c r="C3346" t="inlineStr">
        <is>
          <t>Föryngringsavverkning</t>
        </is>
      </c>
      <c r="D3346" s="1" t="n">
        <v>46098</v>
      </c>
      <c r="E3346" s="1" t="n">
        <v>46312</v>
      </c>
      <c r="F3346" t="inlineStr">
        <is>
          <t>SKÅNE LÄN</t>
        </is>
      </c>
      <c r="G3346" t="inlineStr">
        <is>
          <t>HÄSSLEHOLM</t>
        </is>
      </c>
      <c r="I3346" t="n">
        <v>10</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57275-2023</t>
        </is>
      </c>
      <c r="B3347" t="inlineStr">
        <is>
          <t>avverkningsanmälan</t>
        </is>
      </c>
      <c r="C3347" t="inlineStr">
        <is>
          <t>Föryngringsavverkning</t>
        </is>
      </c>
      <c r="D3347" s="1" t="n">
        <v>45245</v>
      </c>
      <c r="E3347" s="1" t="n">
        <v>46312</v>
      </c>
      <c r="F3347" t="inlineStr">
        <is>
          <t>SKÅNE LÄN</t>
        </is>
      </c>
      <c r="G3347" t="inlineStr">
        <is>
          <t>HÄSSLEHOLM</t>
        </is>
      </c>
      <c r="I3347" t="n">
        <v>1.7</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74033-2021</t>
        </is>
      </c>
      <c r="B3348" t="inlineStr">
        <is>
          <t>avverkningsanmälan</t>
        </is>
      </c>
      <c r="C3348" t="inlineStr">
        <is>
          <t>Föryngringsavverkning</t>
        </is>
      </c>
      <c r="D3348" s="1" t="n">
        <v>44557</v>
      </c>
      <c r="E3348" s="1" t="n">
        <v>46312</v>
      </c>
      <c r="F3348" t="inlineStr">
        <is>
          <t>SKÅNE LÄN</t>
        </is>
      </c>
      <c r="G3348" t="inlineStr">
        <is>
          <t>OSBY</t>
        </is>
      </c>
      <c r="I3348" t="n">
        <v>1.8</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20599-2024</t>
        </is>
      </c>
      <c r="B3349" t="inlineStr">
        <is>
          <t>avverkningsanmälan</t>
        </is>
      </c>
      <c r="C3349" t="inlineStr">
        <is>
          <t>Föryngringsavverkning</t>
        </is>
      </c>
      <c r="D3349" s="1" t="n">
        <v>45436</v>
      </c>
      <c r="E3349" s="1" t="n">
        <v>46312</v>
      </c>
      <c r="F3349" t="inlineStr">
        <is>
          <t>SKÅNE LÄN</t>
        </is>
      </c>
      <c r="G3349" t="inlineStr">
        <is>
          <t>OSBY</t>
        </is>
      </c>
      <c r="I3349" t="n">
        <v>1.7</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71747-2021</t>
        </is>
      </c>
      <c r="B3350" t="inlineStr">
        <is>
          <t>avverkningsanmälan</t>
        </is>
      </c>
      <c r="C3350" t="inlineStr">
        <is>
          <t>Föryngringsavverkning</t>
        </is>
      </c>
      <c r="D3350" s="1" t="n">
        <v>44539</v>
      </c>
      <c r="E3350" s="1" t="n">
        <v>46312</v>
      </c>
      <c r="F3350" t="inlineStr">
        <is>
          <t>SKÅNE LÄN</t>
        </is>
      </c>
      <c r="G3350" t="inlineStr">
        <is>
          <t>ÖSTRA GÖINGE</t>
        </is>
      </c>
      <c r="I3350" t="n">
        <v>1.5</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13587-2026</t>
        </is>
      </c>
      <c r="B3351" t="inlineStr">
        <is>
          <t>avverkningsanmälan</t>
        </is>
      </c>
      <c r="C3351" t="inlineStr">
        <is>
          <t>Föryngringsavverkning</t>
        </is>
      </c>
      <c r="D3351" s="1" t="n">
        <v>46095</v>
      </c>
      <c r="E3351" s="1" t="n">
        <v>46312</v>
      </c>
      <c r="F3351" t="inlineStr">
        <is>
          <t>SKÅNE LÄN</t>
        </is>
      </c>
      <c r="G3351" t="inlineStr">
        <is>
          <t>KRISTIANSTAD</t>
        </is>
      </c>
      <c r="H3351" t="inlineStr">
        <is>
          <t>Övriga Aktiebolag</t>
        </is>
      </c>
      <c r="I3351" t="n">
        <v>10.9</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24164-2023</t>
        </is>
      </c>
      <c r="B3352" t="inlineStr">
        <is>
          <t>avverkningsanmälan</t>
        </is>
      </c>
      <c r="C3352" t="inlineStr">
        <is>
          <t>Föryngringsavverkning</t>
        </is>
      </c>
      <c r="D3352" s="1" t="n">
        <v>45079</v>
      </c>
      <c r="E3352" s="1" t="n">
        <v>46312</v>
      </c>
      <c r="F3352" t="inlineStr">
        <is>
          <t>SKÅNE LÄN</t>
        </is>
      </c>
      <c r="G3352" t="inlineStr">
        <is>
          <t>KRISTIANSTAD</t>
        </is>
      </c>
      <c r="I3352" t="n">
        <v>1.9</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2974-2024</t>
        </is>
      </c>
      <c r="B3353" t="inlineStr">
        <is>
          <t>avverkningsanmälan</t>
        </is>
      </c>
      <c r="C3353" t="inlineStr">
        <is>
          <t>Föryngringsavverkning</t>
        </is>
      </c>
      <c r="D3353" s="1" t="n">
        <v>45315</v>
      </c>
      <c r="E3353" s="1" t="n">
        <v>46312</v>
      </c>
      <c r="F3353" t="inlineStr">
        <is>
          <t>SKÅNE LÄN</t>
        </is>
      </c>
      <c r="G3353" t="inlineStr">
        <is>
          <t>KRISTIANSTAD</t>
        </is>
      </c>
      <c r="I3353" t="n">
        <v>1</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53302-2022</t>
        </is>
      </c>
      <c r="B3354" t="inlineStr">
        <is>
          <t>avverkningsanmälan</t>
        </is>
      </c>
      <c r="C3354" t="inlineStr">
        <is>
          <t>Föryngringsavverkning</t>
        </is>
      </c>
      <c r="D3354" s="1" t="n">
        <v>44877</v>
      </c>
      <c r="E3354" s="1" t="n">
        <v>46312</v>
      </c>
      <c r="F3354" t="inlineStr">
        <is>
          <t>SKÅNE LÄN</t>
        </is>
      </c>
      <c r="G3354" t="inlineStr">
        <is>
          <t>HÄSSLEHOLM</t>
        </is>
      </c>
      <c r="I3354" t="n">
        <v>0.1</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32610-2024</t>
        </is>
      </c>
      <c r="B3355" t="inlineStr">
        <is>
          <t>avverkningsanmälan</t>
        </is>
      </c>
      <c r="C3355" t="inlineStr">
        <is>
          <t>Avverkning för annat ändamål</t>
        </is>
      </c>
      <c r="D3355" s="1" t="n">
        <v>45513</v>
      </c>
      <c r="E3355" s="1" t="n">
        <v>46312</v>
      </c>
      <c r="F3355" t="inlineStr">
        <is>
          <t>SKÅNE LÄN</t>
        </is>
      </c>
      <c r="G3355" t="inlineStr">
        <is>
          <t>BÅSTAD</t>
        </is>
      </c>
      <c r="I3355" t="n">
        <v>0.5</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27991-2024</t>
        </is>
      </c>
      <c r="B3356" t="inlineStr">
        <is>
          <t>avverkningsanmälan</t>
        </is>
      </c>
      <c r="C3356" t="inlineStr">
        <is>
          <t>Föryngringsavverkning</t>
        </is>
      </c>
      <c r="D3356" s="1" t="n">
        <v>45476</v>
      </c>
      <c r="E3356" s="1" t="n">
        <v>46312</v>
      </c>
      <c r="F3356" t="inlineStr">
        <is>
          <t>SKÅNE LÄN</t>
        </is>
      </c>
      <c r="G3356" t="inlineStr">
        <is>
          <t>HÄSSLEHOLM</t>
        </is>
      </c>
      <c r="I3356" t="n">
        <v>5.8</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32397-2023</t>
        </is>
      </c>
      <c r="B3357" t="inlineStr">
        <is>
          <t>avverkningsanmälan</t>
        </is>
      </c>
      <c r="C3357" t="inlineStr">
        <is>
          <t>Föryngringsavverkning</t>
        </is>
      </c>
      <c r="D3357" s="1" t="n">
        <v>45120</v>
      </c>
      <c r="E3357" s="1" t="n">
        <v>46312</v>
      </c>
      <c r="F3357" t="inlineStr">
        <is>
          <t>SKÅNE LÄN</t>
        </is>
      </c>
      <c r="G3357" t="inlineStr">
        <is>
          <t>KRISTIANSTAD</t>
        </is>
      </c>
      <c r="I3357" t="n">
        <v>2.3</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14307-2026</t>
        </is>
      </c>
      <c r="B3358" t="inlineStr">
        <is>
          <t>avverkningsanmälan</t>
        </is>
      </c>
      <c r="C3358" t="inlineStr">
        <is>
          <t>Föryngringsavverkning</t>
        </is>
      </c>
      <c r="D3358" s="1" t="n">
        <v>46099</v>
      </c>
      <c r="E3358" s="1" t="n">
        <v>46312</v>
      </c>
      <c r="F3358" t="inlineStr">
        <is>
          <t>SKÅNE LÄN</t>
        </is>
      </c>
      <c r="G3358" t="inlineStr">
        <is>
          <t>HÖRBY</t>
        </is>
      </c>
      <c r="I3358" t="n">
        <v>1</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14541-2026</t>
        </is>
      </c>
      <c r="B3359" t="inlineStr">
        <is>
          <t>avverkningsanmälan</t>
        </is>
      </c>
      <c r="C3359" t="inlineStr">
        <is>
          <t>Föryngringsavverkning</t>
        </is>
      </c>
      <c r="D3359" s="1" t="n">
        <v>46100</v>
      </c>
      <c r="E3359" s="1" t="n">
        <v>46312</v>
      </c>
      <c r="F3359" t="inlineStr">
        <is>
          <t>SKÅNE LÄN</t>
        </is>
      </c>
      <c r="G3359" t="inlineStr">
        <is>
          <t>HÄSSLEHOLM</t>
        </is>
      </c>
      <c r="I3359" t="n">
        <v>1.2</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14563-2026</t>
        </is>
      </c>
      <c r="B3360" t="inlineStr">
        <is>
          <t>avverkningsanmälan</t>
        </is>
      </c>
      <c r="C3360" t="inlineStr">
        <is>
          <t>Föryngringsavverkning</t>
        </is>
      </c>
      <c r="D3360" s="1" t="n">
        <v>46100</v>
      </c>
      <c r="E3360" s="1" t="n">
        <v>46312</v>
      </c>
      <c r="F3360" t="inlineStr">
        <is>
          <t>SKÅNE LÄN</t>
        </is>
      </c>
      <c r="G3360" t="inlineStr">
        <is>
          <t>OSBY</t>
        </is>
      </c>
      <c r="I3360" t="n">
        <v>3.3</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14564-2026</t>
        </is>
      </c>
      <c r="B3361" t="inlineStr">
        <is>
          <t>avverkningsanmälan</t>
        </is>
      </c>
      <c r="C3361" t="inlineStr">
        <is>
          <t>Föryngringsavverkning</t>
        </is>
      </c>
      <c r="D3361" s="1" t="n">
        <v>46100</v>
      </c>
      <c r="E3361" s="1" t="n">
        <v>46312</v>
      </c>
      <c r="F3361" t="inlineStr">
        <is>
          <t>SKÅNE LÄN</t>
        </is>
      </c>
      <c r="G3361" t="inlineStr">
        <is>
          <t>OSBY</t>
        </is>
      </c>
      <c r="I3361" t="n">
        <v>2</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31946-2023</t>
        </is>
      </c>
      <c r="B3362" t="inlineStr">
        <is>
          <t>avverkningsanmälan</t>
        </is>
      </c>
      <c r="C3362" t="inlineStr">
        <is>
          <t>Föryngringsavverkning</t>
        </is>
      </c>
      <c r="D3362" s="1" t="n">
        <v>45119</v>
      </c>
      <c r="E3362" s="1" t="n">
        <v>46312</v>
      </c>
      <c r="F3362" t="inlineStr">
        <is>
          <t>SKÅNE LÄN</t>
        </is>
      </c>
      <c r="G3362" t="inlineStr">
        <is>
          <t>HÄSSLEHOLM</t>
        </is>
      </c>
      <c r="I3362" t="n">
        <v>0.3</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45641-2022</t>
        </is>
      </c>
      <c r="B3363" t="inlineStr">
        <is>
          <t>avverkningsanmälan</t>
        </is>
      </c>
      <c r="C3363" t="inlineStr">
        <is>
          <t>Avverkning för annat ändamål</t>
        </is>
      </c>
      <c r="D3363" s="1" t="n">
        <v>44845</v>
      </c>
      <c r="E3363" s="1" t="n">
        <v>46312</v>
      </c>
      <c r="F3363" t="inlineStr">
        <is>
          <t>SKÅNE LÄN</t>
        </is>
      </c>
      <c r="G3363" t="inlineStr">
        <is>
          <t>KLIPPAN</t>
        </is>
      </c>
      <c r="I3363" t="n">
        <v>1.1</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14538-2026</t>
        </is>
      </c>
      <c r="B3364" t="inlineStr">
        <is>
          <t>avverkningsanmälan</t>
        </is>
      </c>
      <c r="C3364" t="inlineStr">
        <is>
          <t>Föryngringsavverkning</t>
        </is>
      </c>
      <c r="D3364" s="1" t="n">
        <v>46100</v>
      </c>
      <c r="E3364" s="1" t="n">
        <v>46312</v>
      </c>
      <c r="F3364" t="inlineStr">
        <is>
          <t>SKÅNE LÄN</t>
        </is>
      </c>
      <c r="G3364" t="inlineStr">
        <is>
          <t>HÄSSLEHOLM</t>
        </is>
      </c>
      <c r="I3364" t="n">
        <v>1.4</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7584-2024</t>
        </is>
      </c>
      <c r="B3365" t="inlineStr">
        <is>
          <t>avverkningsanmälan</t>
        </is>
      </c>
      <c r="C3365" t="inlineStr">
        <is>
          <t>Föryngringsavverkning</t>
        </is>
      </c>
      <c r="D3365" s="1" t="n">
        <v>45348</v>
      </c>
      <c r="E3365" s="1" t="n">
        <v>46312</v>
      </c>
      <c r="F3365" t="inlineStr">
        <is>
          <t>SKÅNE LÄN</t>
        </is>
      </c>
      <c r="G3365" t="inlineStr">
        <is>
          <t>SIMRISHAMN</t>
        </is>
      </c>
      <c r="I3365" t="n">
        <v>6.9</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14191-2026</t>
        </is>
      </c>
      <c r="B3366" t="inlineStr">
        <is>
          <t>avverkningsanmälan</t>
        </is>
      </c>
      <c r="C3366" t="inlineStr">
        <is>
          <t>Föryngringsavverkning</t>
        </is>
      </c>
      <c r="D3366" s="1" t="n">
        <v>46099</v>
      </c>
      <c r="E3366" s="1" t="n">
        <v>46312</v>
      </c>
      <c r="F3366" t="inlineStr">
        <is>
          <t>SKÅNE LÄN</t>
        </is>
      </c>
      <c r="G3366" t="inlineStr">
        <is>
          <t>HÄSSLEHOLM</t>
        </is>
      </c>
      <c r="I3366" t="n">
        <v>0.5</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15970-2024</t>
        </is>
      </c>
      <c r="B3367" t="inlineStr">
        <is>
          <t>avverkningsanmälan</t>
        </is>
      </c>
      <c r="C3367" t="inlineStr">
        <is>
          <t>Föryngringsavverkning</t>
        </is>
      </c>
      <c r="D3367" s="1" t="n">
        <v>45405</v>
      </c>
      <c r="E3367" s="1" t="n">
        <v>46312</v>
      </c>
      <c r="F3367" t="inlineStr">
        <is>
          <t>SKÅNE LÄN</t>
        </is>
      </c>
      <c r="G3367" t="inlineStr">
        <is>
          <t>HÖRBY</t>
        </is>
      </c>
      <c r="I3367" t="n">
        <v>1.8</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18682-2023</t>
        </is>
      </c>
      <c r="B3368" t="inlineStr">
        <is>
          <t>avverkningsanmälan</t>
        </is>
      </c>
      <c r="C3368" t="inlineStr">
        <is>
          <t>Föryngringsavverkning</t>
        </is>
      </c>
      <c r="D3368" s="1" t="n">
        <v>45043</v>
      </c>
      <c r="E3368" s="1" t="n">
        <v>46312</v>
      </c>
      <c r="F3368" t="inlineStr">
        <is>
          <t>SKÅNE LÄN</t>
        </is>
      </c>
      <c r="G3368" t="inlineStr">
        <is>
          <t>SIMRISHAMN</t>
        </is>
      </c>
      <c r="I3368" t="n">
        <v>2.6</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18735-2023</t>
        </is>
      </c>
      <c r="B3369" t="inlineStr">
        <is>
          <t>avverkningsanmälan</t>
        </is>
      </c>
      <c r="C3369" t="inlineStr">
        <is>
          <t>Föryngringsavverkning</t>
        </is>
      </c>
      <c r="D3369" s="1" t="n">
        <v>45043</v>
      </c>
      <c r="E3369" s="1" t="n">
        <v>46312</v>
      </c>
      <c r="F3369" t="inlineStr">
        <is>
          <t>SKÅNE LÄN</t>
        </is>
      </c>
      <c r="G3369" t="inlineStr">
        <is>
          <t>HÖRBY</t>
        </is>
      </c>
      <c r="I3369" t="n">
        <v>1</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34468-2023</t>
        </is>
      </c>
      <c r="B3370" t="inlineStr">
        <is>
          <t>avverkningsanmälan</t>
        </is>
      </c>
      <c r="C3370" t="inlineStr">
        <is>
          <t>Föryngringsavverkning</t>
        </is>
      </c>
      <c r="D3370" s="1" t="n">
        <v>45139</v>
      </c>
      <c r="E3370" s="1" t="n">
        <v>46312</v>
      </c>
      <c r="F3370" t="inlineStr">
        <is>
          <t>SKÅNE LÄN</t>
        </is>
      </c>
      <c r="G3370" t="inlineStr">
        <is>
          <t>ESLÖV</t>
        </is>
      </c>
      <c r="I3370" t="n">
        <v>5.5</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15856-2022</t>
        </is>
      </c>
      <c r="B3371" t="inlineStr">
        <is>
          <t>avverkningsanmälan</t>
        </is>
      </c>
      <c r="C3371" t="inlineStr">
        <is>
          <t>Föryngringsavverkning</t>
        </is>
      </c>
      <c r="D3371" s="1" t="n">
        <v>44664</v>
      </c>
      <c r="E3371" s="1" t="n">
        <v>46312</v>
      </c>
      <c r="F3371" t="inlineStr">
        <is>
          <t>SKÅNE LÄN</t>
        </is>
      </c>
      <c r="G3371" t="inlineStr">
        <is>
          <t>SJÖBO</t>
        </is>
      </c>
      <c r="I3371" t="n">
        <v>0.9</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1871-2024</t>
        </is>
      </c>
      <c r="B3372" t="inlineStr">
        <is>
          <t>avverkningsanmälan</t>
        </is>
      </c>
      <c r="C3372" t="inlineStr">
        <is>
          <t>Föryngringsavverkning</t>
        </is>
      </c>
      <c r="D3372" s="1" t="n">
        <v>45307</v>
      </c>
      <c r="E3372" s="1" t="n">
        <v>46312</v>
      </c>
      <c r="F3372" t="inlineStr">
        <is>
          <t>SKÅNE LÄN</t>
        </is>
      </c>
      <c r="G3372" t="inlineStr">
        <is>
          <t>KRISTIANSTAD</t>
        </is>
      </c>
      <c r="H3372" t="inlineStr">
        <is>
          <t>Övriga Aktiebolag</t>
        </is>
      </c>
      <c r="I3372" t="n">
        <v>2.4</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14471-2026</t>
        </is>
      </c>
      <c r="B3373" t="inlineStr">
        <is>
          <t>avverkningsanmälan</t>
        </is>
      </c>
      <c r="C3373" t="inlineStr">
        <is>
          <t>Föryngringsavverkning</t>
        </is>
      </c>
      <c r="D3373" s="1" t="n">
        <v>46100</v>
      </c>
      <c r="E3373" s="1" t="n">
        <v>46312</v>
      </c>
      <c r="F3373" t="inlineStr">
        <is>
          <t>SKÅNE LÄN</t>
        </is>
      </c>
      <c r="G3373" t="inlineStr">
        <is>
          <t>HÄSSLEHOLM</t>
        </is>
      </c>
      <c r="I3373" t="n">
        <v>0.6</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58747-2024</t>
        </is>
      </c>
      <c r="B3374" t="inlineStr">
        <is>
          <t>avverkningsanmälan</t>
        </is>
      </c>
      <c r="C3374" t="inlineStr">
        <is>
          <t>Avverkning för att bevara och utveckla /försöksver</t>
        </is>
      </c>
      <c r="D3374" s="1" t="n">
        <v>45635</v>
      </c>
      <c r="E3374" s="1" t="n">
        <v>46312</v>
      </c>
      <c r="F3374" t="inlineStr">
        <is>
          <t>SKÅNE LÄN</t>
        </is>
      </c>
      <c r="G3374" t="inlineStr">
        <is>
          <t>OSBY</t>
        </is>
      </c>
      <c r="I3374" t="n">
        <v>1.5</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21636-2024</t>
        </is>
      </c>
      <c r="B3375" t="inlineStr">
        <is>
          <t>avverkningsanmälan</t>
        </is>
      </c>
      <c r="C3375" t="inlineStr">
        <is>
          <t>Föryngringsavverkning</t>
        </is>
      </c>
      <c r="D3375" s="1" t="n">
        <v>45442</v>
      </c>
      <c r="E3375" s="1" t="n">
        <v>46312</v>
      </c>
      <c r="F3375" t="inlineStr">
        <is>
          <t>SKÅNE LÄN</t>
        </is>
      </c>
      <c r="G3375" t="inlineStr">
        <is>
          <t>KLIPPAN</t>
        </is>
      </c>
      <c r="I3375" t="n">
        <v>6.3</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24232-2023</t>
        </is>
      </c>
      <c r="B3376" t="inlineStr">
        <is>
          <t>avverkningsanmälan</t>
        </is>
      </c>
      <c r="C3376" t="inlineStr">
        <is>
          <t>Föryngringsavverkning</t>
        </is>
      </c>
      <c r="D3376" s="1" t="n">
        <v>45079</v>
      </c>
      <c r="E3376" s="1" t="n">
        <v>46312</v>
      </c>
      <c r="F3376" t="inlineStr">
        <is>
          <t>SKÅNE LÄN</t>
        </is>
      </c>
      <c r="G3376" t="inlineStr">
        <is>
          <t>OSBY</t>
        </is>
      </c>
      <c r="H3376" t="inlineStr">
        <is>
          <t>Kommuner</t>
        </is>
      </c>
      <c r="I3376" t="n">
        <v>4.9</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14386-2026</t>
        </is>
      </c>
      <c r="B3377" t="inlineStr">
        <is>
          <t>avverkningsanmälan</t>
        </is>
      </c>
      <c r="C3377" t="inlineStr">
        <is>
          <t>Föryngringsavverkning</t>
        </is>
      </c>
      <c r="D3377" s="1" t="n">
        <v>46100</v>
      </c>
      <c r="E3377" s="1" t="n">
        <v>46312</v>
      </c>
      <c r="F3377" t="inlineStr">
        <is>
          <t>SKÅNE LÄN</t>
        </is>
      </c>
      <c r="G3377" t="inlineStr">
        <is>
          <t>ESLÖV</t>
        </is>
      </c>
      <c r="I3377" t="n">
        <v>12.4</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14533-2026</t>
        </is>
      </c>
      <c r="B3378" t="inlineStr">
        <is>
          <t>avverkningsanmälan</t>
        </is>
      </c>
      <c r="C3378" t="inlineStr">
        <is>
          <t>Föryngringsavverkning</t>
        </is>
      </c>
      <c r="D3378" s="1" t="n">
        <v>46100</v>
      </c>
      <c r="E3378" s="1" t="n">
        <v>46312</v>
      </c>
      <c r="F3378" t="inlineStr">
        <is>
          <t>SKÅNE LÄN</t>
        </is>
      </c>
      <c r="G3378" t="inlineStr">
        <is>
          <t>SVALÖV</t>
        </is>
      </c>
      <c r="I3378" t="n">
        <v>1.2</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14540-2026</t>
        </is>
      </c>
      <c r="B3379" t="inlineStr">
        <is>
          <t>avverkningsanmälan</t>
        </is>
      </c>
      <c r="C3379" t="inlineStr">
        <is>
          <t>Föryngringsavverkning</t>
        </is>
      </c>
      <c r="D3379" s="1" t="n">
        <v>46100</v>
      </c>
      <c r="E3379" s="1" t="n">
        <v>46312</v>
      </c>
      <c r="F3379" t="inlineStr">
        <is>
          <t>SKÅNE LÄN</t>
        </is>
      </c>
      <c r="G3379" t="inlineStr">
        <is>
          <t>HÄSSLEHOLM</t>
        </is>
      </c>
      <c r="I3379" t="n">
        <v>0.5</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14549-2026</t>
        </is>
      </c>
      <c r="B3380" t="inlineStr">
        <is>
          <t>avverkningsanmälan</t>
        </is>
      </c>
      <c r="C3380" t="inlineStr">
        <is>
          <t>Föryngringsavverkning</t>
        </is>
      </c>
      <c r="D3380" s="1" t="n">
        <v>46100</v>
      </c>
      <c r="E3380" s="1" t="n">
        <v>46312</v>
      </c>
      <c r="F3380" t="inlineStr">
        <is>
          <t>SKÅNE LÄN</t>
        </is>
      </c>
      <c r="G3380" t="inlineStr">
        <is>
          <t>HÄSSLEHOLM</t>
        </is>
      </c>
      <c r="I3380" t="n">
        <v>1.4</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48798-2023</t>
        </is>
      </c>
      <c r="B3381" t="inlineStr">
        <is>
          <t>avverkningsanmälan</t>
        </is>
      </c>
      <c r="C3381" t="inlineStr">
        <is>
          <t>Föryngringsavverkning</t>
        </is>
      </c>
      <c r="D3381" s="1" t="n">
        <v>45209</v>
      </c>
      <c r="E3381" s="1" t="n">
        <v>46312</v>
      </c>
      <c r="F3381" t="inlineStr">
        <is>
          <t>SKÅNE LÄN</t>
        </is>
      </c>
      <c r="G3381" t="inlineStr">
        <is>
          <t>HÄSSLEHOLM</t>
        </is>
      </c>
      <c r="I3381" t="n">
        <v>2.1</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22425-2024</t>
        </is>
      </c>
      <c r="B3382" t="inlineStr">
        <is>
          <t>avverkningsanmälan</t>
        </is>
      </c>
      <c r="C3382" t="inlineStr">
        <is>
          <t>Föryngringsavverkning</t>
        </is>
      </c>
      <c r="D3382" s="1" t="n">
        <v>45446</v>
      </c>
      <c r="E3382" s="1" t="n">
        <v>46312</v>
      </c>
      <c r="F3382" t="inlineStr">
        <is>
          <t>SKÅNE LÄN</t>
        </is>
      </c>
      <c r="G3382" t="inlineStr">
        <is>
          <t>SJÖBO</t>
        </is>
      </c>
      <c r="I3382" t="n">
        <v>3.2</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13138-2023</t>
        </is>
      </c>
      <c r="B3383" t="inlineStr">
        <is>
          <t>avverkningsanmälan</t>
        </is>
      </c>
      <c r="C3383" t="inlineStr">
        <is>
          <t>Föryngringsavverkning</t>
        </is>
      </c>
      <c r="D3383" s="1" t="n">
        <v>45002</v>
      </c>
      <c r="E3383" s="1" t="n">
        <v>46312</v>
      </c>
      <c r="F3383" t="inlineStr">
        <is>
          <t>SKÅNE LÄN</t>
        </is>
      </c>
      <c r="G3383" t="inlineStr">
        <is>
          <t>OSBY</t>
        </is>
      </c>
      <c r="I3383" t="n">
        <v>2.5</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48844-2023</t>
        </is>
      </c>
      <c r="B3384" t="inlineStr">
        <is>
          <t>avverkningsanmälan</t>
        </is>
      </c>
      <c r="C3384" t="inlineStr">
        <is>
          <t>Föryngringsavverkning</t>
        </is>
      </c>
      <c r="D3384" s="1" t="n">
        <v>45209</v>
      </c>
      <c r="E3384" s="1" t="n">
        <v>46312</v>
      </c>
      <c r="F3384" t="inlineStr">
        <is>
          <t>SKÅNE LÄN</t>
        </is>
      </c>
      <c r="G3384" t="inlineStr">
        <is>
          <t>HÄSSLEHOLM</t>
        </is>
      </c>
      <c r="I3384" t="n">
        <v>4</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28597-2026</t>
        </is>
      </c>
      <c r="B3385" t="inlineStr">
        <is>
          <t>avverkningsanmälan</t>
        </is>
      </c>
      <c r="C3385" t="inlineStr">
        <is>
          <t>Föryngringsavverkning</t>
        </is>
      </c>
      <c r="D3385" s="1" t="n">
        <v>46197</v>
      </c>
      <c r="E3385" s="1" t="n">
        <v>46312</v>
      </c>
      <c r="F3385" t="inlineStr">
        <is>
          <t>SKÅNE LÄN</t>
        </is>
      </c>
      <c r="G3385" t="inlineStr">
        <is>
          <t>HÖÖR</t>
        </is>
      </c>
      <c r="I3385" t="n">
        <v>3.8</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14965-2026</t>
        </is>
      </c>
      <c r="B3386" t="inlineStr">
        <is>
          <t>avverkningsanmälan</t>
        </is>
      </c>
      <c r="C3386" t="inlineStr">
        <is>
          <t>Föryngringsavverkning</t>
        </is>
      </c>
      <c r="D3386" s="1" t="n">
        <v>46104</v>
      </c>
      <c r="E3386" s="1" t="n">
        <v>46312</v>
      </c>
      <c r="F3386" t="inlineStr">
        <is>
          <t>SKÅNE LÄN</t>
        </is>
      </c>
      <c r="G3386" t="inlineStr">
        <is>
          <t>HÄSSLEHOLM</t>
        </is>
      </c>
      <c r="I3386" t="n">
        <v>2.7</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14971-2026</t>
        </is>
      </c>
      <c r="B3387" t="inlineStr">
        <is>
          <t>avverkningsanmälan</t>
        </is>
      </c>
      <c r="C3387" t="inlineStr">
        <is>
          <t>Föryngringsavverkning</t>
        </is>
      </c>
      <c r="D3387" s="1" t="n">
        <v>46104</v>
      </c>
      <c r="E3387" s="1" t="n">
        <v>46312</v>
      </c>
      <c r="F3387" t="inlineStr">
        <is>
          <t>SKÅNE LÄN</t>
        </is>
      </c>
      <c r="G3387" t="inlineStr">
        <is>
          <t>HÄSSLEHOLM</t>
        </is>
      </c>
      <c r="I3387" t="n">
        <v>2.8</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16518-2026</t>
        </is>
      </c>
      <c r="B3388" t="inlineStr">
        <is>
          <t>avverkningsanmälan</t>
        </is>
      </c>
      <c r="C3388" t="inlineStr">
        <is>
          <t>Föryngringsavverkning</t>
        </is>
      </c>
      <c r="D3388" s="1" t="n">
        <v>46112</v>
      </c>
      <c r="E3388" s="1" t="n">
        <v>46312</v>
      </c>
      <c r="F3388" t="inlineStr">
        <is>
          <t>SKÅNE LÄN</t>
        </is>
      </c>
      <c r="G3388" t="inlineStr">
        <is>
          <t>HÖRBY</t>
        </is>
      </c>
      <c r="I3388" t="n">
        <v>0.8</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48877-2024</t>
        </is>
      </c>
      <c r="B3389" t="inlineStr">
        <is>
          <t>avverkningsanmälan</t>
        </is>
      </c>
      <c r="C3389" t="inlineStr">
        <is>
          <t>Föryngringsavverkning</t>
        </is>
      </c>
      <c r="D3389" s="1" t="n">
        <v>45594</v>
      </c>
      <c r="E3389" s="1" t="n">
        <v>46312</v>
      </c>
      <c r="F3389" t="inlineStr">
        <is>
          <t>SKÅNE LÄN</t>
        </is>
      </c>
      <c r="G3389" t="inlineStr">
        <is>
          <t>HÄSSLEHOLM</t>
        </is>
      </c>
      <c r="I3389" t="n">
        <v>1.8</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14572-2026</t>
        </is>
      </c>
      <c r="B3390" t="inlineStr">
        <is>
          <t>avverkningsanmälan</t>
        </is>
      </c>
      <c r="C3390" t="inlineStr">
        <is>
          <t>Föryngringsavverkning</t>
        </is>
      </c>
      <c r="D3390" s="1" t="n">
        <v>46101</v>
      </c>
      <c r="E3390" s="1" t="n">
        <v>46312</v>
      </c>
      <c r="F3390" t="inlineStr">
        <is>
          <t>SKÅNE LÄN</t>
        </is>
      </c>
      <c r="G3390" t="inlineStr">
        <is>
          <t>SJÖBO</t>
        </is>
      </c>
      <c r="I3390" t="n">
        <v>0.5</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28123-2026</t>
        </is>
      </c>
      <c r="B3391" t="inlineStr">
        <is>
          <t>avverkningsanmälan</t>
        </is>
      </c>
      <c r="C3391" t="inlineStr">
        <is>
          <t>Föryngringsavverkning</t>
        </is>
      </c>
      <c r="D3391" s="1" t="n">
        <v>46195</v>
      </c>
      <c r="E3391" s="1" t="n">
        <v>46312</v>
      </c>
      <c r="F3391" t="inlineStr">
        <is>
          <t>SKÅNE LÄN</t>
        </is>
      </c>
      <c r="G3391" t="inlineStr">
        <is>
          <t>HÄSSLEHOLM</t>
        </is>
      </c>
      <c r="I3391" t="n">
        <v>1.1</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13070-2023</t>
        </is>
      </c>
      <c r="B3392" t="inlineStr">
        <is>
          <t>avverkningsanmälan</t>
        </is>
      </c>
      <c r="C3392" t="inlineStr">
        <is>
          <t>Avverkning för annat ändamål</t>
        </is>
      </c>
      <c r="D3392" s="1" t="n">
        <v>45002</v>
      </c>
      <c r="E3392" s="1" t="n">
        <v>46312</v>
      </c>
      <c r="F3392" t="inlineStr">
        <is>
          <t>SKÅNE LÄN</t>
        </is>
      </c>
      <c r="G3392" t="inlineStr">
        <is>
          <t>KRISTIANSTAD</t>
        </is>
      </c>
      <c r="I3392" t="n">
        <v>4.3</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8367-2023</t>
        </is>
      </c>
      <c r="B3393" t="inlineStr">
        <is>
          <t>avverkningsanmälan</t>
        </is>
      </c>
      <c r="C3393" t="inlineStr">
        <is>
          <t>Föryngringsavverkning</t>
        </is>
      </c>
      <c r="D3393" s="1" t="n">
        <v>44977</v>
      </c>
      <c r="E3393" s="1" t="n">
        <v>46312</v>
      </c>
      <c r="F3393" t="inlineStr">
        <is>
          <t>SKÅNE LÄN</t>
        </is>
      </c>
      <c r="G3393" t="inlineStr">
        <is>
          <t>ÖSTRA GÖINGE</t>
        </is>
      </c>
      <c r="I3393" t="n">
        <v>0.6</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8378-2023</t>
        </is>
      </c>
      <c r="B3394" t="inlineStr">
        <is>
          <t>avverkningsanmälan</t>
        </is>
      </c>
      <c r="C3394" t="inlineStr">
        <is>
          <t>Föryngringsavverkning</t>
        </is>
      </c>
      <c r="D3394" s="1" t="n">
        <v>44971</v>
      </c>
      <c r="E3394" s="1" t="n">
        <v>46312</v>
      </c>
      <c r="F3394" t="inlineStr">
        <is>
          <t>SKÅNE LÄN</t>
        </is>
      </c>
      <c r="G3394" t="inlineStr">
        <is>
          <t>HÄSSLEHOLM</t>
        </is>
      </c>
      <c r="I3394" t="n">
        <v>1.2</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14849-2024</t>
        </is>
      </c>
      <c r="B3395" t="inlineStr">
        <is>
          <t>avverkningsanmälan</t>
        </is>
      </c>
      <c r="C3395" t="inlineStr">
        <is>
          <t>Föryngringsavverkning</t>
        </is>
      </c>
      <c r="D3395" s="1" t="n">
        <v>45398</v>
      </c>
      <c r="E3395" s="1" t="n">
        <v>46312</v>
      </c>
      <c r="F3395" t="inlineStr">
        <is>
          <t>SKÅNE LÄN</t>
        </is>
      </c>
      <c r="G3395" t="inlineStr">
        <is>
          <t>HÖÖR</t>
        </is>
      </c>
      <c r="I3395" t="n">
        <v>4.1</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14734-2026</t>
        </is>
      </c>
      <c r="B3396" t="inlineStr">
        <is>
          <t>avverkningsanmälan</t>
        </is>
      </c>
      <c r="C3396" t="inlineStr">
        <is>
          <t>Föryngringsavverkning</t>
        </is>
      </c>
      <c r="D3396" s="1" t="n">
        <v>46101</v>
      </c>
      <c r="E3396" s="1" t="n">
        <v>46312</v>
      </c>
      <c r="F3396" t="inlineStr">
        <is>
          <t>SKÅNE LÄN</t>
        </is>
      </c>
      <c r="G3396" t="inlineStr">
        <is>
          <t>ÖRKELLJUNGA</t>
        </is>
      </c>
      <c r="I3396" t="n">
        <v>0.6</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14254-2023</t>
        </is>
      </c>
      <c r="B3397" t="inlineStr">
        <is>
          <t>avverkningsanmälan</t>
        </is>
      </c>
      <c r="C3397" t="inlineStr">
        <is>
          <t>Föryngringsavverkning</t>
        </is>
      </c>
      <c r="D3397" s="1" t="n">
        <v>45009</v>
      </c>
      <c r="E3397" s="1" t="n">
        <v>46312</v>
      </c>
      <c r="F3397" t="inlineStr">
        <is>
          <t>SKÅNE LÄN</t>
        </is>
      </c>
      <c r="G3397" t="inlineStr">
        <is>
          <t>ÖRKELLJUNGA</t>
        </is>
      </c>
      <c r="I3397" t="n">
        <v>0.5</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43224-2024</t>
        </is>
      </c>
      <c r="B3398" t="inlineStr">
        <is>
          <t>avverkningsanmälan</t>
        </is>
      </c>
      <c r="C3398" t="inlineStr">
        <is>
          <t>Föryngringsavverkning</t>
        </is>
      </c>
      <c r="D3398" s="1" t="n">
        <v>45567</v>
      </c>
      <c r="E3398" s="1" t="n">
        <v>46312</v>
      </c>
      <c r="F3398" t="inlineStr">
        <is>
          <t>SKÅNE LÄN</t>
        </is>
      </c>
      <c r="G3398" t="inlineStr">
        <is>
          <t>ÖSTRA GÖINGE</t>
        </is>
      </c>
      <c r="I3398" t="n">
        <v>1.2</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27527-2023</t>
        </is>
      </c>
      <c r="B3399" t="inlineStr">
        <is>
          <t>avverkningsanmälan</t>
        </is>
      </c>
      <c r="C3399" t="inlineStr">
        <is>
          <t>Föryngringsavverkning</t>
        </is>
      </c>
      <c r="D3399" s="1" t="n">
        <v>45097</v>
      </c>
      <c r="E3399" s="1" t="n">
        <v>46312</v>
      </c>
      <c r="F3399" t="inlineStr">
        <is>
          <t>SKÅNE LÄN</t>
        </is>
      </c>
      <c r="G3399" t="inlineStr">
        <is>
          <t>OSBY</t>
        </is>
      </c>
      <c r="I3399" t="n">
        <v>1.9</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27553-2023</t>
        </is>
      </c>
      <c r="B3400" t="inlineStr">
        <is>
          <t>avverkningsanmälan</t>
        </is>
      </c>
      <c r="C3400" t="inlineStr">
        <is>
          <t>Föryngringsavverkning</t>
        </is>
      </c>
      <c r="D3400" s="1" t="n">
        <v>45097</v>
      </c>
      <c r="E3400" s="1" t="n">
        <v>46312</v>
      </c>
      <c r="F3400" t="inlineStr">
        <is>
          <t>SKÅNE LÄN</t>
        </is>
      </c>
      <c r="G3400" t="inlineStr">
        <is>
          <t>ÄNGELHOLM</t>
        </is>
      </c>
      <c r="I3400" t="n">
        <v>0.8</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6081-2023</t>
        </is>
      </c>
      <c r="B3401" t="inlineStr">
        <is>
          <t>avverkningsanmälan</t>
        </is>
      </c>
      <c r="C3401" t="inlineStr">
        <is>
          <t>Föryngringsavverkning</t>
        </is>
      </c>
      <c r="D3401" s="1" t="n">
        <v>44959</v>
      </c>
      <c r="E3401" s="1" t="n">
        <v>46312</v>
      </c>
      <c r="F3401" t="inlineStr">
        <is>
          <t>SKÅNE LÄN</t>
        </is>
      </c>
      <c r="G3401" t="inlineStr">
        <is>
          <t>HÖRBY</t>
        </is>
      </c>
      <c r="I3401" t="n">
        <v>0.4</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25759-2024</t>
        </is>
      </c>
      <c r="B3402" t="inlineStr">
        <is>
          <t>avverkningsanmälan</t>
        </is>
      </c>
      <c r="C3402" t="inlineStr">
        <is>
          <t>Föryngringsavverkning</t>
        </is>
      </c>
      <c r="D3402" s="1" t="n">
        <v>45465</v>
      </c>
      <c r="E3402" s="1" t="n">
        <v>46312</v>
      </c>
      <c r="F3402" t="inlineStr">
        <is>
          <t>SKÅNE LÄN</t>
        </is>
      </c>
      <c r="G3402" t="inlineStr">
        <is>
          <t>KRISTIANSTAD</t>
        </is>
      </c>
      <c r="I3402" t="n">
        <v>2.3</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14573-2026</t>
        </is>
      </c>
      <c r="B3403" t="inlineStr">
        <is>
          <t>avverkningsanmälan</t>
        </is>
      </c>
      <c r="C3403" t="inlineStr">
        <is>
          <t>Föryngringsavverkning</t>
        </is>
      </c>
      <c r="D3403" s="1" t="n">
        <v>46101</v>
      </c>
      <c r="E3403" s="1" t="n">
        <v>46312</v>
      </c>
      <c r="F3403" t="inlineStr">
        <is>
          <t>SKÅNE LÄN</t>
        </is>
      </c>
      <c r="G3403" t="inlineStr">
        <is>
          <t>SJÖBO</t>
        </is>
      </c>
      <c r="I3403" t="n">
        <v>1.5</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35194-2023</t>
        </is>
      </c>
      <c r="B3404" t="inlineStr">
        <is>
          <t>avverkningsanmälan</t>
        </is>
      </c>
      <c r="C3404" t="inlineStr">
        <is>
          <t>Föryngringsavverkning</t>
        </is>
      </c>
      <c r="D3404" s="1" t="n">
        <v>45145</v>
      </c>
      <c r="E3404" s="1" t="n">
        <v>46312</v>
      </c>
      <c r="F3404" t="inlineStr">
        <is>
          <t>SKÅNE LÄN</t>
        </is>
      </c>
      <c r="G3404" t="inlineStr">
        <is>
          <t>PERSTORP</t>
        </is>
      </c>
      <c r="I3404" t="n">
        <v>0.7</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29219-2023</t>
        </is>
      </c>
      <c r="B3405" t="inlineStr">
        <is>
          <t>avverkningsanmälan</t>
        </is>
      </c>
      <c r="C3405" t="inlineStr">
        <is>
          <t>Föryngringsavverkning</t>
        </is>
      </c>
      <c r="D3405" s="1" t="n">
        <v>45105</v>
      </c>
      <c r="E3405" s="1" t="n">
        <v>46312</v>
      </c>
      <c r="F3405" t="inlineStr">
        <is>
          <t>SKÅNE LÄN</t>
        </is>
      </c>
      <c r="G3405" t="inlineStr">
        <is>
          <t>HÖRBY</t>
        </is>
      </c>
      <c r="I3405" t="n">
        <v>0.7</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12181-2023</t>
        </is>
      </c>
      <c r="B3406" t="inlineStr">
        <is>
          <t>avverkningsanmälan</t>
        </is>
      </c>
      <c r="C3406" t="inlineStr">
        <is>
          <t>Föryngringsavverkning</t>
        </is>
      </c>
      <c r="D3406" s="1" t="n">
        <v>44998</v>
      </c>
      <c r="E3406" s="1" t="n">
        <v>46312</v>
      </c>
      <c r="F3406" t="inlineStr">
        <is>
          <t>SKÅNE LÄN</t>
        </is>
      </c>
      <c r="G3406" t="inlineStr">
        <is>
          <t>TOMELILLA</t>
        </is>
      </c>
      <c r="I3406" t="n">
        <v>1.3</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45398-2024</t>
        </is>
      </c>
      <c r="B3407" t="inlineStr">
        <is>
          <t>avverkningsanmälan</t>
        </is>
      </c>
      <c r="C3407" t="inlineStr">
        <is>
          <t>Föryngringsavverkning</t>
        </is>
      </c>
      <c r="D3407" s="1" t="n">
        <v>45576</v>
      </c>
      <c r="E3407" s="1" t="n">
        <v>46312</v>
      </c>
      <c r="F3407" t="inlineStr">
        <is>
          <t>SKÅNE LÄN</t>
        </is>
      </c>
      <c r="G3407" t="inlineStr">
        <is>
          <t>HÄSSLEHOLM</t>
        </is>
      </c>
      <c r="I3407" t="n">
        <v>4.2</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1051-2024</t>
        </is>
      </c>
      <c r="B3408" t="inlineStr">
        <is>
          <t>avverkningsanmälan</t>
        </is>
      </c>
      <c r="C3408" t="inlineStr">
        <is>
          <t>Föryngringsavverkning</t>
        </is>
      </c>
      <c r="D3408" s="1" t="n">
        <v>45301</v>
      </c>
      <c r="E3408" s="1" t="n">
        <v>46312</v>
      </c>
      <c r="F3408" t="inlineStr">
        <is>
          <t>SKÅNE LÄN</t>
        </is>
      </c>
      <c r="G3408" t="inlineStr">
        <is>
          <t>OSBY</t>
        </is>
      </c>
      <c r="I3408" t="n">
        <v>0.8</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1164-2024</t>
        </is>
      </c>
      <c r="B3409" t="inlineStr">
        <is>
          <t>avverkningsanmälan</t>
        </is>
      </c>
      <c r="C3409" t="inlineStr">
        <is>
          <t>Föryngringsavverkning</t>
        </is>
      </c>
      <c r="D3409" s="1" t="n">
        <v>45302</v>
      </c>
      <c r="E3409" s="1" t="n">
        <v>46312</v>
      </c>
      <c r="F3409" t="inlineStr">
        <is>
          <t>SKÅNE LÄN</t>
        </is>
      </c>
      <c r="G3409" t="inlineStr">
        <is>
          <t>PERSTORP</t>
        </is>
      </c>
      <c r="I3409" t="n">
        <v>2.9</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15106-2026</t>
        </is>
      </c>
      <c r="B3410" t="inlineStr">
        <is>
          <t>avverkningsanmälan</t>
        </is>
      </c>
      <c r="C3410" t="inlineStr">
        <is>
          <t>Föryngringsavverkning</t>
        </is>
      </c>
      <c r="D3410" s="1" t="n">
        <v>46105</v>
      </c>
      <c r="E3410" s="1" t="n">
        <v>46312</v>
      </c>
      <c r="F3410" t="inlineStr">
        <is>
          <t>SKÅNE LÄN</t>
        </is>
      </c>
      <c r="G3410" t="inlineStr">
        <is>
          <t>ÖSTRA GÖINGE</t>
        </is>
      </c>
      <c r="I3410" t="n">
        <v>0.8</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28129-2026</t>
        </is>
      </c>
      <c r="B3411" t="inlineStr">
        <is>
          <t>avverkningsanmälan</t>
        </is>
      </c>
      <c r="C3411" t="inlineStr">
        <is>
          <t>Föryngringsavverkning</t>
        </is>
      </c>
      <c r="D3411" s="1" t="n">
        <v>46195</v>
      </c>
      <c r="E3411" s="1" t="n">
        <v>46312</v>
      </c>
      <c r="F3411" t="inlineStr">
        <is>
          <t>SKÅNE LÄN</t>
        </is>
      </c>
      <c r="G3411" t="inlineStr">
        <is>
          <t>BROMÖLLA</t>
        </is>
      </c>
      <c r="I3411" t="n">
        <v>1.5</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15240-2026</t>
        </is>
      </c>
      <c r="B3412" t="inlineStr">
        <is>
          <t>avverkningsanmälan</t>
        </is>
      </c>
      <c r="C3412" t="inlineStr">
        <is>
          <t>Föryngringsavverkning</t>
        </is>
      </c>
      <c r="D3412" s="1" t="n">
        <v>46105</v>
      </c>
      <c r="E3412" s="1" t="n">
        <v>46312</v>
      </c>
      <c r="F3412" t="inlineStr">
        <is>
          <t>SKÅNE LÄN</t>
        </is>
      </c>
      <c r="G3412" t="inlineStr">
        <is>
          <t>ÖRKELLJUNGA</t>
        </is>
      </c>
      <c r="I3412" t="n">
        <v>2.1</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4140-2023</t>
        </is>
      </c>
      <c r="B3413" t="inlineStr">
        <is>
          <t>avverkningsanmälan</t>
        </is>
      </c>
      <c r="C3413" t="inlineStr">
        <is>
          <t>Föryngringsavverkning</t>
        </is>
      </c>
      <c r="D3413" s="1" t="n">
        <v>44953</v>
      </c>
      <c r="E3413" s="1" t="n">
        <v>46312</v>
      </c>
      <c r="F3413" t="inlineStr">
        <is>
          <t>SKÅNE LÄN</t>
        </is>
      </c>
      <c r="G3413" t="inlineStr">
        <is>
          <t>HÄSSLEHOLM</t>
        </is>
      </c>
      <c r="I3413" t="n">
        <v>10.6</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3470-2026</t>
        </is>
      </c>
      <c r="B3414" t="inlineStr">
        <is>
          <t>avverkningsanmälan</t>
        </is>
      </c>
      <c r="C3414" t="inlineStr">
        <is>
          <t>Föryngringsavverkning</t>
        </is>
      </c>
      <c r="D3414" s="1" t="n">
        <v>46042</v>
      </c>
      <c r="E3414" s="1" t="n">
        <v>46312</v>
      </c>
      <c r="F3414" t="inlineStr">
        <is>
          <t>SKÅNE LÄN</t>
        </is>
      </c>
      <c r="G3414" t="inlineStr">
        <is>
          <t>HÖRBY</t>
        </is>
      </c>
      <c r="I3414" t="n">
        <v>1.5</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4156-2023</t>
        </is>
      </c>
      <c r="B3415" t="inlineStr">
        <is>
          <t>avverkningsanmälan</t>
        </is>
      </c>
      <c r="C3415" t="inlineStr">
        <is>
          <t>Föryngringsavverkning</t>
        </is>
      </c>
      <c r="D3415" s="1" t="n">
        <v>44953</v>
      </c>
      <c r="E3415" s="1" t="n">
        <v>46312</v>
      </c>
      <c r="F3415" t="inlineStr">
        <is>
          <t>SKÅNE LÄN</t>
        </is>
      </c>
      <c r="G3415" t="inlineStr">
        <is>
          <t>ÅSTORP</t>
        </is>
      </c>
      <c r="I3415" t="n">
        <v>1.5</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56818-2022</t>
        </is>
      </c>
      <c r="B3416" t="inlineStr">
        <is>
          <t>avverkningsanmälan</t>
        </is>
      </c>
      <c r="C3416" t="inlineStr">
        <is>
          <t>Föryngringsavverkning</t>
        </is>
      </c>
      <c r="D3416" s="1" t="n">
        <v>44894</v>
      </c>
      <c r="E3416" s="1" t="n">
        <v>46312</v>
      </c>
      <c r="F3416" t="inlineStr">
        <is>
          <t>SKÅNE LÄN</t>
        </is>
      </c>
      <c r="G3416" t="inlineStr">
        <is>
          <t>HÖRBY</t>
        </is>
      </c>
      <c r="I3416" t="n">
        <v>1.8</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23816-2023</t>
        </is>
      </c>
      <c r="B3417" t="inlineStr">
        <is>
          <t>avverkningsanmälan</t>
        </is>
      </c>
      <c r="C3417" t="inlineStr">
        <is>
          <t>Föryngringsavverkning</t>
        </is>
      </c>
      <c r="D3417" s="1" t="n">
        <v>45078</v>
      </c>
      <c r="E3417" s="1" t="n">
        <v>46312</v>
      </c>
      <c r="F3417" t="inlineStr">
        <is>
          <t>SKÅNE LÄN</t>
        </is>
      </c>
      <c r="G3417" t="inlineStr">
        <is>
          <t>OSBY</t>
        </is>
      </c>
      <c r="I3417" t="n">
        <v>0.5</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50000-2023</t>
        </is>
      </c>
      <c r="B3418" t="inlineStr">
        <is>
          <t>avverkningsanmälan</t>
        </is>
      </c>
      <c r="C3418" t="inlineStr">
        <is>
          <t>Föryngringsavverkning</t>
        </is>
      </c>
      <c r="D3418" s="1" t="n">
        <v>45215</v>
      </c>
      <c r="E3418" s="1" t="n">
        <v>46312</v>
      </c>
      <c r="F3418" t="inlineStr">
        <is>
          <t>SKÅNE LÄN</t>
        </is>
      </c>
      <c r="G3418" t="inlineStr">
        <is>
          <t>HÄSSLEHOLM</t>
        </is>
      </c>
      <c r="I3418" t="n">
        <v>1.6</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58938-2024</t>
        </is>
      </c>
      <c r="B3419" t="inlineStr">
        <is>
          <t>avverkningsanmälan</t>
        </is>
      </c>
      <c r="C3419" t="inlineStr">
        <is>
          <t>Föryngringsavverkning</t>
        </is>
      </c>
      <c r="D3419" s="1" t="n">
        <v>45636</v>
      </c>
      <c r="E3419" s="1" t="n">
        <v>46312</v>
      </c>
      <c r="F3419" t="inlineStr">
        <is>
          <t>SKÅNE LÄN</t>
        </is>
      </c>
      <c r="G3419" t="inlineStr">
        <is>
          <t>ÖSTRA GÖINGE</t>
        </is>
      </c>
      <c r="I3419" t="n">
        <v>1.9</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51040-2024</t>
        </is>
      </c>
      <c r="B3420" t="inlineStr">
        <is>
          <t>avverkningsanmälan</t>
        </is>
      </c>
      <c r="C3420" t="inlineStr">
        <is>
          <t>Föryngringsavverkning</t>
        </is>
      </c>
      <c r="D3420" s="1" t="n">
        <v>45603</v>
      </c>
      <c r="E3420" s="1" t="n">
        <v>46312</v>
      </c>
      <c r="F3420" t="inlineStr">
        <is>
          <t>SKÅNE LÄN</t>
        </is>
      </c>
      <c r="G3420" t="inlineStr">
        <is>
          <t>HÄSSLEHOLM</t>
        </is>
      </c>
      <c r="I3420" t="n">
        <v>2.7</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28277-2026</t>
        </is>
      </c>
      <c r="B3421" t="inlineStr">
        <is>
          <t>avverkningsanmälan</t>
        </is>
      </c>
      <c r="C3421" t="inlineStr">
        <is>
          <t>Föryngringsavverkning</t>
        </is>
      </c>
      <c r="D3421" s="1" t="n">
        <v>46196</v>
      </c>
      <c r="E3421" s="1" t="n">
        <v>46312</v>
      </c>
      <c r="F3421" t="inlineStr">
        <is>
          <t>SKÅNE LÄN</t>
        </is>
      </c>
      <c r="G3421" t="inlineStr">
        <is>
          <t>HÄSSLEHOLM</t>
        </is>
      </c>
      <c r="I3421" t="n">
        <v>1.8</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14442-2023</t>
        </is>
      </c>
      <c r="B3422" t="inlineStr">
        <is>
          <t>avverkningsanmälan</t>
        </is>
      </c>
      <c r="C3422" t="inlineStr">
        <is>
          <t>Föryngringsavverkning</t>
        </is>
      </c>
      <c r="D3422" s="1" t="n">
        <v>45012</v>
      </c>
      <c r="E3422" s="1" t="n">
        <v>46312</v>
      </c>
      <c r="F3422" t="inlineStr">
        <is>
          <t>SKÅNE LÄN</t>
        </is>
      </c>
      <c r="G3422" t="inlineStr">
        <is>
          <t>KRISTIANSTAD</t>
        </is>
      </c>
      <c r="I3422" t="n">
        <v>2.2</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15104-2026</t>
        </is>
      </c>
      <c r="B3423" t="inlineStr">
        <is>
          <t>avverkningsanmälan</t>
        </is>
      </c>
      <c r="C3423" t="inlineStr">
        <is>
          <t>Föryngringsavverkning</t>
        </is>
      </c>
      <c r="D3423" s="1" t="n">
        <v>46105</v>
      </c>
      <c r="E3423" s="1" t="n">
        <v>46312</v>
      </c>
      <c r="F3423" t="inlineStr">
        <is>
          <t>SKÅNE LÄN</t>
        </is>
      </c>
      <c r="G3423" t="inlineStr">
        <is>
          <t>ÖSTRA GÖINGE</t>
        </is>
      </c>
      <c r="I3423" t="n">
        <v>2.3</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13432-2023</t>
        </is>
      </c>
      <c r="B3424" t="inlineStr">
        <is>
          <t>avverkningsanmälan</t>
        </is>
      </c>
      <c r="C3424" t="inlineStr">
        <is>
          <t>Föryngringsavverkning</t>
        </is>
      </c>
      <c r="D3424" s="1" t="n">
        <v>45005</v>
      </c>
      <c r="E3424" s="1" t="n">
        <v>46312</v>
      </c>
      <c r="F3424" t="inlineStr">
        <is>
          <t>SKÅNE LÄN</t>
        </is>
      </c>
      <c r="G3424" t="inlineStr">
        <is>
          <t>HÖÖR</t>
        </is>
      </c>
      <c r="I3424" t="n">
        <v>0.8</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50249-2024</t>
        </is>
      </c>
      <c r="B3425" t="inlineStr">
        <is>
          <t>avverkningsanmälan</t>
        </is>
      </c>
      <c r="C3425" t="inlineStr">
        <is>
          <t>Föryngringsavverkning</t>
        </is>
      </c>
      <c r="D3425" s="1" t="n">
        <v>45600</v>
      </c>
      <c r="E3425" s="1" t="n">
        <v>46312</v>
      </c>
      <c r="F3425" t="inlineStr">
        <is>
          <t>SKÅNE LÄN</t>
        </is>
      </c>
      <c r="G3425" t="inlineStr">
        <is>
          <t>HÄSSLEHOLM</t>
        </is>
      </c>
      <c r="I3425" t="n">
        <v>0.6</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3513-2026</t>
        </is>
      </c>
      <c r="B3426" t="inlineStr">
        <is>
          <t>avverkningsanmälan</t>
        </is>
      </c>
      <c r="C3426" t="inlineStr">
        <is>
          <t>Föryngringsavverkning</t>
        </is>
      </c>
      <c r="D3426" s="1" t="n">
        <v>46042</v>
      </c>
      <c r="E3426" s="1" t="n">
        <v>46312</v>
      </c>
      <c r="F3426" t="inlineStr">
        <is>
          <t>SKÅNE LÄN</t>
        </is>
      </c>
      <c r="G3426" t="inlineStr">
        <is>
          <t>HÖRBY</t>
        </is>
      </c>
      <c r="I3426" t="n">
        <v>0.9</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3520-2026</t>
        </is>
      </c>
      <c r="B3427" t="inlineStr">
        <is>
          <t>avverkningsanmälan</t>
        </is>
      </c>
      <c r="C3427" t="inlineStr">
        <is>
          <t>Föryngringsavverkning</t>
        </is>
      </c>
      <c r="D3427" s="1" t="n">
        <v>46042</v>
      </c>
      <c r="E3427" s="1" t="n">
        <v>46312</v>
      </c>
      <c r="F3427" t="inlineStr">
        <is>
          <t>SKÅNE LÄN</t>
        </is>
      </c>
      <c r="G3427" t="inlineStr">
        <is>
          <t>HÖRBY</t>
        </is>
      </c>
      <c r="I3427" t="n">
        <v>0.8</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15236-2026</t>
        </is>
      </c>
      <c r="B3428" t="inlineStr">
        <is>
          <t>avverkningsanmälan</t>
        </is>
      </c>
      <c r="C3428" t="inlineStr">
        <is>
          <t>Föryngringsavverkning</t>
        </is>
      </c>
      <c r="D3428" s="1" t="n">
        <v>46105</v>
      </c>
      <c r="E3428" s="1" t="n">
        <v>46312</v>
      </c>
      <c r="F3428" t="inlineStr">
        <is>
          <t>SKÅNE LÄN</t>
        </is>
      </c>
      <c r="G3428" t="inlineStr">
        <is>
          <t>ÖRKELLJUNGA</t>
        </is>
      </c>
      <c r="I3428" t="n">
        <v>1.7</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15108-2026</t>
        </is>
      </c>
      <c r="B3429" t="inlineStr">
        <is>
          <t>avverkningsanmälan</t>
        </is>
      </c>
      <c r="C3429" t="inlineStr">
        <is>
          <t>Föryngringsavverkning</t>
        </is>
      </c>
      <c r="D3429" s="1" t="n">
        <v>46105</v>
      </c>
      <c r="E3429" s="1" t="n">
        <v>46312</v>
      </c>
      <c r="F3429" t="inlineStr">
        <is>
          <t>SKÅNE LÄN</t>
        </is>
      </c>
      <c r="G3429" t="inlineStr">
        <is>
          <t>ÖRKELLJUNGA</t>
        </is>
      </c>
      <c r="I3429" t="n">
        <v>3.7</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39414-2023</t>
        </is>
      </c>
      <c r="B3430" t="inlineStr">
        <is>
          <t>avverkningsanmälan</t>
        </is>
      </c>
      <c r="C3430" t="inlineStr">
        <is>
          <t>Föryngringsavverkning</t>
        </is>
      </c>
      <c r="D3430" s="1" t="n">
        <v>45163</v>
      </c>
      <c r="E3430" s="1" t="n">
        <v>46312</v>
      </c>
      <c r="F3430" t="inlineStr">
        <is>
          <t>SKÅNE LÄN</t>
        </is>
      </c>
      <c r="G3430" t="inlineStr">
        <is>
          <t>SJÖBO</t>
        </is>
      </c>
      <c r="I3430" t="n">
        <v>3.7</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15747-2026</t>
        </is>
      </c>
      <c r="B3431" t="inlineStr">
        <is>
          <t>avverkningsanmälan</t>
        </is>
      </c>
      <c r="C3431" t="inlineStr">
        <is>
          <t>Föryngringsavverkning</t>
        </is>
      </c>
      <c r="D3431" s="1" t="n">
        <v>46107</v>
      </c>
      <c r="E3431" s="1" t="n">
        <v>46312</v>
      </c>
      <c r="F3431" t="inlineStr">
        <is>
          <t>SKÅNE LÄN</t>
        </is>
      </c>
      <c r="G3431" t="inlineStr">
        <is>
          <t>SVALÖV</t>
        </is>
      </c>
      <c r="I3431" t="n">
        <v>1.4</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15881-2026</t>
        </is>
      </c>
      <c r="B3432" t="inlineStr">
        <is>
          <t>avverkningsanmälan</t>
        </is>
      </c>
      <c r="C3432" t="inlineStr">
        <is>
          <t>Föryngringsavverkning</t>
        </is>
      </c>
      <c r="D3432" s="1" t="n">
        <v>46107</v>
      </c>
      <c r="E3432" s="1" t="n">
        <v>46312</v>
      </c>
      <c r="F3432" t="inlineStr">
        <is>
          <t>SKÅNE LÄN</t>
        </is>
      </c>
      <c r="G3432" t="inlineStr">
        <is>
          <t>HÄSSLEHOLM</t>
        </is>
      </c>
      <c r="H3432" t="inlineStr">
        <is>
          <t>Kyrkan</t>
        </is>
      </c>
      <c r="I3432" t="n">
        <v>2.2</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28722-2026</t>
        </is>
      </c>
      <c r="B3433" t="inlineStr">
        <is>
          <t>avverkningsanmälan</t>
        </is>
      </c>
      <c r="C3433" t="inlineStr">
        <is>
          <t>Föryngringsavverkning</t>
        </is>
      </c>
      <c r="D3433" s="1" t="n">
        <v>46198</v>
      </c>
      <c r="E3433" s="1" t="n">
        <v>46312</v>
      </c>
      <c r="F3433" t="inlineStr">
        <is>
          <t>SKÅNE LÄN</t>
        </is>
      </c>
      <c r="G3433" t="inlineStr">
        <is>
          <t>KRISTIANSTAD</t>
        </is>
      </c>
      <c r="I3433" t="n">
        <v>0.8</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54326-2022</t>
        </is>
      </c>
      <c r="B3434" t="inlineStr">
        <is>
          <t>avverkningsanmälan</t>
        </is>
      </c>
      <c r="C3434" t="inlineStr">
        <is>
          <t>Föryngringsavverkning</t>
        </is>
      </c>
      <c r="D3434" s="1" t="n">
        <v>44882</v>
      </c>
      <c r="E3434" s="1" t="n">
        <v>46312</v>
      </c>
      <c r="F3434" t="inlineStr">
        <is>
          <t>SKÅNE LÄN</t>
        </is>
      </c>
      <c r="G3434" t="inlineStr">
        <is>
          <t>HÄSSLEHOLM</t>
        </is>
      </c>
      <c r="I3434" t="n">
        <v>1.5</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15979-2026</t>
        </is>
      </c>
      <c r="B3435" t="inlineStr">
        <is>
          <t>avverkningsanmälan</t>
        </is>
      </c>
      <c r="C3435" t="inlineStr">
        <is>
          <t>Föryngringsavverkning</t>
        </is>
      </c>
      <c r="D3435" s="1" t="n">
        <v>46108</v>
      </c>
      <c r="E3435" s="1" t="n">
        <v>46312</v>
      </c>
      <c r="F3435" t="inlineStr">
        <is>
          <t>SKÅNE LÄN</t>
        </is>
      </c>
      <c r="G3435" t="inlineStr">
        <is>
          <t>HÄSSLEHOLM</t>
        </is>
      </c>
      <c r="I3435" t="n">
        <v>2.7</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42909-2024</t>
        </is>
      </c>
      <c r="B3436" t="inlineStr">
        <is>
          <t>avverkningsanmälan</t>
        </is>
      </c>
      <c r="C3436" t="inlineStr">
        <is>
          <t>Föryngringsavverkning</t>
        </is>
      </c>
      <c r="D3436" s="1" t="n">
        <v>45566</v>
      </c>
      <c r="E3436" s="1" t="n">
        <v>46312</v>
      </c>
      <c r="F3436" t="inlineStr">
        <is>
          <t>SKÅNE LÄN</t>
        </is>
      </c>
      <c r="G3436" t="inlineStr">
        <is>
          <t>BROMÖLLA</t>
        </is>
      </c>
      <c r="I3436" t="n">
        <v>0.9</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9850-2026</t>
        </is>
      </c>
      <c r="B3437" t="inlineStr">
        <is>
          <t>avverkningsanmälan</t>
        </is>
      </c>
      <c r="C3437" t="inlineStr">
        <is>
          <t>Föryngringsavverkning</t>
        </is>
      </c>
      <c r="D3437" s="1" t="n">
        <v>46072</v>
      </c>
      <c r="E3437" s="1" t="n">
        <v>46312</v>
      </c>
      <c r="F3437" t="inlineStr">
        <is>
          <t>SKÅNE LÄN</t>
        </is>
      </c>
      <c r="G3437" t="inlineStr">
        <is>
          <t>HÖRBY</t>
        </is>
      </c>
      <c r="I3437" t="n">
        <v>2.2</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54174-2022</t>
        </is>
      </c>
      <c r="B3438" t="inlineStr">
        <is>
          <t>avverkningsanmälan</t>
        </is>
      </c>
      <c r="C3438" t="inlineStr">
        <is>
          <t>Föryngringsavverkning</t>
        </is>
      </c>
      <c r="D3438" s="1" t="n">
        <v>44881</v>
      </c>
      <c r="E3438" s="1" t="n">
        <v>46312</v>
      </c>
      <c r="F3438" t="inlineStr">
        <is>
          <t>SKÅNE LÄN</t>
        </is>
      </c>
      <c r="G3438" t="inlineStr">
        <is>
          <t>HÄSSLEHOLM</t>
        </is>
      </c>
      <c r="I3438" t="n">
        <v>0.6</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6124-2026</t>
        </is>
      </c>
      <c r="B3439" t="inlineStr">
        <is>
          <t>avverkningsanmälan</t>
        </is>
      </c>
      <c r="C3439" t="inlineStr">
        <is>
          <t>Föryngringsavverkning</t>
        </is>
      </c>
      <c r="D3439" s="1" t="n">
        <v>46053</v>
      </c>
      <c r="E3439" s="1" t="n">
        <v>46312</v>
      </c>
      <c r="F3439" t="inlineStr">
        <is>
          <t>SKÅNE LÄN</t>
        </is>
      </c>
      <c r="G3439" t="inlineStr">
        <is>
          <t>TOMELILLA</t>
        </is>
      </c>
      <c r="I3439" t="n">
        <v>0.5</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60783-2023</t>
        </is>
      </c>
      <c r="B3440" t="inlineStr">
        <is>
          <t>avverkningsanmälan</t>
        </is>
      </c>
      <c r="C3440" t="inlineStr">
        <is>
          <t>Föryngringsavverkning</t>
        </is>
      </c>
      <c r="D3440" s="1" t="n">
        <v>45260</v>
      </c>
      <c r="E3440" s="1" t="n">
        <v>46312</v>
      </c>
      <c r="F3440" t="inlineStr">
        <is>
          <t>SKÅNE LÄN</t>
        </is>
      </c>
      <c r="G3440" t="inlineStr">
        <is>
          <t>KLIPPAN</t>
        </is>
      </c>
      <c r="I3440" t="n">
        <v>1.4</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15882-2026</t>
        </is>
      </c>
      <c r="B3441" t="inlineStr">
        <is>
          <t>avverkningsanmälan</t>
        </is>
      </c>
      <c r="C3441" t="inlineStr">
        <is>
          <t>Föryngringsavverkning</t>
        </is>
      </c>
      <c r="D3441" s="1" t="n">
        <v>46107</v>
      </c>
      <c r="E3441" s="1" t="n">
        <v>46312</v>
      </c>
      <c r="F3441" t="inlineStr">
        <is>
          <t>SKÅNE LÄN</t>
        </is>
      </c>
      <c r="G3441" t="inlineStr">
        <is>
          <t>HÄSSLEHOLM</t>
        </is>
      </c>
      <c r="H3441" t="inlineStr">
        <is>
          <t>Kyrkan</t>
        </is>
      </c>
      <c r="I3441" t="n">
        <v>0.7</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28623-2026</t>
        </is>
      </c>
      <c r="B3442" t="inlineStr">
        <is>
          <t>avverkningsanmälan</t>
        </is>
      </c>
      <c r="C3442" t="inlineStr">
        <is>
          <t>Föryngringsavverkning</t>
        </is>
      </c>
      <c r="D3442" s="1" t="n">
        <v>46198</v>
      </c>
      <c r="E3442" s="1" t="n">
        <v>46312</v>
      </c>
      <c r="F3442" t="inlineStr">
        <is>
          <t>SKÅNE LÄN</t>
        </is>
      </c>
      <c r="G3442" t="inlineStr">
        <is>
          <t>OSBY</t>
        </is>
      </c>
      <c r="H3442" t="inlineStr">
        <is>
          <t>Sveaskog</t>
        </is>
      </c>
      <c r="I3442" t="n">
        <v>0.6</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38562-2023</t>
        </is>
      </c>
      <c r="B3443" t="inlineStr">
        <is>
          <t>avverkningsanmälan</t>
        </is>
      </c>
      <c r="C3443" t="inlineStr">
        <is>
          <t>Föryngringsavverkning</t>
        </is>
      </c>
      <c r="D3443" s="1" t="n">
        <v>45162</v>
      </c>
      <c r="E3443" s="1" t="n">
        <v>46312</v>
      </c>
      <c r="F3443" t="inlineStr">
        <is>
          <t>SKÅNE LÄN</t>
        </is>
      </c>
      <c r="G3443" t="inlineStr">
        <is>
          <t>TOMELILLA</t>
        </is>
      </c>
      <c r="I3443" t="n">
        <v>2.2</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63139-2023</t>
        </is>
      </c>
      <c r="B3444" t="inlineStr">
        <is>
          <t>avverkningsanmälan</t>
        </is>
      </c>
      <c r="C3444" t="inlineStr">
        <is>
          <t>Föryngringsavverkning</t>
        </is>
      </c>
      <c r="D3444" s="1" t="n">
        <v>45273</v>
      </c>
      <c r="E3444" s="1" t="n">
        <v>46312</v>
      </c>
      <c r="F3444" t="inlineStr">
        <is>
          <t>SKÅNE LÄN</t>
        </is>
      </c>
      <c r="G3444" t="inlineStr">
        <is>
          <t>HÖÖR</t>
        </is>
      </c>
      <c r="I3444" t="n">
        <v>2.1</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16384-2026</t>
        </is>
      </c>
      <c r="B3445" t="inlineStr">
        <is>
          <t>avverkningsanmälan</t>
        </is>
      </c>
      <c r="C3445" t="inlineStr">
        <is>
          <t>Föryngringsavverkning</t>
        </is>
      </c>
      <c r="D3445" s="1" t="n">
        <v>46111</v>
      </c>
      <c r="E3445" s="1" t="n">
        <v>46312</v>
      </c>
      <c r="F3445" t="inlineStr">
        <is>
          <t>SKÅNE LÄN</t>
        </is>
      </c>
      <c r="G3445" t="inlineStr">
        <is>
          <t>KRISTIANSTAD</t>
        </is>
      </c>
      <c r="I3445" t="n">
        <v>0.8</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63167-2023</t>
        </is>
      </c>
      <c r="B3446" t="inlineStr">
        <is>
          <t>avverkningsanmälan</t>
        </is>
      </c>
      <c r="C3446" t="inlineStr">
        <is>
          <t>Föryngringsavverkning</t>
        </is>
      </c>
      <c r="D3446" s="1" t="n">
        <v>45273</v>
      </c>
      <c r="E3446" s="1" t="n">
        <v>46312</v>
      </c>
      <c r="F3446" t="inlineStr">
        <is>
          <t>SKÅNE LÄN</t>
        </is>
      </c>
      <c r="G3446" t="inlineStr">
        <is>
          <t>ÖSTRA GÖINGE</t>
        </is>
      </c>
      <c r="I3446" t="n">
        <v>2.2</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38376-2022</t>
        </is>
      </c>
      <c r="B3447" t="inlineStr">
        <is>
          <t>avverkningsanmälan</t>
        </is>
      </c>
      <c r="C3447" t="inlineStr">
        <is>
          <t>Föryngringsavverkning</t>
        </is>
      </c>
      <c r="D3447" s="1" t="n">
        <v>44812</v>
      </c>
      <c r="E3447" s="1" t="n">
        <v>46312</v>
      </c>
      <c r="F3447" t="inlineStr">
        <is>
          <t>SKÅNE LÄN</t>
        </is>
      </c>
      <c r="G3447" t="inlineStr">
        <is>
          <t>HÄSSLEHOLM</t>
        </is>
      </c>
      <c r="I3447" t="n">
        <v>1.9</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16470-2026</t>
        </is>
      </c>
      <c r="B3448" t="inlineStr">
        <is>
          <t>avverkningsanmälan</t>
        </is>
      </c>
      <c r="C3448" t="inlineStr">
        <is>
          <t>Föryngringsavverkning</t>
        </is>
      </c>
      <c r="D3448" s="1" t="n">
        <v>46112</v>
      </c>
      <c r="E3448" s="1" t="n">
        <v>46312</v>
      </c>
      <c r="F3448" t="inlineStr">
        <is>
          <t>SKÅNE LÄN</t>
        </is>
      </c>
      <c r="G3448" t="inlineStr">
        <is>
          <t>HÄSSLEHOLM</t>
        </is>
      </c>
      <c r="I3448" t="n">
        <v>0.7</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28849-2026</t>
        </is>
      </c>
      <c r="B3449" t="inlineStr">
        <is>
          <t>avverkningsanmälan</t>
        </is>
      </c>
      <c r="C3449" t="inlineStr">
        <is>
          <t>Föryngringsavverkning</t>
        </is>
      </c>
      <c r="D3449" s="1" t="n">
        <v>46198</v>
      </c>
      <c r="E3449" s="1" t="n">
        <v>46312</v>
      </c>
      <c r="F3449" t="inlineStr">
        <is>
          <t>SKÅNE LÄN</t>
        </is>
      </c>
      <c r="G3449" t="inlineStr">
        <is>
          <t>HÖÖR</t>
        </is>
      </c>
      <c r="I3449" t="n">
        <v>1.5</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14619-2023</t>
        </is>
      </c>
      <c r="B3450" t="inlineStr">
        <is>
          <t>avverkningsanmälan</t>
        </is>
      </c>
      <c r="C3450" t="inlineStr">
        <is>
          <t>Föryngringsavverkning</t>
        </is>
      </c>
      <c r="D3450" s="1" t="n">
        <v>45013</v>
      </c>
      <c r="E3450" s="1" t="n">
        <v>46312</v>
      </c>
      <c r="F3450" t="inlineStr">
        <is>
          <t>SKÅNE LÄN</t>
        </is>
      </c>
      <c r="G3450" t="inlineStr">
        <is>
          <t>KLIPPAN</t>
        </is>
      </c>
      <c r="I3450" t="n">
        <v>0.6</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16476-2026</t>
        </is>
      </c>
      <c r="B3451" t="inlineStr">
        <is>
          <t>avverkningsanmälan</t>
        </is>
      </c>
      <c r="C3451" t="inlineStr">
        <is>
          <t>Föryngringsavverkning</t>
        </is>
      </c>
      <c r="D3451" s="1" t="n">
        <v>46112</v>
      </c>
      <c r="E3451" s="1" t="n">
        <v>46312</v>
      </c>
      <c r="F3451" t="inlineStr">
        <is>
          <t>SKÅNE LÄN</t>
        </is>
      </c>
      <c r="G3451" t="inlineStr">
        <is>
          <t>HÄSSLEHOLM</t>
        </is>
      </c>
      <c r="I3451" t="n">
        <v>1.7</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16363-2026</t>
        </is>
      </c>
      <c r="B3452" t="inlineStr">
        <is>
          <t>avverkningsanmälan</t>
        </is>
      </c>
      <c r="C3452" t="inlineStr">
        <is>
          <t>Föryngringsavverkning</t>
        </is>
      </c>
      <c r="D3452" s="1" t="n">
        <v>46111</v>
      </c>
      <c r="E3452" s="1" t="n">
        <v>46312</v>
      </c>
      <c r="F3452" t="inlineStr">
        <is>
          <t>SKÅNE LÄN</t>
        </is>
      </c>
      <c r="G3452" t="inlineStr">
        <is>
          <t>ÖRKELLJUNGA</t>
        </is>
      </c>
      <c r="I3452" t="n">
        <v>2.8</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16283-2026</t>
        </is>
      </c>
      <c r="B3453" t="inlineStr">
        <is>
          <t>avverkningsanmälan</t>
        </is>
      </c>
      <c r="C3453" t="inlineStr">
        <is>
          <t>Föryngringsavverkning</t>
        </is>
      </c>
      <c r="D3453" s="1" t="n">
        <v>46111</v>
      </c>
      <c r="E3453" s="1" t="n">
        <v>46312</v>
      </c>
      <c r="F3453" t="inlineStr">
        <is>
          <t>SKÅNE LÄN</t>
        </is>
      </c>
      <c r="G3453" t="inlineStr">
        <is>
          <t>ÖRKELLJUNGA</t>
        </is>
      </c>
      <c r="I3453" t="n">
        <v>1.9</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29080-2026</t>
        </is>
      </c>
      <c r="B3454" t="inlineStr">
        <is>
          <t>avverkningsanmälan</t>
        </is>
      </c>
      <c r="C3454" t="inlineStr">
        <is>
          <t>Föryngringsavverkning</t>
        </is>
      </c>
      <c r="D3454" s="1" t="n">
        <v>46199</v>
      </c>
      <c r="E3454" s="1" t="n">
        <v>46312</v>
      </c>
      <c r="F3454" t="inlineStr">
        <is>
          <t>SKÅNE LÄN</t>
        </is>
      </c>
      <c r="G3454" t="inlineStr">
        <is>
          <t>HÄSSLEHOLM</t>
        </is>
      </c>
      <c r="I3454" t="n">
        <v>1.7</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54631-2023</t>
        </is>
      </c>
      <c r="B3455" t="inlineStr">
        <is>
          <t>avverkningsanmälan</t>
        </is>
      </c>
      <c r="C3455" t="inlineStr">
        <is>
          <t>Föryngringsavverkning</t>
        </is>
      </c>
      <c r="D3455" s="1" t="n">
        <v>45228</v>
      </c>
      <c r="E3455" s="1" t="n">
        <v>46312</v>
      </c>
      <c r="F3455" t="inlineStr">
        <is>
          <t>SKÅNE LÄN</t>
        </is>
      </c>
      <c r="G3455" t="inlineStr">
        <is>
          <t>KRISTIANSTAD</t>
        </is>
      </c>
      <c r="I3455" t="n">
        <v>3.3</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54659-2023</t>
        </is>
      </c>
      <c r="B3456" t="inlineStr">
        <is>
          <t>avverkningsanmälan</t>
        </is>
      </c>
      <c r="C3456" t="inlineStr">
        <is>
          <t>Föryngringsavverkning</t>
        </is>
      </c>
      <c r="D3456" s="1" t="n">
        <v>45235</v>
      </c>
      <c r="E3456" s="1" t="n">
        <v>46312</v>
      </c>
      <c r="F3456" t="inlineStr">
        <is>
          <t>SKÅNE LÄN</t>
        </is>
      </c>
      <c r="G3456" t="inlineStr">
        <is>
          <t>HÄSSLEHOLM</t>
        </is>
      </c>
      <c r="I3456" t="n">
        <v>5</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16621-2026</t>
        </is>
      </c>
      <c r="B3457" t="inlineStr">
        <is>
          <t>avverkningsanmälan</t>
        </is>
      </c>
      <c r="C3457" t="inlineStr">
        <is>
          <t>Föryngringsavverkning</t>
        </is>
      </c>
      <c r="D3457" s="1" t="n">
        <v>46112</v>
      </c>
      <c r="E3457" s="1" t="n">
        <v>46312</v>
      </c>
      <c r="F3457" t="inlineStr">
        <is>
          <t>SKÅNE LÄN</t>
        </is>
      </c>
      <c r="G3457" t="inlineStr">
        <is>
          <t>TOMELILLA</t>
        </is>
      </c>
      <c r="H3457" t="inlineStr">
        <is>
          <t>Kommuner</t>
        </is>
      </c>
      <c r="I3457" t="n">
        <v>0.4</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16624-2026</t>
        </is>
      </c>
      <c r="B3458" t="inlineStr">
        <is>
          <t>avverkningsanmälan</t>
        </is>
      </c>
      <c r="C3458" t="inlineStr">
        <is>
          <t>Föryngringsavverkning</t>
        </is>
      </c>
      <c r="D3458" s="1" t="n">
        <v>46112</v>
      </c>
      <c r="E3458" s="1" t="n">
        <v>46312</v>
      </c>
      <c r="F3458" t="inlineStr">
        <is>
          <t>SKÅNE LÄN</t>
        </is>
      </c>
      <c r="G3458" t="inlineStr">
        <is>
          <t>BÅSTAD</t>
        </is>
      </c>
      <c r="I3458" t="n">
        <v>0.7</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3430-2026</t>
        </is>
      </c>
      <c r="B3459" t="inlineStr">
        <is>
          <t>avverkningsanmälan</t>
        </is>
      </c>
      <c r="C3459" t="inlineStr">
        <is>
          <t>Föryngringsavverkning</t>
        </is>
      </c>
      <c r="D3459" s="1" t="n">
        <v>46042</v>
      </c>
      <c r="E3459" s="1" t="n">
        <v>46312</v>
      </c>
      <c r="F3459" t="inlineStr">
        <is>
          <t>SKÅNE LÄN</t>
        </is>
      </c>
      <c r="G3459" t="inlineStr">
        <is>
          <t>SVALÖV</t>
        </is>
      </c>
      <c r="I3459" t="n">
        <v>5.7</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57810-2022</t>
        </is>
      </c>
      <c r="B3460" t="inlineStr">
        <is>
          <t>avverkningsanmälan</t>
        </is>
      </c>
      <c r="C3460" t="inlineStr">
        <is>
          <t>Föryngringsavverkning</t>
        </is>
      </c>
      <c r="D3460" s="1" t="n">
        <v>44897</v>
      </c>
      <c r="E3460" s="1" t="n">
        <v>46312</v>
      </c>
      <c r="F3460" t="inlineStr">
        <is>
          <t>SKÅNE LÄN</t>
        </is>
      </c>
      <c r="G3460" t="inlineStr">
        <is>
          <t>TRELLEBORG</t>
        </is>
      </c>
      <c r="I3460" t="n">
        <v>3.3</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5426-2024</t>
        </is>
      </c>
      <c r="B3461" t="inlineStr">
        <is>
          <t>avverkningsanmälan</t>
        </is>
      </c>
      <c r="C3461" t="inlineStr">
        <is>
          <t>Föryngringsavverkning</t>
        </is>
      </c>
      <c r="D3461" s="1" t="n">
        <v>45331</v>
      </c>
      <c r="E3461" s="1" t="n">
        <v>46312</v>
      </c>
      <c r="F3461" t="inlineStr">
        <is>
          <t>SKÅNE LÄN</t>
        </is>
      </c>
      <c r="G3461" t="inlineStr">
        <is>
          <t>ÖSTRA GÖINGE</t>
        </is>
      </c>
      <c r="I3461" t="n">
        <v>3.5</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15036-2024</t>
        </is>
      </c>
      <c r="B3462" t="inlineStr">
        <is>
          <t>avverkningsanmälan</t>
        </is>
      </c>
      <c r="C3462" t="inlineStr">
        <is>
          <t>Föryngringsavverkning</t>
        </is>
      </c>
      <c r="D3462" s="1" t="n">
        <v>45399</v>
      </c>
      <c r="E3462" s="1" t="n">
        <v>46312</v>
      </c>
      <c r="F3462" t="inlineStr">
        <is>
          <t>SKÅNE LÄN</t>
        </is>
      </c>
      <c r="G3462" t="inlineStr">
        <is>
          <t>HÄSSLEHOLM</t>
        </is>
      </c>
      <c r="I3462" t="n">
        <v>1.6</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28635-2026</t>
        </is>
      </c>
      <c r="B3463" t="inlineStr">
        <is>
          <t>avverkningsanmälan</t>
        </is>
      </c>
      <c r="C3463" t="inlineStr">
        <is>
          <t>Föryngringsavverkning</t>
        </is>
      </c>
      <c r="D3463" s="1" t="n">
        <v>46198</v>
      </c>
      <c r="E3463" s="1" t="n">
        <v>46312</v>
      </c>
      <c r="F3463" t="inlineStr">
        <is>
          <t>SKÅNE LÄN</t>
        </is>
      </c>
      <c r="G3463" t="inlineStr">
        <is>
          <t>HÄSSLEHOLM</t>
        </is>
      </c>
      <c r="I3463" t="n">
        <v>4.6</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35171-2024</t>
        </is>
      </c>
      <c r="B3464" t="inlineStr">
        <is>
          <t>avverkningsanmälan</t>
        </is>
      </c>
      <c r="C3464" t="inlineStr">
        <is>
          <t>Föryngringsavverkning</t>
        </is>
      </c>
      <c r="D3464" s="1" t="n">
        <v>45530</v>
      </c>
      <c r="E3464" s="1" t="n">
        <v>46312</v>
      </c>
      <c r="F3464" t="inlineStr">
        <is>
          <t>SKÅNE LÄN</t>
        </is>
      </c>
      <c r="G3464" t="inlineStr">
        <is>
          <t>ÖSTRA GÖINGE</t>
        </is>
      </c>
      <c r="I3464" t="n">
        <v>0.7</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17778-2024</t>
        </is>
      </c>
      <c r="B3465" t="inlineStr">
        <is>
          <t>avverkningsanmälan</t>
        </is>
      </c>
      <c r="C3465" t="inlineStr">
        <is>
          <t>Föryngringsavverkning</t>
        </is>
      </c>
      <c r="D3465" s="1" t="n">
        <v>45418</v>
      </c>
      <c r="E3465" s="1" t="n">
        <v>46312</v>
      </c>
      <c r="F3465" t="inlineStr">
        <is>
          <t>SKÅNE LÄN</t>
        </is>
      </c>
      <c r="G3465" t="inlineStr">
        <is>
          <t>TOMELILLA</t>
        </is>
      </c>
      <c r="H3465" t="inlineStr">
        <is>
          <t>Övriga Aktiebolag</t>
        </is>
      </c>
      <c r="I3465" t="n">
        <v>2</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9709-2023</t>
        </is>
      </c>
      <c r="B3466" t="inlineStr">
        <is>
          <t>avverkningsanmälan</t>
        </is>
      </c>
      <c r="C3466" t="inlineStr">
        <is>
          <t>Föryngringsavverkning</t>
        </is>
      </c>
      <c r="D3466" s="1" t="n">
        <v>44984</v>
      </c>
      <c r="E3466" s="1" t="n">
        <v>46312</v>
      </c>
      <c r="F3466" t="inlineStr">
        <is>
          <t>SKÅNE LÄN</t>
        </is>
      </c>
      <c r="G3466" t="inlineStr">
        <is>
          <t>HÄSSLEHOLM</t>
        </is>
      </c>
      <c r="I3466" t="n">
        <v>0.6</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25933-2023</t>
        </is>
      </c>
      <c r="B3467" t="inlineStr">
        <is>
          <t>avverkningsanmälan</t>
        </is>
      </c>
      <c r="C3467" t="inlineStr">
        <is>
          <t>Föryngringsavverkning</t>
        </is>
      </c>
      <c r="D3467" s="1" t="n">
        <v>45090</v>
      </c>
      <c r="E3467" s="1" t="n">
        <v>46312</v>
      </c>
      <c r="F3467" t="inlineStr">
        <is>
          <t>SKÅNE LÄN</t>
        </is>
      </c>
      <c r="G3467" t="inlineStr">
        <is>
          <t>ÖSTRA GÖINGE</t>
        </is>
      </c>
      <c r="I3467" t="n">
        <v>12.8</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28640-2026</t>
        </is>
      </c>
      <c r="B3468" t="inlineStr">
        <is>
          <t>avverkningsanmälan</t>
        </is>
      </c>
      <c r="C3468" t="inlineStr">
        <is>
          <t>Föryngringsavverkning</t>
        </is>
      </c>
      <c r="D3468" s="1" t="n">
        <v>46198</v>
      </c>
      <c r="E3468" s="1" t="n">
        <v>46312</v>
      </c>
      <c r="F3468" t="inlineStr">
        <is>
          <t>SKÅNE LÄN</t>
        </is>
      </c>
      <c r="G3468" t="inlineStr">
        <is>
          <t>HÄSSLEHOLM</t>
        </is>
      </c>
      <c r="I3468" t="n">
        <v>2.9</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28645-2026</t>
        </is>
      </c>
      <c r="B3469" t="inlineStr">
        <is>
          <t>avverkningsanmälan</t>
        </is>
      </c>
      <c r="C3469" t="inlineStr">
        <is>
          <t>Föryngringsavverkning</t>
        </is>
      </c>
      <c r="D3469" s="1" t="n">
        <v>46198</v>
      </c>
      <c r="E3469" s="1" t="n">
        <v>46312</v>
      </c>
      <c r="F3469" t="inlineStr">
        <is>
          <t>SKÅNE LÄN</t>
        </is>
      </c>
      <c r="G3469" t="inlineStr">
        <is>
          <t>HÄSSLEHOLM</t>
        </is>
      </c>
      <c r="I3469" t="n">
        <v>2.4</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8524-2024</t>
        </is>
      </c>
      <c r="B3470" t="inlineStr">
        <is>
          <t>avverkningsanmälan</t>
        </is>
      </c>
      <c r="C3470" t="inlineStr">
        <is>
          <t>Föryngringsavverkning</t>
        </is>
      </c>
      <c r="D3470" s="1" t="n">
        <v>45355</v>
      </c>
      <c r="E3470" s="1" t="n">
        <v>46312</v>
      </c>
      <c r="F3470" t="inlineStr">
        <is>
          <t>SKÅNE LÄN</t>
        </is>
      </c>
      <c r="G3470" t="inlineStr">
        <is>
          <t>HÄSSLEHOLM</t>
        </is>
      </c>
      <c r="I3470" t="n">
        <v>4</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9803-2026</t>
        </is>
      </c>
      <c r="B3471" t="inlineStr">
        <is>
          <t>avverkningsanmälan</t>
        </is>
      </c>
      <c r="C3471" t="inlineStr">
        <is>
          <t>Föryngringsavverkning</t>
        </is>
      </c>
      <c r="D3471" s="1" t="n">
        <v>46072</v>
      </c>
      <c r="E3471" s="1" t="n">
        <v>46312</v>
      </c>
      <c r="F3471" t="inlineStr">
        <is>
          <t>SKÅNE LÄN</t>
        </is>
      </c>
      <c r="G3471" t="inlineStr">
        <is>
          <t>ÄNGELHOLM</t>
        </is>
      </c>
      <c r="I3471" t="n">
        <v>5</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17511-2026</t>
        </is>
      </c>
      <c r="B3472" t="inlineStr">
        <is>
          <t>avverkningsanmälan</t>
        </is>
      </c>
      <c r="C3472" t="inlineStr">
        <is>
          <t>Föryngringsavverkning</t>
        </is>
      </c>
      <c r="D3472" s="1" t="n">
        <v>46120</v>
      </c>
      <c r="E3472" s="1" t="n">
        <v>46312</v>
      </c>
      <c r="F3472" t="inlineStr">
        <is>
          <t>SKÅNE LÄN</t>
        </is>
      </c>
      <c r="G3472" t="inlineStr">
        <is>
          <t>KRISTIANSTAD</t>
        </is>
      </c>
      <c r="H3472" t="inlineStr">
        <is>
          <t>Sveaskog</t>
        </is>
      </c>
      <c r="I3472" t="n">
        <v>0.6</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27454-2024</t>
        </is>
      </c>
      <c r="B3473" t="inlineStr">
        <is>
          <t>avverkningsanmälan</t>
        </is>
      </c>
      <c r="C3473" t="inlineStr">
        <is>
          <t>Föryngringsavverkning</t>
        </is>
      </c>
      <c r="D3473" s="1" t="n">
        <v>45474</v>
      </c>
      <c r="E3473" s="1" t="n">
        <v>46312</v>
      </c>
      <c r="F3473" t="inlineStr">
        <is>
          <t>SKÅNE LÄN</t>
        </is>
      </c>
      <c r="G3473" t="inlineStr">
        <is>
          <t>KLIPPAN</t>
        </is>
      </c>
      <c r="I3473" t="n">
        <v>0.7</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23621-2026</t>
        </is>
      </c>
      <c r="B3474" t="inlineStr">
        <is>
          <t>avverkningsanmälan</t>
        </is>
      </c>
      <c r="C3474" t="inlineStr">
        <is>
          <t>Föryngringsavverkning</t>
        </is>
      </c>
      <c r="D3474" s="1" t="n">
        <v>46162</v>
      </c>
      <c r="E3474" s="1" t="n">
        <v>46312</v>
      </c>
      <c r="F3474" t="inlineStr">
        <is>
          <t>SKÅNE LÄN</t>
        </is>
      </c>
      <c r="G3474" t="inlineStr">
        <is>
          <t>TOMELILLA</t>
        </is>
      </c>
      <c r="I3474" t="n">
        <v>3.8</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8750-2024</t>
        </is>
      </c>
      <c r="B3475" t="inlineStr">
        <is>
          <t>avverkningsanmälan</t>
        </is>
      </c>
      <c r="C3475" t="inlineStr">
        <is>
          <t>Föryngringsavverkning</t>
        </is>
      </c>
      <c r="D3475" s="1" t="n">
        <v>45343</v>
      </c>
      <c r="E3475" s="1" t="n">
        <v>46312</v>
      </c>
      <c r="F3475" t="inlineStr">
        <is>
          <t>SKÅNE LÄN</t>
        </is>
      </c>
      <c r="G3475" t="inlineStr">
        <is>
          <t>KRISTIANSTAD</t>
        </is>
      </c>
      <c r="H3475" t="inlineStr">
        <is>
          <t>Sveaskog</t>
        </is>
      </c>
      <c r="I3475" t="n">
        <v>1.2</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17515-2026</t>
        </is>
      </c>
      <c r="B3476" t="inlineStr">
        <is>
          <t>avverkningsanmälan</t>
        </is>
      </c>
      <c r="C3476" t="inlineStr">
        <is>
          <t>Föryngringsavverkning</t>
        </is>
      </c>
      <c r="D3476" s="1" t="n">
        <v>46120</v>
      </c>
      <c r="E3476" s="1" t="n">
        <v>46312</v>
      </c>
      <c r="F3476" t="inlineStr">
        <is>
          <t>SKÅNE LÄN</t>
        </is>
      </c>
      <c r="G3476" t="inlineStr">
        <is>
          <t>KRISTIANSTAD</t>
        </is>
      </c>
      <c r="H3476" t="inlineStr">
        <is>
          <t>Sveaskog</t>
        </is>
      </c>
      <c r="I3476" t="n">
        <v>3.1</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17534-2026</t>
        </is>
      </c>
      <c r="B3477" t="inlineStr">
        <is>
          <t>avverkningsanmälan</t>
        </is>
      </c>
      <c r="C3477" t="inlineStr">
        <is>
          <t>Föryngringsavverkning</t>
        </is>
      </c>
      <c r="D3477" s="1" t="n">
        <v>46120</v>
      </c>
      <c r="E3477" s="1" t="n">
        <v>46312</v>
      </c>
      <c r="F3477" t="inlineStr">
        <is>
          <t>SKÅNE LÄN</t>
        </is>
      </c>
      <c r="G3477" t="inlineStr">
        <is>
          <t>KRISTIANSTAD</t>
        </is>
      </c>
      <c r="H3477" t="inlineStr">
        <is>
          <t>Sveaskog</t>
        </is>
      </c>
      <c r="I3477" t="n">
        <v>9.199999999999999</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11669-2023</t>
        </is>
      </c>
      <c r="B3478" t="inlineStr">
        <is>
          <t>avverkningsanmälan</t>
        </is>
      </c>
      <c r="C3478" t="inlineStr">
        <is>
          <t>Föryngringsavverkning</t>
        </is>
      </c>
      <c r="D3478" s="1" t="n">
        <v>44992</v>
      </c>
      <c r="E3478" s="1" t="n">
        <v>46312</v>
      </c>
      <c r="F3478" t="inlineStr">
        <is>
          <t>SKÅNE LÄN</t>
        </is>
      </c>
      <c r="G3478" t="inlineStr">
        <is>
          <t>PERSTORP</t>
        </is>
      </c>
      <c r="H3478" t="inlineStr">
        <is>
          <t>Övriga Aktiebolag</t>
        </is>
      </c>
      <c r="I3478" t="n">
        <v>1.8</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62117-2022</t>
        </is>
      </c>
      <c r="B3479" t="inlineStr">
        <is>
          <t>avverkningsanmälan</t>
        </is>
      </c>
      <c r="C3479" t="inlineStr">
        <is>
          <t>Föryngringsavverkning</t>
        </is>
      </c>
      <c r="D3479" s="1" t="n">
        <v>44921</v>
      </c>
      <c r="E3479" s="1" t="n">
        <v>46312</v>
      </c>
      <c r="F3479" t="inlineStr">
        <is>
          <t>SKÅNE LÄN</t>
        </is>
      </c>
      <c r="G3479" t="inlineStr">
        <is>
          <t>OSBY</t>
        </is>
      </c>
      <c r="I3479" t="n">
        <v>0.5</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29138-2026</t>
        </is>
      </c>
      <c r="B3480" t="inlineStr">
        <is>
          <t>avverkningsanmälan</t>
        </is>
      </c>
      <c r="C3480" t="inlineStr">
        <is>
          <t>Avverkning för att bevara och utveckla /försöksver</t>
        </is>
      </c>
      <c r="D3480" s="1" t="n">
        <v>46202</v>
      </c>
      <c r="E3480" s="1" t="n">
        <v>46312</v>
      </c>
      <c r="F3480" t="inlineStr">
        <is>
          <t>SKÅNE LÄN</t>
        </is>
      </c>
      <c r="G3480" t="inlineStr">
        <is>
          <t>HÖRBY</t>
        </is>
      </c>
      <c r="H3480" t="inlineStr">
        <is>
          <t>Sveaskog</t>
        </is>
      </c>
      <c r="I3480" t="n">
        <v>4.2</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11335-2023</t>
        </is>
      </c>
      <c r="B3481" t="inlineStr">
        <is>
          <t>avverkningsanmälan</t>
        </is>
      </c>
      <c r="C3481" t="inlineStr">
        <is>
          <t>Föryngringsavverkning</t>
        </is>
      </c>
      <c r="D3481" s="1" t="n">
        <v>44993</v>
      </c>
      <c r="E3481" s="1" t="n">
        <v>46312</v>
      </c>
      <c r="F3481" t="inlineStr">
        <is>
          <t>SKÅNE LÄN</t>
        </is>
      </c>
      <c r="G3481" t="inlineStr">
        <is>
          <t>KLIPPAN</t>
        </is>
      </c>
      <c r="I3481" t="n">
        <v>1.3</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28926-2026</t>
        </is>
      </c>
      <c r="B3482" t="inlineStr">
        <is>
          <t>avverkningsanmälan</t>
        </is>
      </c>
      <c r="C3482" t="inlineStr">
        <is>
          <t>Föryngringsavverkning</t>
        </is>
      </c>
      <c r="D3482" s="1" t="n">
        <v>46199</v>
      </c>
      <c r="E3482" s="1" t="n">
        <v>46312</v>
      </c>
      <c r="F3482" t="inlineStr">
        <is>
          <t>SKÅNE LÄN</t>
        </is>
      </c>
      <c r="G3482" t="inlineStr">
        <is>
          <t>OSBY</t>
        </is>
      </c>
      <c r="I3482" t="n">
        <v>0.6</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23987-2024</t>
        </is>
      </c>
      <c r="B3483" t="inlineStr">
        <is>
          <t>avverkningsanmälan</t>
        </is>
      </c>
      <c r="C3483" t="inlineStr">
        <is>
          <t>Avverkning för annat ändamål</t>
        </is>
      </c>
      <c r="D3483" s="1" t="n">
        <v>45456</v>
      </c>
      <c r="E3483" s="1" t="n">
        <v>46312</v>
      </c>
      <c r="F3483" t="inlineStr">
        <is>
          <t>SKÅNE LÄN</t>
        </is>
      </c>
      <c r="G3483" t="inlineStr">
        <is>
          <t>HÄSSLEHOLM</t>
        </is>
      </c>
      <c r="I3483" t="n">
        <v>0.8</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17514-2026</t>
        </is>
      </c>
      <c r="B3484" t="inlineStr">
        <is>
          <t>avverkningsanmälan</t>
        </is>
      </c>
      <c r="C3484" t="inlineStr">
        <is>
          <t>Föryngringsavverkning</t>
        </is>
      </c>
      <c r="D3484" s="1" t="n">
        <v>46120</v>
      </c>
      <c r="E3484" s="1" t="n">
        <v>46312</v>
      </c>
      <c r="F3484" t="inlineStr">
        <is>
          <t>SKÅNE LÄN</t>
        </is>
      </c>
      <c r="G3484" t="inlineStr">
        <is>
          <t>KRISTIANSTAD</t>
        </is>
      </c>
      <c r="H3484" t="inlineStr">
        <is>
          <t>Sveaskog</t>
        </is>
      </c>
      <c r="I3484" t="n">
        <v>1</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4042-2023</t>
        </is>
      </c>
      <c r="B3485" t="inlineStr">
        <is>
          <t>avverkningsanmälan</t>
        </is>
      </c>
      <c r="C3485" t="inlineStr">
        <is>
          <t>Föryngringsavverkning</t>
        </is>
      </c>
      <c r="D3485" s="1" t="n">
        <v>44952</v>
      </c>
      <c r="E3485" s="1" t="n">
        <v>46312</v>
      </c>
      <c r="F3485" t="inlineStr">
        <is>
          <t>SKÅNE LÄN</t>
        </is>
      </c>
      <c r="G3485" t="inlineStr">
        <is>
          <t>HÄSSLEHOLM</t>
        </is>
      </c>
      <c r="I3485" t="n">
        <v>2.7</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18696-2026</t>
        </is>
      </c>
      <c r="B3486" t="inlineStr">
        <is>
          <t>avverkningsanmälan</t>
        </is>
      </c>
      <c r="C3486" t="inlineStr">
        <is>
          <t>Föryngringsavverkning</t>
        </is>
      </c>
      <c r="D3486" s="1" t="n">
        <v>46128</v>
      </c>
      <c r="E3486" s="1" t="n">
        <v>46312</v>
      </c>
      <c r="F3486" t="inlineStr">
        <is>
          <t>SKÅNE LÄN</t>
        </is>
      </c>
      <c r="G3486" t="inlineStr">
        <is>
          <t>HÖÖR</t>
        </is>
      </c>
      <c r="I3486" t="n">
        <v>3.8</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13363-2023</t>
        </is>
      </c>
      <c r="B3487" t="inlineStr">
        <is>
          <t>avverkningsanmälan</t>
        </is>
      </c>
      <c r="C3487" t="inlineStr">
        <is>
          <t>Föryngringsavverkning</t>
        </is>
      </c>
      <c r="D3487" s="1" t="n">
        <v>45005</v>
      </c>
      <c r="E3487" s="1" t="n">
        <v>46312</v>
      </c>
      <c r="F3487" t="inlineStr">
        <is>
          <t>SKÅNE LÄN</t>
        </is>
      </c>
      <c r="G3487" t="inlineStr">
        <is>
          <t>KLIPPAN</t>
        </is>
      </c>
      <c r="H3487" t="inlineStr">
        <is>
          <t>Övriga Aktiebolag</t>
        </is>
      </c>
      <c r="I3487" t="n">
        <v>0.6</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29338-2026</t>
        </is>
      </c>
      <c r="B3488" t="inlineStr">
        <is>
          <t>avverkningsanmälan</t>
        </is>
      </c>
      <c r="C3488" t="inlineStr">
        <is>
          <t>Föryngringsavverkning</t>
        </is>
      </c>
      <c r="D3488" s="1" t="n">
        <v>46202</v>
      </c>
      <c r="E3488" s="1" t="n">
        <v>46312</v>
      </c>
      <c r="F3488" t="inlineStr">
        <is>
          <t>SKÅNE LÄN</t>
        </is>
      </c>
      <c r="G3488" t="inlineStr">
        <is>
          <t>KLIPPAN</t>
        </is>
      </c>
      <c r="I3488" t="n">
        <v>0.9</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32008-2024</t>
        </is>
      </c>
      <c r="B3489" t="inlineStr">
        <is>
          <t>avverkningsanmälan</t>
        </is>
      </c>
      <c r="C3489" t="inlineStr">
        <is>
          <t>Föryngringsavverkning</t>
        </is>
      </c>
      <c r="D3489" s="1" t="n">
        <v>45510</v>
      </c>
      <c r="E3489" s="1" t="n">
        <v>46312</v>
      </c>
      <c r="F3489" t="inlineStr">
        <is>
          <t>SKÅNE LÄN</t>
        </is>
      </c>
      <c r="G3489" t="inlineStr">
        <is>
          <t>HÄSSLEHOLM</t>
        </is>
      </c>
      <c r="I3489" t="n">
        <v>5.1</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17608-2026</t>
        </is>
      </c>
      <c r="B3490" t="inlineStr">
        <is>
          <t>avverkningsanmälan</t>
        </is>
      </c>
      <c r="C3490" t="inlineStr">
        <is>
          <t>Föryngringsavverkning</t>
        </is>
      </c>
      <c r="D3490" s="1" t="n">
        <v>46121</v>
      </c>
      <c r="E3490" s="1" t="n">
        <v>46312</v>
      </c>
      <c r="F3490" t="inlineStr">
        <is>
          <t>SKÅNE LÄN</t>
        </is>
      </c>
      <c r="G3490" t="inlineStr">
        <is>
          <t>ÖRKELLJUNGA</t>
        </is>
      </c>
      <c r="I3490" t="n">
        <v>1.1</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31160-2024</t>
        </is>
      </c>
      <c r="B3491" t="inlineStr">
        <is>
          <t>avverkningsanmälan</t>
        </is>
      </c>
      <c r="C3491" t="inlineStr">
        <is>
          <t>Föryngringsavverkning</t>
        </is>
      </c>
      <c r="D3491" s="1" t="n">
        <v>45503</v>
      </c>
      <c r="E3491" s="1" t="n">
        <v>46312</v>
      </c>
      <c r="F3491" t="inlineStr">
        <is>
          <t>SKÅNE LÄN</t>
        </is>
      </c>
      <c r="G3491" t="inlineStr">
        <is>
          <t>HÄSSLEHOLM</t>
        </is>
      </c>
      <c r="I3491" t="n">
        <v>0.9</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5054-2022</t>
        </is>
      </c>
      <c r="B3492" t="inlineStr">
        <is>
          <t>avverkningsanmälan</t>
        </is>
      </c>
      <c r="C3492" t="inlineStr">
        <is>
          <t>Föryngringsavverkning</t>
        </is>
      </c>
      <c r="D3492" s="1" t="n">
        <v>44593</v>
      </c>
      <c r="E3492" s="1" t="n">
        <v>46312</v>
      </c>
      <c r="F3492" t="inlineStr">
        <is>
          <t>SKÅNE LÄN</t>
        </is>
      </c>
      <c r="G3492" t="inlineStr">
        <is>
          <t>HÄSSLEHOLM</t>
        </is>
      </c>
      <c r="I3492" t="n">
        <v>0.6</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5098-2022</t>
        </is>
      </c>
      <c r="B3493" t="inlineStr">
        <is>
          <t>avverkningsanmälan</t>
        </is>
      </c>
      <c r="C3493" t="inlineStr">
        <is>
          <t>Föryngringsavverkning</t>
        </is>
      </c>
      <c r="D3493" s="1" t="n">
        <v>44593</v>
      </c>
      <c r="E3493" s="1" t="n">
        <v>46312</v>
      </c>
      <c r="F3493" t="inlineStr">
        <is>
          <t>SKÅNE LÄN</t>
        </is>
      </c>
      <c r="G3493" t="inlineStr">
        <is>
          <t>ÖSTRA GÖINGE</t>
        </is>
      </c>
      <c r="I3493" t="n">
        <v>5.8</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5138-2022</t>
        </is>
      </c>
      <c r="B3494" t="inlineStr">
        <is>
          <t>avverkningsanmälan</t>
        </is>
      </c>
      <c r="C3494" t="inlineStr">
        <is>
          <t>Föryngringsavverkning</t>
        </is>
      </c>
      <c r="D3494" s="1" t="n">
        <v>44594</v>
      </c>
      <c r="E3494" s="1" t="n">
        <v>46312</v>
      </c>
      <c r="F3494" t="inlineStr">
        <is>
          <t>SKÅNE LÄN</t>
        </is>
      </c>
      <c r="G3494" t="inlineStr">
        <is>
          <t>HÖÖR</t>
        </is>
      </c>
      <c r="I3494" t="n">
        <v>0.9</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5151-2022</t>
        </is>
      </c>
      <c r="B3495" t="inlineStr">
        <is>
          <t>avverkningsanmälan</t>
        </is>
      </c>
      <c r="C3495" t="inlineStr">
        <is>
          <t>Föryngringsavverkning</t>
        </is>
      </c>
      <c r="D3495" s="1" t="n">
        <v>44593</v>
      </c>
      <c r="E3495" s="1" t="n">
        <v>46312</v>
      </c>
      <c r="F3495" t="inlineStr">
        <is>
          <t>SKÅNE LÄN</t>
        </is>
      </c>
      <c r="G3495" t="inlineStr">
        <is>
          <t>KLIPPAN</t>
        </is>
      </c>
      <c r="I3495" t="n">
        <v>6.5</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44675-2024</t>
        </is>
      </c>
      <c r="B3496" t="inlineStr">
        <is>
          <t>avverkningsanmälan</t>
        </is>
      </c>
      <c r="C3496" t="inlineStr">
        <is>
          <t>Avverkning för att bevara och utveckla /försöksver</t>
        </is>
      </c>
      <c r="D3496" s="1" t="n">
        <v>45574</v>
      </c>
      <c r="E3496" s="1" t="n">
        <v>46312</v>
      </c>
      <c r="F3496" t="inlineStr">
        <is>
          <t>SKÅNE LÄN</t>
        </is>
      </c>
      <c r="G3496" t="inlineStr">
        <is>
          <t>TOMELILLA</t>
        </is>
      </c>
      <c r="H3496" t="inlineStr">
        <is>
          <t>Sveaskog</t>
        </is>
      </c>
      <c r="I3496" t="n">
        <v>11.2</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30211-2023</t>
        </is>
      </c>
      <c r="B3497" t="inlineStr">
        <is>
          <t>avverkningsanmälan</t>
        </is>
      </c>
      <c r="C3497" t="inlineStr">
        <is>
          <t>Föryngringsavverkning</t>
        </is>
      </c>
      <c r="D3497" s="1" t="n">
        <v>45110</v>
      </c>
      <c r="E3497" s="1" t="n">
        <v>46312</v>
      </c>
      <c r="F3497" t="inlineStr">
        <is>
          <t>SKÅNE LÄN</t>
        </is>
      </c>
      <c r="G3497" t="inlineStr">
        <is>
          <t>OSBY</t>
        </is>
      </c>
      <c r="I3497" t="n">
        <v>2.9</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17693-2026</t>
        </is>
      </c>
      <c r="B3498" t="inlineStr">
        <is>
          <t>avverkningsanmälan</t>
        </is>
      </c>
      <c r="C3498" t="inlineStr">
        <is>
          <t>Avverkning för annat ändamål</t>
        </is>
      </c>
      <c r="D3498" s="1" t="n">
        <v>46121</v>
      </c>
      <c r="E3498" s="1" t="n">
        <v>46312</v>
      </c>
      <c r="F3498" t="inlineStr">
        <is>
          <t>SKÅNE LÄN</t>
        </is>
      </c>
      <c r="G3498" t="inlineStr">
        <is>
          <t>HÖÖR</t>
        </is>
      </c>
      <c r="I3498" t="n">
        <v>1</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29124-2026</t>
        </is>
      </c>
      <c r="B3499" t="inlineStr">
        <is>
          <t>avverkningsanmälan</t>
        </is>
      </c>
      <c r="C3499" t="inlineStr">
        <is>
          <t>Föryngringsavverkning</t>
        </is>
      </c>
      <c r="D3499" s="1" t="n">
        <v>46202</v>
      </c>
      <c r="E3499" s="1" t="n">
        <v>46312</v>
      </c>
      <c r="F3499" t="inlineStr">
        <is>
          <t>SKÅNE LÄN</t>
        </is>
      </c>
      <c r="G3499" t="inlineStr">
        <is>
          <t>HÖRBY</t>
        </is>
      </c>
      <c r="I3499" t="n">
        <v>2.9</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29135-2026</t>
        </is>
      </c>
      <c r="B3500" t="inlineStr">
        <is>
          <t>avverkningsanmälan</t>
        </is>
      </c>
      <c r="C3500" t="inlineStr">
        <is>
          <t>Avverkning för att bevara och utveckla /försöksver</t>
        </is>
      </c>
      <c r="D3500" s="1" t="n">
        <v>46202</v>
      </c>
      <c r="E3500" s="1" t="n">
        <v>46312</v>
      </c>
      <c r="F3500" t="inlineStr">
        <is>
          <t>SKÅNE LÄN</t>
        </is>
      </c>
      <c r="G3500" t="inlineStr">
        <is>
          <t>HÖRBY</t>
        </is>
      </c>
      <c r="H3500" t="inlineStr">
        <is>
          <t>Sveaskog</t>
        </is>
      </c>
      <c r="I3500" t="n">
        <v>4.7</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29137-2026</t>
        </is>
      </c>
      <c r="B3501" t="inlineStr">
        <is>
          <t>avverkningsanmälan</t>
        </is>
      </c>
      <c r="C3501" t="inlineStr">
        <is>
          <t>Avverkning för att bevara och utveckla /försöksver</t>
        </is>
      </c>
      <c r="D3501" s="1" t="n">
        <v>46202</v>
      </c>
      <c r="E3501" s="1" t="n">
        <v>46312</v>
      </c>
      <c r="F3501" t="inlineStr">
        <is>
          <t>SKÅNE LÄN</t>
        </is>
      </c>
      <c r="G3501" t="inlineStr">
        <is>
          <t>HÖRBY</t>
        </is>
      </c>
      <c r="H3501" t="inlineStr">
        <is>
          <t>Sveaskog</t>
        </is>
      </c>
      <c r="I3501" t="n">
        <v>7.8</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31391-2023</t>
        </is>
      </c>
      <c r="B3502" t="inlineStr">
        <is>
          <t>avverkningsanmälan</t>
        </is>
      </c>
      <c r="C3502" t="inlineStr">
        <is>
          <t>Föryngringsavverkning</t>
        </is>
      </c>
      <c r="D3502" s="1" t="n">
        <v>45114</v>
      </c>
      <c r="E3502" s="1" t="n">
        <v>46312</v>
      </c>
      <c r="F3502" t="inlineStr">
        <is>
          <t>SKÅNE LÄN</t>
        </is>
      </c>
      <c r="G3502" t="inlineStr">
        <is>
          <t>HÄSSLEHOLM</t>
        </is>
      </c>
      <c r="I3502" t="n">
        <v>3.1</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31403-2023</t>
        </is>
      </c>
      <c r="B3503" t="inlineStr">
        <is>
          <t>avverkningsanmälan</t>
        </is>
      </c>
      <c r="C3503" t="inlineStr">
        <is>
          <t>Föryngringsavverkning</t>
        </is>
      </c>
      <c r="D3503" s="1" t="n">
        <v>45114</v>
      </c>
      <c r="E3503" s="1" t="n">
        <v>46312</v>
      </c>
      <c r="F3503" t="inlineStr">
        <is>
          <t>SKÅNE LÄN</t>
        </is>
      </c>
      <c r="G3503" t="inlineStr">
        <is>
          <t>SJÖBO</t>
        </is>
      </c>
      <c r="I3503" t="n">
        <v>1.1</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23723-2023</t>
        </is>
      </c>
      <c r="B3504" t="inlineStr">
        <is>
          <t>avverkningsanmälan</t>
        </is>
      </c>
      <c r="C3504" t="inlineStr">
        <is>
          <t>Föryngringsavverkning</t>
        </is>
      </c>
      <c r="D3504" s="1" t="n">
        <v>45077</v>
      </c>
      <c r="E3504" s="1" t="n">
        <v>46312</v>
      </c>
      <c r="F3504" t="inlineStr">
        <is>
          <t>SKÅNE LÄN</t>
        </is>
      </c>
      <c r="G3504" t="inlineStr">
        <is>
          <t>HÄSSLEHOLM</t>
        </is>
      </c>
      <c r="I3504" t="n">
        <v>3.9</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23741-2023</t>
        </is>
      </c>
      <c r="B3505" t="inlineStr">
        <is>
          <t>avverkningsanmälan</t>
        </is>
      </c>
      <c r="C3505" t="inlineStr">
        <is>
          <t>Föryngringsavverkning</t>
        </is>
      </c>
      <c r="D3505" s="1" t="n">
        <v>45077</v>
      </c>
      <c r="E3505" s="1" t="n">
        <v>46312</v>
      </c>
      <c r="F3505" t="inlineStr">
        <is>
          <t>SKÅNE LÄN</t>
        </is>
      </c>
      <c r="G3505" t="inlineStr">
        <is>
          <t>KLIPPAN</t>
        </is>
      </c>
      <c r="I3505" t="n">
        <v>0.7</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61926-2023</t>
        </is>
      </c>
      <c r="B3506" t="inlineStr">
        <is>
          <t>avverkningsanmälan</t>
        </is>
      </c>
      <c r="C3506" t="inlineStr">
        <is>
          <t>Föryngringsavverkning</t>
        </is>
      </c>
      <c r="D3506" s="1" t="n">
        <v>45266</v>
      </c>
      <c r="E3506" s="1" t="n">
        <v>46312</v>
      </c>
      <c r="F3506" t="inlineStr">
        <is>
          <t>SKÅNE LÄN</t>
        </is>
      </c>
      <c r="G3506" t="inlineStr">
        <is>
          <t>ÖSTRA GÖINGE</t>
        </is>
      </c>
      <c r="I3506" t="n">
        <v>1.9</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18524-2023</t>
        </is>
      </c>
      <c r="B3507" t="inlineStr">
        <is>
          <t>avverkningsanmälan</t>
        </is>
      </c>
      <c r="C3507" t="inlineStr">
        <is>
          <t>Föryngringsavverkning</t>
        </is>
      </c>
      <c r="D3507" s="1" t="n">
        <v>45042</v>
      </c>
      <c r="E3507" s="1" t="n">
        <v>46312</v>
      </c>
      <c r="F3507" t="inlineStr">
        <is>
          <t>SKÅNE LÄN</t>
        </is>
      </c>
      <c r="G3507" t="inlineStr">
        <is>
          <t>KRISTIANSTAD</t>
        </is>
      </c>
      <c r="I3507" t="n">
        <v>1.2</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18281-2026</t>
        </is>
      </c>
      <c r="B3508" t="inlineStr">
        <is>
          <t>avverkningsanmälan</t>
        </is>
      </c>
      <c r="C3508" t="inlineStr">
        <is>
          <t>Föryngringsavverkning</t>
        </is>
      </c>
      <c r="D3508" s="1" t="n">
        <v>46125</v>
      </c>
      <c r="E3508" s="1" t="n">
        <v>46312</v>
      </c>
      <c r="F3508" t="inlineStr">
        <is>
          <t>SKÅNE LÄN</t>
        </is>
      </c>
      <c r="G3508" t="inlineStr">
        <is>
          <t>ESLÖV</t>
        </is>
      </c>
      <c r="I3508" t="n">
        <v>0.8</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29105-2026</t>
        </is>
      </c>
      <c r="B3509" t="inlineStr">
        <is>
          <t>avverkningsanmälan</t>
        </is>
      </c>
      <c r="C3509" t="inlineStr">
        <is>
          <t>Föryngringsavverkning</t>
        </is>
      </c>
      <c r="D3509" s="1" t="n">
        <v>46200</v>
      </c>
      <c r="E3509" s="1" t="n">
        <v>46312</v>
      </c>
      <c r="F3509" t="inlineStr">
        <is>
          <t>SKÅNE LÄN</t>
        </is>
      </c>
      <c r="G3509" t="inlineStr">
        <is>
          <t>OSBY</t>
        </is>
      </c>
      <c r="I3509" t="n">
        <v>1.2</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576-2024</t>
        </is>
      </c>
      <c r="B3510" t="inlineStr">
        <is>
          <t>avverkningsanmälan</t>
        </is>
      </c>
      <c r="C3510" t="inlineStr">
        <is>
          <t>Föryngringsavverkning</t>
        </is>
      </c>
      <c r="D3510" s="1" t="n">
        <v>45299</v>
      </c>
      <c r="E3510" s="1" t="n">
        <v>46312</v>
      </c>
      <c r="F3510" t="inlineStr">
        <is>
          <t>SKÅNE LÄN</t>
        </is>
      </c>
      <c r="G3510" t="inlineStr">
        <is>
          <t>BROMÖLLA</t>
        </is>
      </c>
      <c r="I3510" t="n">
        <v>1.3</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18406-2026</t>
        </is>
      </c>
      <c r="B3511" t="inlineStr">
        <is>
          <t>avverkningsanmälan</t>
        </is>
      </c>
      <c r="C3511" t="inlineStr">
        <is>
          <t>Föryngringsavverkning</t>
        </is>
      </c>
      <c r="D3511" s="1" t="n">
        <v>46126</v>
      </c>
      <c r="E3511" s="1" t="n">
        <v>46312</v>
      </c>
      <c r="F3511" t="inlineStr">
        <is>
          <t>SKÅNE LÄN</t>
        </is>
      </c>
      <c r="G3511" t="inlineStr">
        <is>
          <t>OSBY</t>
        </is>
      </c>
      <c r="I3511" t="n">
        <v>1.2</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29083-2026</t>
        </is>
      </c>
      <c r="B3512" t="inlineStr">
        <is>
          <t>avverkningsanmälan</t>
        </is>
      </c>
      <c r="C3512" t="inlineStr">
        <is>
          <t>Föryngringsavverkning</t>
        </is>
      </c>
      <c r="D3512" s="1" t="n">
        <v>46199</v>
      </c>
      <c r="E3512" s="1" t="n">
        <v>46312</v>
      </c>
      <c r="F3512" t="inlineStr">
        <is>
          <t>SKÅNE LÄN</t>
        </is>
      </c>
      <c r="G3512" t="inlineStr">
        <is>
          <t>OSBY</t>
        </is>
      </c>
      <c r="I3512" t="n">
        <v>1.5</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29169-2026</t>
        </is>
      </c>
      <c r="B3513" t="inlineStr">
        <is>
          <t>avverkningsanmälan</t>
        </is>
      </c>
      <c r="C3513" t="inlineStr">
        <is>
          <t>Föryngringsavverkning</t>
        </is>
      </c>
      <c r="D3513" s="1" t="n">
        <v>46202</v>
      </c>
      <c r="E3513" s="1" t="n">
        <v>46312</v>
      </c>
      <c r="F3513" t="inlineStr">
        <is>
          <t>SKÅNE LÄN</t>
        </is>
      </c>
      <c r="G3513" t="inlineStr">
        <is>
          <t>KRISTIANSTAD</t>
        </is>
      </c>
      <c r="I3513" t="n">
        <v>0.9</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35986-2022</t>
        </is>
      </c>
      <c r="B3514" t="inlineStr">
        <is>
          <t>avverkningsanmälan</t>
        </is>
      </c>
      <c r="C3514" t="inlineStr">
        <is>
          <t>Föryngringsavverkning</t>
        </is>
      </c>
      <c r="D3514" s="1" t="n">
        <v>44802</v>
      </c>
      <c r="E3514" s="1" t="n">
        <v>46312</v>
      </c>
      <c r="F3514" t="inlineStr">
        <is>
          <t>SKÅNE LÄN</t>
        </is>
      </c>
      <c r="G3514" t="inlineStr">
        <is>
          <t>OSBY</t>
        </is>
      </c>
      <c r="I3514" t="n">
        <v>2.6</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1943-2025</t>
        </is>
      </c>
      <c r="B3515" t="inlineStr">
        <is>
          <t>avverkningsanmälan</t>
        </is>
      </c>
      <c r="C3515" t="inlineStr">
        <is>
          <t>Föryngringsavverkning</t>
        </is>
      </c>
      <c r="D3515" s="1" t="n">
        <v>45672</v>
      </c>
      <c r="E3515" s="1" t="n">
        <v>46312</v>
      </c>
      <c r="F3515" t="inlineStr">
        <is>
          <t>SKÅNE LÄN</t>
        </is>
      </c>
      <c r="G3515" t="inlineStr">
        <is>
          <t>KRISTIANSTAD</t>
        </is>
      </c>
      <c r="I3515" t="n">
        <v>3.1</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7402-2026</t>
        </is>
      </c>
      <c r="B3516" t="inlineStr">
        <is>
          <t>avverkningsanmälan</t>
        </is>
      </c>
      <c r="C3516" t="inlineStr">
        <is>
          <t>Föryngringsavverkning</t>
        </is>
      </c>
      <c r="D3516" s="1" t="n">
        <v>46059</v>
      </c>
      <c r="E3516" s="1" t="n">
        <v>46312</v>
      </c>
      <c r="F3516" t="inlineStr">
        <is>
          <t>SKÅNE LÄN</t>
        </is>
      </c>
      <c r="G3516" t="inlineStr">
        <is>
          <t>HÖRBY</t>
        </is>
      </c>
      <c r="I3516" t="n">
        <v>4.7</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29337-2026</t>
        </is>
      </c>
      <c r="B3517" t="inlineStr">
        <is>
          <t>avverkningsanmälan</t>
        </is>
      </c>
      <c r="C3517" t="inlineStr">
        <is>
          <t>Föryngringsavverkning</t>
        </is>
      </c>
      <c r="D3517" s="1" t="n">
        <v>46202</v>
      </c>
      <c r="E3517" s="1" t="n">
        <v>46312</v>
      </c>
      <c r="F3517" t="inlineStr">
        <is>
          <t>SKÅNE LÄN</t>
        </is>
      </c>
      <c r="G3517" t="inlineStr">
        <is>
          <t>SVALÖV</t>
        </is>
      </c>
      <c r="I3517" t="n">
        <v>2</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31933-2024</t>
        </is>
      </c>
      <c r="B3518" t="inlineStr">
        <is>
          <t>avverkningsanmälan</t>
        </is>
      </c>
      <c r="C3518" t="inlineStr">
        <is>
          <t>Föryngringsavverkning</t>
        </is>
      </c>
      <c r="D3518" s="1" t="n">
        <v>45510</v>
      </c>
      <c r="E3518" s="1" t="n">
        <v>46312</v>
      </c>
      <c r="F3518" t="inlineStr">
        <is>
          <t>SKÅNE LÄN</t>
        </is>
      </c>
      <c r="G3518" t="inlineStr">
        <is>
          <t>HÄSSLEHOLM</t>
        </is>
      </c>
      <c r="I3518" t="n">
        <v>0.8</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6451-2024</t>
        </is>
      </c>
      <c r="B3519" t="inlineStr">
        <is>
          <t>avverkningsanmälan</t>
        </is>
      </c>
      <c r="C3519" t="inlineStr">
        <is>
          <t>Föryngringsavverkning</t>
        </is>
      </c>
      <c r="D3519" s="1" t="n">
        <v>45338</v>
      </c>
      <c r="E3519" s="1" t="n">
        <v>46312</v>
      </c>
      <c r="F3519" t="inlineStr">
        <is>
          <t>SKÅNE LÄN</t>
        </is>
      </c>
      <c r="G3519" t="inlineStr">
        <is>
          <t>KRISTIANSTAD</t>
        </is>
      </c>
      <c r="I3519" t="n">
        <v>15.8</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31581-2023</t>
        </is>
      </c>
      <c r="B3520" t="inlineStr">
        <is>
          <t>avverkningsanmälan</t>
        </is>
      </c>
      <c r="C3520" t="inlineStr">
        <is>
          <t>Föryngringsavverkning</t>
        </is>
      </c>
      <c r="D3520" s="1" t="n">
        <v>45117</v>
      </c>
      <c r="E3520" s="1" t="n">
        <v>46312</v>
      </c>
      <c r="F3520" t="inlineStr">
        <is>
          <t>SKÅNE LÄN</t>
        </is>
      </c>
      <c r="G3520" t="inlineStr">
        <is>
          <t>HÄSSLEHOLM</t>
        </is>
      </c>
      <c r="I3520" t="n">
        <v>1.7</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31629-2023</t>
        </is>
      </c>
      <c r="B3521" t="inlineStr">
        <is>
          <t>avverkningsanmälan</t>
        </is>
      </c>
      <c r="C3521" t="inlineStr">
        <is>
          <t>Föryngringsavverkning</t>
        </is>
      </c>
      <c r="D3521" s="1" t="n">
        <v>45117</v>
      </c>
      <c r="E3521" s="1" t="n">
        <v>46312</v>
      </c>
      <c r="F3521" t="inlineStr">
        <is>
          <t>SKÅNE LÄN</t>
        </is>
      </c>
      <c r="G3521" t="inlineStr">
        <is>
          <t>ÖSTRA GÖINGE</t>
        </is>
      </c>
      <c r="H3521" t="inlineStr">
        <is>
          <t>Sveaskog</t>
        </is>
      </c>
      <c r="I3521" t="n">
        <v>0.6</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47871-2022</t>
        </is>
      </c>
      <c r="B3522" t="inlineStr">
        <is>
          <t>avverkningsanmälan</t>
        </is>
      </c>
      <c r="C3522" t="inlineStr">
        <is>
          <t>Föryngringsavverkning</t>
        </is>
      </c>
      <c r="D3522" s="1" t="n">
        <v>44855</v>
      </c>
      <c r="E3522" s="1" t="n">
        <v>46312</v>
      </c>
      <c r="F3522" t="inlineStr">
        <is>
          <t>SKÅNE LÄN</t>
        </is>
      </c>
      <c r="G3522" t="inlineStr">
        <is>
          <t>ÖRKELLJUNGA</t>
        </is>
      </c>
      <c r="I3522" t="n">
        <v>2.6</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34581-2023</t>
        </is>
      </c>
      <c r="B3523" t="inlineStr">
        <is>
          <t>avverkningsanmälan</t>
        </is>
      </c>
      <c r="C3523" t="inlineStr">
        <is>
          <t>Föryngringsavverkning</t>
        </is>
      </c>
      <c r="D3523" s="1" t="n">
        <v>45140</v>
      </c>
      <c r="E3523" s="1" t="n">
        <v>46312</v>
      </c>
      <c r="F3523" t="inlineStr">
        <is>
          <t>SKÅNE LÄN</t>
        </is>
      </c>
      <c r="G3523" t="inlineStr">
        <is>
          <t>OSBY</t>
        </is>
      </c>
      <c r="I3523" t="n">
        <v>0.5</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12872-2025</t>
        </is>
      </c>
      <c r="B3524" t="inlineStr">
        <is>
          <t>avverkningsanmälan</t>
        </is>
      </c>
      <c r="C3524" t="inlineStr">
        <is>
          <t>Föryngringsavverkning</t>
        </is>
      </c>
      <c r="D3524" s="1" t="n">
        <v>45733</v>
      </c>
      <c r="E3524" s="1" t="n">
        <v>46312</v>
      </c>
      <c r="F3524" t="inlineStr">
        <is>
          <t>SKÅNE LÄN</t>
        </is>
      </c>
      <c r="G3524" t="inlineStr">
        <is>
          <t>OSBY</t>
        </is>
      </c>
      <c r="I3524" t="n">
        <v>1.9</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18945-2026</t>
        </is>
      </c>
      <c r="B3525" t="inlineStr">
        <is>
          <t>avverkningsanmälan</t>
        </is>
      </c>
      <c r="C3525" t="inlineStr">
        <is>
          <t>Föryngringsavverkning</t>
        </is>
      </c>
      <c r="D3525" s="1" t="n">
        <v>46129</v>
      </c>
      <c r="E3525" s="1" t="n">
        <v>46312</v>
      </c>
      <c r="F3525" t="inlineStr">
        <is>
          <t>SKÅNE LÄN</t>
        </is>
      </c>
      <c r="G3525" t="inlineStr">
        <is>
          <t>KRISTIANSTAD</t>
        </is>
      </c>
      <c r="I3525" t="n">
        <v>2.6</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55303-2024</t>
        </is>
      </c>
      <c r="B3526" t="inlineStr">
        <is>
          <t>avverkningsanmälan</t>
        </is>
      </c>
      <c r="C3526" t="inlineStr">
        <is>
          <t>Föryngringsavverkning</t>
        </is>
      </c>
      <c r="D3526" s="1" t="n">
        <v>45621</v>
      </c>
      <c r="E3526" s="1" t="n">
        <v>46312</v>
      </c>
      <c r="F3526" t="inlineStr">
        <is>
          <t>SKÅNE LÄN</t>
        </is>
      </c>
      <c r="G3526" t="inlineStr">
        <is>
          <t>HÄSSLEHOLM</t>
        </is>
      </c>
      <c r="I3526" t="n">
        <v>3.3</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59918-2022</t>
        </is>
      </c>
      <c r="B3527" t="inlineStr">
        <is>
          <t>avverkningsanmälan</t>
        </is>
      </c>
      <c r="C3527" t="inlineStr">
        <is>
          <t>Föryngringsavverkning</t>
        </is>
      </c>
      <c r="D3527" s="1" t="n">
        <v>44909</v>
      </c>
      <c r="E3527" s="1" t="n">
        <v>46312</v>
      </c>
      <c r="F3527" t="inlineStr">
        <is>
          <t>SKÅNE LÄN</t>
        </is>
      </c>
      <c r="G3527" t="inlineStr">
        <is>
          <t>LUND</t>
        </is>
      </c>
      <c r="I3527" t="n">
        <v>1.6</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20170-2024</t>
        </is>
      </c>
      <c r="B3528" t="inlineStr">
        <is>
          <t>avverkningsanmälan</t>
        </is>
      </c>
      <c r="C3528" t="inlineStr">
        <is>
          <t>Föryngringsavverkning</t>
        </is>
      </c>
      <c r="D3528" s="1" t="n">
        <v>45434</v>
      </c>
      <c r="E3528" s="1" t="n">
        <v>46312</v>
      </c>
      <c r="F3528" t="inlineStr">
        <is>
          <t>SKÅNE LÄN</t>
        </is>
      </c>
      <c r="G3528" t="inlineStr">
        <is>
          <t>SVALÖV</t>
        </is>
      </c>
      <c r="I3528" t="n">
        <v>0.6</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34422-2024</t>
        </is>
      </c>
      <c r="B3529" t="inlineStr">
        <is>
          <t>avverkningsanmälan</t>
        </is>
      </c>
      <c r="C3529" t="inlineStr">
        <is>
          <t>Avverkning för annat ändamål</t>
        </is>
      </c>
      <c r="D3529" s="1" t="n">
        <v>45525</v>
      </c>
      <c r="E3529" s="1" t="n">
        <v>46312</v>
      </c>
      <c r="F3529" t="inlineStr">
        <is>
          <t>SKÅNE LÄN</t>
        </is>
      </c>
      <c r="G3529" t="inlineStr">
        <is>
          <t>HÖRBY</t>
        </is>
      </c>
      <c r="I3529" t="n">
        <v>1.5</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26473-2024</t>
        </is>
      </c>
      <c r="B3530" t="inlineStr">
        <is>
          <t>avverkningsanmälan</t>
        </is>
      </c>
      <c r="C3530" t="inlineStr">
        <is>
          <t>Föryngringsavverkning</t>
        </is>
      </c>
      <c r="D3530" s="1" t="n">
        <v>45469</v>
      </c>
      <c r="E3530" s="1" t="n">
        <v>46312</v>
      </c>
      <c r="F3530" t="inlineStr">
        <is>
          <t>SKÅNE LÄN</t>
        </is>
      </c>
      <c r="G3530" t="inlineStr">
        <is>
          <t>TOMELILLA</t>
        </is>
      </c>
      <c r="I3530" t="n">
        <v>4.4</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18947-2026</t>
        </is>
      </c>
      <c r="B3531" t="inlineStr">
        <is>
          <t>avverkningsanmälan</t>
        </is>
      </c>
      <c r="C3531" t="inlineStr">
        <is>
          <t>Föryngringsavverkning</t>
        </is>
      </c>
      <c r="D3531" s="1" t="n">
        <v>46127</v>
      </c>
      <c r="E3531" s="1" t="n">
        <v>46312</v>
      </c>
      <c r="F3531" t="inlineStr">
        <is>
          <t>SKÅNE LÄN</t>
        </is>
      </c>
      <c r="G3531" t="inlineStr">
        <is>
          <t>PERSTORP</t>
        </is>
      </c>
      <c r="H3531" t="inlineStr">
        <is>
          <t>Kyrkan</t>
        </is>
      </c>
      <c r="I3531" t="n">
        <v>6.1</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53455-2022</t>
        </is>
      </c>
      <c r="B3532" t="inlineStr">
        <is>
          <t>avverkningsanmälan</t>
        </is>
      </c>
      <c r="C3532" t="inlineStr">
        <is>
          <t>Föryngringsavverkning</t>
        </is>
      </c>
      <c r="D3532" s="1" t="n">
        <v>44874</v>
      </c>
      <c r="E3532" s="1" t="n">
        <v>46312</v>
      </c>
      <c r="F3532" t="inlineStr">
        <is>
          <t>SKÅNE LÄN</t>
        </is>
      </c>
      <c r="G3532" t="inlineStr">
        <is>
          <t>HÖÖR</t>
        </is>
      </c>
      <c r="I3532" t="n">
        <v>3.3</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53501-2022</t>
        </is>
      </c>
      <c r="B3533" t="inlineStr">
        <is>
          <t>avverkningsanmälan</t>
        </is>
      </c>
      <c r="C3533" t="inlineStr">
        <is>
          <t>Föryngringsavverkning</t>
        </is>
      </c>
      <c r="D3533" s="1" t="n">
        <v>44879</v>
      </c>
      <c r="E3533" s="1" t="n">
        <v>46312</v>
      </c>
      <c r="F3533" t="inlineStr">
        <is>
          <t>SKÅNE LÄN</t>
        </is>
      </c>
      <c r="G3533" t="inlineStr">
        <is>
          <t>ÄNGELHOLM</t>
        </is>
      </c>
      <c r="I3533" t="n">
        <v>7.2</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59702-2022</t>
        </is>
      </c>
      <c r="B3534" t="inlineStr">
        <is>
          <t>avverkningsanmälan</t>
        </is>
      </c>
      <c r="C3534" t="inlineStr">
        <is>
          <t>Föryngringsavverkning</t>
        </is>
      </c>
      <c r="D3534" s="1" t="n">
        <v>44908</v>
      </c>
      <c r="E3534" s="1" t="n">
        <v>46312</v>
      </c>
      <c r="F3534" t="inlineStr">
        <is>
          <t>SKÅNE LÄN</t>
        </is>
      </c>
      <c r="G3534" t="inlineStr">
        <is>
          <t>HÖÖR</t>
        </is>
      </c>
      <c r="H3534" t="inlineStr">
        <is>
          <t>Sveaskog</t>
        </is>
      </c>
      <c r="I3534" t="n">
        <v>1.5</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13594-2024</t>
        </is>
      </c>
      <c r="B3535" t="inlineStr">
        <is>
          <t>avverkningsanmälan</t>
        </is>
      </c>
      <c r="C3535" t="inlineStr">
        <is>
          <t>Föryngringsavverkning</t>
        </is>
      </c>
      <c r="D3535" s="1" t="n">
        <v>45390</v>
      </c>
      <c r="E3535" s="1" t="n">
        <v>46312</v>
      </c>
      <c r="F3535" t="inlineStr">
        <is>
          <t>SKÅNE LÄN</t>
        </is>
      </c>
      <c r="G3535" t="inlineStr">
        <is>
          <t>OSBY</t>
        </is>
      </c>
      <c r="H3535" t="inlineStr">
        <is>
          <t>Sveaskog</t>
        </is>
      </c>
      <c r="I3535" t="n">
        <v>0.4</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25832-2026</t>
        </is>
      </c>
      <c r="B3536" t="inlineStr">
        <is>
          <t>avverkningsanmälan</t>
        </is>
      </c>
      <c r="C3536" t="inlineStr">
        <is>
          <t>Föryngringsavverkning</t>
        </is>
      </c>
      <c r="D3536" s="1" t="n">
        <v>46178</v>
      </c>
      <c r="E3536" s="1" t="n">
        <v>46312</v>
      </c>
      <c r="F3536" t="inlineStr">
        <is>
          <t>SKÅNE LÄN</t>
        </is>
      </c>
      <c r="G3536" t="inlineStr">
        <is>
          <t>SVALÖV</t>
        </is>
      </c>
      <c r="I3536" t="n">
        <v>7.8</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40190-2022</t>
        </is>
      </c>
      <c r="B3537" t="inlineStr">
        <is>
          <t>avverkningsanmälan</t>
        </is>
      </c>
      <c r="C3537" t="inlineStr">
        <is>
          <t>Föryngringsavverkning</t>
        </is>
      </c>
      <c r="D3537" s="1" t="n">
        <v>44820</v>
      </c>
      <c r="E3537" s="1" t="n">
        <v>46312</v>
      </c>
      <c r="F3537" t="inlineStr">
        <is>
          <t>SKÅNE LÄN</t>
        </is>
      </c>
      <c r="G3537" t="inlineStr">
        <is>
          <t>ÖRKELLJUNGA</t>
        </is>
      </c>
      <c r="I3537" t="n">
        <v>1.5</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4159-2023</t>
        </is>
      </c>
      <c r="B3538" t="inlineStr">
        <is>
          <t>avverkningsanmälan</t>
        </is>
      </c>
      <c r="C3538" t="inlineStr">
        <is>
          <t>Föryngringsavverkning</t>
        </is>
      </c>
      <c r="D3538" s="1" t="n">
        <v>44953</v>
      </c>
      <c r="E3538" s="1" t="n">
        <v>46312</v>
      </c>
      <c r="F3538" t="inlineStr">
        <is>
          <t>SKÅNE LÄN</t>
        </is>
      </c>
      <c r="G3538" t="inlineStr">
        <is>
          <t>ÅSTORP</t>
        </is>
      </c>
      <c r="I3538" t="n">
        <v>0.5</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40202-2022</t>
        </is>
      </c>
      <c r="B3539" t="inlineStr">
        <is>
          <t>avverkningsanmälan</t>
        </is>
      </c>
      <c r="C3539" t="inlineStr">
        <is>
          <t>Föryngringsavverkning</t>
        </is>
      </c>
      <c r="D3539" s="1" t="n">
        <v>44820</v>
      </c>
      <c r="E3539" s="1" t="n">
        <v>46312</v>
      </c>
      <c r="F3539" t="inlineStr">
        <is>
          <t>SKÅNE LÄN</t>
        </is>
      </c>
      <c r="G3539" t="inlineStr">
        <is>
          <t>HÄSSLEHOLM</t>
        </is>
      </c>
      <c r="I3539" t="n">
        <v>1.1</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63077-2021</t>
        </is>
      </c>
      <c r="B3540" t="inlineStr">
        <is>
          <t>avverkningsanmälan</t>
        </is>
      </c>
      <c r="C3540" t="inlineStr">
        <is>
          <t>Föryngringsavverkning</t>
        </is>
      </c>
      <c r="D3540" s="1" t="n">
        <v>44505</v>
      </c>
      <c r="E3540" s="1" t="n">
        <v>46312</v>
      </c>
      <c r="F3540" t="inlineStr">
        <is>
          <t>SKÅNE LÄN</t>
        </is>
      </c>
      <c r="G3540" t="inlineStr">
        <is>
          <t>OSBY</t>
        </is>
      </c>
      <c r="I3540" t="n">
        <v>2.1</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48952-2022</t>
        </is>
      </c>
      <c r="B3541" t="inlineStr">
        <is>
          <t>avverkningsanmälan</t>
        </is>
      </c>
      <c r="C3541" t="inlineStr">
        <is>
          <t>Föryngringsavverkning</t>
        </is>
      </c>
      <c r="D3541" s="1" t="n">
        <v>44859</v>
      </c>
      <c r="E3541" s="1" t="n">
        <v>46312</v>
      </c>
      <c r="F3541" t="inlineStr">
        <is>
          <t>SKÅNE LÄN</t>
        </is>
      </c>
      <c r="G3541" t="inlineStr">
        <is>
          <t>ÖSTRA GÖINGE</t>
        </is>
      </c>
      <c r="I3541" t="n">
        <v>3.3</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19318-2026</t>
        </is>
      </c>
      <c r="B3542" t="inlineStr">
        <is>
          <t>avverkningsanmälan</t>
        </is>
      </c>
      <c r="C3542" t="inlineStr">
        <is>
          <t>Föryngringsavverkning</t>
        </is>
      </c>
      <c r="D3542" s="1" t="n">
        <v>46133</v>
      </c>
      <c r="E3542" s="1" t="n">
        <v>46312</v>
      </c>
      <c r="F3542" t="inlineStr">
        <is>
          <t>SKÅNE LÄN</t>
        </is>
      </c>
      <c r="G3542" t="inlineStr">
        <is>
          <t>HÄSSLEHOLM</t>
        </is>
      </c>
      <c r="I3542" t="n">
        <v>9.300000000000001</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19192-2026</t>
        </is>
      </c>
      <c r="B3543" t="inlineStr">
        <is>
          <t>avverkningsanmälan</t>
        </is>
      </c>
      <c r="C3543" t="inlineStr">
        <is>
          <t>Föryngringsavverkning</t>
        </is>
      </c>
      <c r="D3543" s="1" t="n">
        <v>46132</v>
      </c>
      <c r="E3543" s="1" t="n">
        <v>46312</v>
      </c>
      <c r="F3543" t="inlineStr">
        <is>
          <t>SKÅNE LÄN</t>
        </is>
      </c>
      <c r="G3543" t="inlineStr">
        <is>
          <t>ÖSTRA GÖINGE</t>
        </is>
      </c>
      <c r="I3543" t="n">
        <v>2</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4382-2023</t>
        </is>
      </c>
      <c r="B3544" t="inlineStr">
        <is>
          <t>avverkningsanmälan</t>
        </is>
      </c>
      <c r="C3544" t="inlineStr">
        <is>
          <t>Föryngringsavverkning</t>
        </is>
      </c>
      <c r="D3544" s="1" t="n">
        <v>44955</v>
      </c>
      <c r="E3544" s="1" t="n">
        <v>46312</v>
      </c>
      <c r="F3544" t="inlineStr">
        <is>
          <t>SKÅNE LÄN</t>
        </is>
      </c>
      <c r="G3544" t="inlineStr">
        <is>
          <t>HÄSSLEHOLM</t>
        </is>
      </c>
      <c r="I3544" t="n">
        <v>0.3</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5138-2023</t>
        </is>
      </c>
      <c r="B3545" t="inlineStr">
        <is>
          <t>avverkningsanmälan</t>
        </is>
      </c>
      <c r="C3545" t="inlineStr">
        <is>
          <t>Föryngringsavverkning</t>
        </is>
      </c>
      <c r="D3545" s="1" t="n">
        <v>44958</v>
      </c>
      <c r="E3545" s="1" t="n">
        <v>46312</v>
      </c>
      <c r="F3545" t="inlineStr">
        <is>
          <t>SKÅNE LÄN</t>
        </is>
      </c>
      <c r="G3545" t="inlineStr">
        <is>
          <t>ÖSTRA GÖINGE</t>
        </is>
      </c>
      <c r="I3545" t="n">
        <v>5.2</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19297-2026</t>
        </is>
      </c>
      <c r="B3546" t="inlineStr">
        <is>
          <t>avverkningsanmälan</t>
        </is>
      </c>
      <c r="C3546" t="inlineStr">
        <is>
          <t>Föryngringsavverkning</t>
        </is>
      </c>
      <c r="D3546" s="1" t="n">
        <v>46133</v>
      </c>
      <c r="E3546" s="1" t="n">
        <v>46312</v>
      </c>
      <c r="F3546" t="inlineStr">
        <is>
          <t>SKÅNE LÄN</t>
        </is>
      </c>
      <c r="G3546" t="inlineStr">
        <is>
          <t>ÖSTRA GÖINGE</t>
        </is>
      </c>
      <c r="I3546" t="n">
        <v>1.2</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44725-2022</t>
        </is>
      </c>
      <c r="B3547" t="inlineStr">
        <is>
          <t>avverkningsanmälan</t>
        </is>
      </c>
      <c r="C3547" t="inlineStr">
        <is>
          <t>Föryngringsavverkning</t>
        </is>
      </c>
      <c r="D3547" s="1" t="n">
        <v>44840</v>
      </c>
      <c r="E3547" s="1" t="n">
        <v>46312</v>
      </c>
      <c r="F3547" t="inlineStr">
        <is>
          <t>SKÅNE LÄN</t>
        </is>
      </c>
      <c r="G3547" t="inlineStr">
        <is>
          <t>ÖSTRA GÖINGE</t>
        </is>
      </c>
      <c r="I3547" t="n">
        <v>8.300000000000001</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19343-2026</t>
        </is>
      </c>
      <c r="B3548" t="inlineStr">
        <is>
          <t>avverkningsanmälan</t>
        </is>
      </c>
      <c r="C3548" t="inlineStr">
        <is>
          <t>Föryngringsavverkning</t>
        </is>
      </c>
      <c r="D3548" s="1" t="n">
        <v>46133</v>
      </c>
      <c r="E3548" s="1" t="n">
        <v>46312</v>
      </c>
      <c r="F3548" t="inlineStr">
        <is>
          <t>SKÅNE LÄN</t>
        </is>
      </c>
      <c r="G3548" t="inlineStr">
        <is>
          <t>OSBY</t>
        </is>
      </c>
      <c r="I3548" t="n">
        <v>2.6</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19301-2026</t>
        </is>
      </c>
      <c r="B3549" t="inlineStr">
        <is>
          <t>avverkningsanmälan</t>
        </is>
      </c>
      <c r="C3549" t="inlineStr">
        <is>
          <t>Föryngringsavverkning</t>
        </is>
      </c>
      <c r="D3549" s="1" t="n">
        <v>46133</v>
      </c>
      <c r="E3549" s="1" t="n">
        <v>46312</v>
      </c>
      <c r="F3549" t="inlineStr">
        <is>
          <t>SKÅNE LÄN</t>
        </is>
      </c>
      <c r="G3549" t="inlineStr">
        <is>
          <t>ÖSTRA GÖINGE</t>
        </is>
      </c>
      <c r="I3549" t="n">
        <v>0.2</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15234-2025</t>
        </is>
      </c>
      <c r="B3550" t="inlineStr">
        <is>
          <t>avverkningsanmälan</t>
        </is>
      </c>
      <c r="C3550" t="inlineStr">
        <is>
          <t>Föryngringsavverkning</t>
        </is>
      </c>
      <c r="D3550" s="1" t="n">
        <v>45744</v>
      </c>
      <c r="E3550" s="1" t="n">
        <v>46312</v>
      </c>
      <c r="F3550" t="inlineStr">
        <is>
          <t>SKÅNE LÄN</t>
        </is>
      </c>
      <c r="G3550" t="inlineStr">
        <is>
          <t>OSBY</t>
        </is>
      </c>
      <c r="I3550" t="n">
        <v>0.6</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29455-2026</t>
        </is>
      </c>
      <c r="B3551" t="inlineStr">
        <is>
          <t>avverkningsanmälan</t>
        </is>
      </c>
      <c r="C3551" t="inlineStr">
        <is>
          <t>Föryngringsavverkning</t>
        </is>
      </c>
      <c r="D3551" s="1" t="n">
        <v>46203</v>
      </c>
      <c r="E3551" s="1" t="n">
        <v>46312</v>
      </c>
      <c r="F3551" t="inlineStr">
        <is>
          <t>SKÅNE LÄN</t>
        </is>
      </c>
      <c r="G3551" t="inlineStr">
        <is>
          <t>HÄSSLEHOLM</t>
        </is>
      </c>
      <c r="I3551" t="n">
        <v>1.2</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19231-2026</t>
        </is>
      </c>
      <c r="B3552" t="inlineStr">
        <is>
          <t>avverkningsanmälan</t>
        </is>
      </c>
      <c r="C3552" t="inlineStr">
        <is>
          <t>Föryngringsavverkning</t>
        </is>
      </c>
      <c r="D3552" s="1" t="n">
        <v>46132</v>
      </c>
      <c r="E3552" s="1" t="n">
        <v>46312</v>
      </c>
      <c r="F3552" t="inlineStr">
        <is>
          <t>SKÅNE LÄN</t>
        </is>
      </c>
      <c r="G3552" t="inlineStr">
        <is>
          <t>ÖSTRA GÖINGE</t>
        </is>
      </c>
      <c r="I3552" t="n">
        <v>0.9</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52608-2023</t>
        </is>
      </c>
      <c r="B3553" t="inlineStr">
        <is>
          <t>avverkningsanmälan</t>
        </is>
      </c>
      <c r="C3553" t="inlineStr">
        <is>
          <t>Föryngringsavverkning</t>
        </is>
      </c>
      <c r="D3553" s="1" t="n">
        <v>45219</v>
      </c>
      <c r="E3553" s="1" t="n">
        <v>46312</v>
      </c>
      <c r="F3553" t="inlineStr">
        <is>
          <t>SKÅNE LÄN</t>
        </is>
      </c>
      <c r="G3553" t="inlineStr">
        <is>
          <t>HÄSSLEHOLM</t>
        </is>
      </c>
      <c r="H3553" t="inlineStr">
        <is>
          <t>Övriga Aktiebolag</t>
        </is>
      </c>
      <c r="I3553" t="n">
        <v>2.1</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52617-2023</t>
        </is>
      </c>
      <c r="B3554" t="inlineStr">
        <is>
          <t>avverkningsanmälan</t>
        </is>
      </c>
      <c r="C3554" t="inlineStr">
        <is>
          <t>Föryngringsavverkning</t>
        </is>
      </c>
      <c r="D3554" s="1" t="n">
        <v>45219</v>
      </c>
      <c r="E3554" s="1" t="n">
        <v>46312</v>
      </c>
      <c r="F3554" t="inlineStr">
        <is>
          <t>SKÅNE LÄN</t>
        </is>
      </c>
      <c r="G3554" t="inlineStr">
        <is>
          <t>PERSTORP</t>
        </is>
      </c>
      <c r="H3554" t="inlineStr">
        <is>
          <t>Övriga Aktiebolag</t>
        </is>
      </c>
      <c r="I3554" t="n">
        <v>2</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14837-2023</t>
        </is>
      </c>
      <c r="B3555" t="inlineStr">
        <is>
          <t>avverkningsanmälan</t>
        </is>
      </c>
      <c r="C3555" t="inlineStr">
        <is>
          <t>Föryngringsavverkning</t>
        </is>
      </c>
      <c r="D3555" s="1" t="n">
        <v>45014</v>
      </c>
      <c r="E3555" s="1" t="n">
        <v>46312</v>
      </c>
      <c r="F3555" t="inlineStr">
        <is>
          <t>SKÅNE LÄN</t>
        </is>
      </c>
      <c r="G3555" t="inlineStr">
        <is>
          <t>KRISTIANSTAD</t>
        </is>
      </c>
      <c r="I3555" t="n">
        <v>1.9</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19045-2026</t>
        </is>
      </c>
      <c r="B3556" t="inlineStr">
        <is>
          <t>avverkningsanmälan</t>
        </is>
      </c>
      <c r="C3556" t="inlineStr">
        <is>
          <t>Föryngringsavverkning</t>
        </is>
      </c>
      <c r="D3556" s="1" t="n">
        <v>46132</v>
      </c>
      <c r="E3556" s="1" t="n">
        <v>46312</v>
      </c>
      <c r="F3556" t="inlineStr">
        <is>
          <t>SKÅNE LÄN</t>
        </is>
      </c>
      <c r="G3556" t="inlineStr">
        <is>
          <t>ÖSTRA GÖINGE</t>
        </is>
      </c>
      <c r="I3556" t="n">
        <v>0.9</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19302-2026</t>
        </is>
      </c>
      <c r="B3557" t="inlineStr">
        <is>
          <t>avverkningsanmälan</t>
        </is>
      </c>
      <c r="C3557" t="inlineStr">
        <is>
          <t>Föryngringsavverkning</t>
        </is>
      </c>
      <c r="D3557" s="1" t="n">
        <v>46133</v>
      </c>
      <c r="E3557" s="1" t="n">
        <v>46312</v>
      </c>
      <c r="F3557" t="inlineStr">
        <is>
          <t>SKÅNE LÄN</t>
        </is>
      </c>
      <c r="G3557" t="inlineStr">
        <is>
          <t>ÖSTRA GÖINGE</t>
        </is>
      </c>
      <c r="I3557" t="n">
        <v>0.7</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19336-2026</t>
        </is>
      </c>
      <c r="B3558" t="inlineStr">
        <is>
          <t>avverkningsanmälan</t>
        </is>
      </c>
      <c r="C3558" t="inlineStr">
        <is>
          <t>Föryngringsavverkning</t>
        </is>
      </c>
      <c r="D3558" s="1" t="n">
        <v>46133</v>
      </c>
      <c r="E3558" s="1" t="n">
        <v>46312</v>
      </c>
      <c r="F3558" t="inlineStr">
        <is>
          <t>SKÅNE LÄN</t>
        </is>
      </c>
      <c r="G3558" t="inlineStr">
        <is>
          <t>OSBY</t>
        </is>
      </c>
      <c r="I3558" t="n">
        <v>0.5</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19051-2026</t>
        </is>
      </c>
      <c r="B3559" t="inlineStr">
        <is>
          <t>avverkningsanmälan</t>
        </is>
      </c>
      <c r="C3559" t="inlineStr">
        <is>
          <t>Föryngringsavverkning</t>
        </is>
      </c>
      <c r="D3559" s="1" t="n">
        <v>46132</v>
      </c>
      <c r="E3559" s="1" t="n">
        <v>46312</v>
      </c>
      <c r="F3559" t="inlineStr">
        <is>
          <t>SKÅNE LÄN</t>
        </is>
      </c>
      <c r="G3559" t="inlineStr">
        <is>
          <t>ÖSTRA GÖINGE</t>
        </is>
      </c>
      <c r="I3559" t="n">
        <v>0.6</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8305-2026</t>
        </is>
      </c>
      <c r="B3560" t="inlineStr">
        <is>
          <t>avverkningsanmälan</t>
        </is>
      </c>
      <c r="C3560" t="inlineStr">
        <is>
          <t>Föryngringsavverkning</t>
        </is>
      </c>
      <c r="D3560" s="1" t="n">
        <v>46064</v>
      </c>
      <c r="E3560" s="1" t="n">
        <v>46312</v>
      </c>
      <c r="F3560" t="inlineStr">
        <is>
          <t>SKÅNE LÄN</t>
        </is>
      </c>
      <c r="G3560" t="inlineStr">
        <is>
          <t>HÖÖR</t>
        </is>
      </c>
      <c r="I3560" t="n">
        <v>0.5</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19236-2026</t>
        </is>
      </c>
      <c r="B3561" t="inlineStr">
        <is>
          <t>avverkningsanmälan</t>
        </is>
      </c>
      <c r="C3561" t="inlineStr">
        <is>
          <t>Föryngringsavverkning</t>
        </is>
      </c>
      <c r="D3561" s="1" t="n">
        <v>46132</v>
      </c>
      <c r="E3561" s="1" t="n">
        <v>46312</v>
      </c>
      <c r="F3561" t="inlineStr">
        <is>
          <t>SKÅNE LÄN</t>
        </is>
      </c>
      <c r="G3561" t="inlineStr">
        <is>
          <t>ÖSTRA GÖINGE</t>
        </is>
      </c>
      <c r="I3561" t="n">
        <v>0.4</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19344-2026</t>
        </is>
      </c>
      <c r="B3562" t="inlineStr">
        <is>
          <t>avverkningsanmälan</t>
        </is>
      </c>
      <c r="C3562" t="inlineStr">
        <is>
          <t>Föryngringsavverkning</t>
        </is>
      </c>
      <c r="D3562" s="1" t="n">
        <v>46133</v>
      </c>
      <c r="E3562" s="1" t="n">
        <v>46312</v>
      </c>
      <c r="F3562" t="inlineStr">
        <is>
          <t>SKÅNE LÄN</t>
        </is>
      </c>
      <c r="G3562" t="inlineStr">
        <is>
          <t>OSBY</t>
        </is>
      </c>
      <c r="I3562" t="n">
        <v>1.8</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19101-2026</t>
        </is>
      </c>
      <c r="B3563" t="inlineStr">
        <is>
          <t>avverkningsanmälan</t>
        </is>
      </c>
      <c r="C3563" t="inlineStr">
        <is>
          <t>Föryngringsavverkning</t>
        </is>
      </c>
      <c r="D3563" s="1" t="n">
        <v>46132</v>
      </c>
      <c r="E3563" s="1" t="n">
        <v>46312</v>
      </c>
      <c r="F3563" t="inlineStr">
        <is>
          <t>SKÅNE LÄN</t>
        </is>
      </c>
      <c r="G3563" t="inlineStr">
        <is>
          <t>HÄSSLEHOLM</t>
        </is>
      </c>
      <c r="I3563" t="n">
        <v>0.6</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28793-2026</t>
        </is>
      </c>
      <c r="B3564" t="inlineStr">
        <is>
          <t>avverkningsanmälan</t>
        </is>
      </c>
      <c r="C3564" t="inlineStr">
        <is>
          <t>Föryngringsavverkning</t>
        </is>
      </c>
      <c r="D3564" s="1" t="n">
        <v>46195</v>
      </c>
      <c r="E3564" s="1" t="n">
        <v>46312</v>
      </c>
      <c r="F3564" t="inlineStr">
        <is>
          <t>SKÅNE LÄN</t>
        </is>
      </c>
      <c r="G3564" t="inlineStr">
        <is>
          <t>HÄSSLEHOLM</t>
        </is>
      </c>
      <c r="I3564" t="n">
        <v>0.6</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32272-2024</t>
        </is>
      </c>
      <c r="B3565" t="inlineStr">
        <is>
          <t>avverkningsanmälan</t>
        </is>
      </c>
      <c r="C3565" t="inlineStr">
        <is>
          <t>Föryngringsavverkning</t>
        </is>
      </c>
      <c r="D3565" s="1" t="n">
        <v>45512</v>
      </c>
      <c r="E3565" s="1" t="n">
        <v>46312</v>
      </c>
      <c r="F3565" t="inlineStr">
        <is>
          <t>SKÅNE LÄN</t>
        </is>
      </c>
      <c r="G3565" t="inlineStr">
        <is>
          <t>BROMÖLLA</t>
        </is>
      </c>
      <c r="I3565" t="n">
        <v>2.6</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29530-2026</t>
        </is>
      </c>
      <c r="B3566" t="inlineStr">
        <is>
          <t>avverkningsanmälan</t>
        </is>
      </c>
      <c r="C3566" t="inlineStr">
        <is>
          <t>Föryngringsavverkning</t>
        </is>
      </c>
      <c r="D3566" s="1" t="n">
        <v>46203</v>
      </c>
      <c r="E3566" s="1" t="n">
        <v>46312</v>
      </c>
      <c r="F3566" t="inlineStr">
        <is>
          <t>SKÅNE LÄN</t>
        </is>
      </c>
      <c r="G3566" t="inlineStr">
        <is>
          <t>ÖRKELLJUNGA</t>
        </is>
      </c>
      <c r="I3566" t="n">
        <v>1.9</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20054-2024</t>
        </is>
      </c>
      <c r="B3567" t="inlineStr">
        <is>
          <t>avverkningsanmälan</t>
        </is>
      </c>
      <c r="C3567" t="inlineStr">
        <is>
          <t>Föryngringsavverkning</t>
        </is>
      </c>
      <c r="D3567" s="1" t="n">
        <v>45434</v>
      </c>
      <c r="E3567" s="1" t="n">
        <v>46312</v>
      </c>
      <c r="F3567" t="inlineStr">
        <is>
          <t>SKÅNE LÄN</t>
        </is>
      </c>
      <c r="G3567" t="inlineStr">
        <is>
          <t>BJUV</t>
        </is>
      </c>
      <c r="I3567" t="n">
        <v>7.3</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7707-2025</t>
        </is>
      </c>
      <c r="B3568" t="inlineStr">
        <is>
          <t>avverkningsanmälan</t>
        </is>
      </c>
      <c r="C3568" t="inlineStr">
        <is>
          <t>Föryngringsavverkning</t>
        </is>
      </c>
      <c r="D3568" s="1" t="n">
        <v>45705</v>
      </c>
      <c r="E3568" s="1" t="n">
        <v>46312</v>
      </c>
      <c r="F3568" t="inlineStr">
        <is>
          <t>SKÅNE LÄN</t>
        </is>
      </c>
      <c r="G3568" t="inlineStr">
        <is>
          <t>ÄNGELHOLM</t>
        </is>
      </c>
      <c r="I3568" t="n">
        <v>1.2</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22195-2023</t>
        </is>
      </c>
      <c r="B3569" t="inlineStr">
        <is>
          <t>avverkningsanmälan</t>
        </is>
      </c>
      <c r="C3569" t="inlineStr">
        <is>
          <t>Föryngringsavverkning</t>
        </is>
      </c>
      <c r="D3569" s="1" t="n">
        <v>45069</v>
      </c>
      <c r="E3569" s="1" t="n">
        <v>46312</v>
      </c>
      <c r="F3569" t="inlineStr">
        <is>
          <t>SKÅNE LÄN</t>
        </is>
      </c>
      <c r="G3569" t="inlineStr">
        <is>
          <t>YSTAD</t>
        </is>
      </c>
      <c r="H3569" t="inlineStr">
        <is>
          <t>Övriga Aktiebolag</t>
        </is>
      </c>
      <c r="I3569" t="n">
        <v>1.1</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56360-2023</t>
        </is>
      </c>
      <c r="B3570" t="inlineStr">
        <is>
          <t>avverkningsanmälan</t>
        </is>
      </c>
      <c r="C3570" t="inlineStr">
        <is>
          <t>Föryngringsavverkning</t>
        </is>
      </c>
      <c r="D3570" s="1" t="n">
        <v>45243</v>
      </c>
      <c r="E3570" s="1" t="n">
        <v>46312</v>
      </c>
      <c r="F3570" t="inlineStr">
        <is>
          <t>SKÅNE LÄN</t>
        </is>
      </c>
      <c r="G3570" t="inlineStr">
        <is>
          <t>BROMÖLLA</t>
        </is>
      </c>
      <c r="I3570" t="n">
        <v>0.5</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47870-2022</t>
        </is>
      </c>
      <c r="B3571" t="inlineStr">
        <is>
          <t>avverkningsanmälan</t>
        </is>
      </c>
      <c r="C3571" t="inlineStr">
        <is>
          <t>Föryngringsavverkning</t>
        </is>
      </c>
      <c r="D3571" s="1" t="n">
        <v>44855</v>
      </c>
      <c r="E3571" s="1" t="n">
        <v>46312</v>
      </c>
      <c r="F3571" t="inlineStr">
        <is>
          <t>SKÅNE LÄN</t>
        </is>
      </c>
      <c r="G3571" t="inlineStr">
        <is>
          <t>KLIPPAN</t>
        </is>
      </c>
      <c r="I3571" t="n">
        <v>0.5</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10580-2023</t>
        </is>
      </c>
      <c r="B3572" t="inlineStr">
        <is>
          <t>avverkningsanmälan</t>
        </is>
      </c>
      <c r="C3572" t="inlineStr">
        <is>
          <t>Föryngringsavverkning</t>
        </is>
      </c>
      <c r="D3572" s="1" t="n">
        <v>44988</v>
      </c>
      <c r="E3572" s="1" t="n">
        <v>46312</v>
      </c>
      <c r="F3572" t="inlineStr">
        <is>
          <t>SKÅNE LÄN</t>
        </is>
      </c>
      <c r="G3572" t="inlineStr">
        <is>
          <t>KRISTIANSTAD</t>
        </is>
      </c>
      <c r="H3572" t="inlineStr">
        <is>
          <t>Övriga Aktiebolag</t>
        </is>
      </c>
      <c r="I3572" t="n">
        <v>3.2</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19650-2026</t>
        </is>
      </c>
      <c r="B3573" t="inlineStr">
        <is>
          <t>avverkningsanmälan</t>
        </is>
      </c>
      <c r="C3573" t="inlineStr">
        <is>
          <t>Föryngringsavverkning</t>
        </is>
      </c>
      <c r="D3573" s="1" t="n">
        <v>46134</v>
      </c>
      <c r="E3573" s="1" t="n">
        <v>46312</v>
      </c>
      <c r="F3573" t="inlineStr">
        <is>
          <t>SKÅNE LÄN</t>
        </is>
      </c>
      <c r="G3573" t="inlineStr">
        <is>
          <t>ÄNGELHOLM</t>
        </is>
      </c>
      <c r="I3573" t="n">
        <v>8</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3404-2024</t>
        </is>
      </c>
      <c r="B3574" t="inlineStr">
        <is>
          <t>avverkningsanmälan</t>
        </is>
      </c>
      <c r="C3574" t="inlineStr">
        <is>
          <t>Föryngringsavverkning</t>
        </is>
      </c>
      <c r="D3574" s="1" t="n">
        <v>45318</v>
      </c>
      <c r="E3574" s="1" t="n">
        <v>46312</v>
      </c>
      <c r="F3574" t="inlineStr">
        <is>
          <t>SKÅNE LÄN</t>
        </is>
      </c>
      <c r="G3574" t="inlineStr">
        <is>
          <t>SIMRISHAMN</t>
        </is>
      </c>
      <c r="I3574" t="n">
        <v>1.9</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27954-2022</t>
        </is>
      </c>
      <c r="B3575" t="inlineStr">
        <is>
          <t>avverkningsanmälan</t>
        </is>
      </c>
      <c r="C3575" t="inlineStr">
        <is>
          <t>Föryngringsavverkning</t>
        </is>
      </c>
      <c r="D3575" s="1" t="n">
        <v>44743</v>
      </c>
      <c r="E3575" s="1" t="n">
        <v>46312</v>
      </c>
      <c r="F3575" t="inlineStr">
        <is>
          <t>SKÅNE LÄN</t>
        </is>
      </c>
      <c r="G3575" t="inlineStr">
        <is>
          <t>HÄSSLEHOLM</t>
        </is>
      </c>
      <c r="I3575" t="n">
        <v>9.4</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20493-2024</t>
        </is>
      </c>
      <c r="B3576" t="inlineStr">
        <is>
          <t>avverkningsanmälan</t>
        </is>
      </c>
      <c r="C3576" t="inlineStr">
        <is>
          <t>Föryngringsavverkning</t>
        </is>
      </c>
      <c r="D3576" s="1" t="n">
        <v>45435</v>
      </c>
      <c r="E3576" s="1" t="n">
        <v>46312</v>
      </c>
      <c r="F3576" t="inlineStr">
        <is>
          <t>SKÅNE LÄN</t>
        </is>
      </c>
      <c r="G3576" t="inlineStr">
        <is>
          <t>HÄSSLEHOLM</t>
        </is>
      </c>
      <c r="I3576" t="n">
        <v>1.2</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17571-2024</t>
        </is>
      </c>
      <c r="B3577" t="inlineStr">
        <is>
          <t>avverkningsanmälan</t>
        </is>
      </c>
      <c r="C3577" t="inlineStr">
        <is>
          <t>Föryngringsavverkning</t>
        </is>
      </c>
      <c r="D3577" s="1" t="n">
        <v>45415</v>
      </c>
      <c r="E3577" s="1" t="n">
        <v>46312</v>
      </c>
      <c r="F3577" t="inlineStr">
        <is>
          <t>SKÅNE LÄN</t>
        </is>
      </c>
      <c r="G3577" t="inlineStr">
        <is>
          <t>KRISTIANSTAD</t>
        </is>
      </c>
      <c r="I3577" t="n">
        <v>1.3</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13754-2022</t>
        </is>
      </c>
      <c r="B3578" t="inlineStr">
        <is>
          <t>avverkningsanmälan</t>
        </is>
      </c>
      <c r="C3578" t="inlineStr">
        <is>
          <t>Föryngringsavverkning</t>
        </is>
      </c>
      <c r="D3578" s="1" t="n">
        <v>44649</v>
      </c>
      <c r="E3578" s="1" t="n">
        <v>46312</v>
      </c>
      <c r="F3578" t="inlineStr">
        <is>
          <t>SKÅNE LÄN</t>
        </is>
      </c>
      <c r="G3578" t="inlineStr">
        <is>
          <t>LUND</t>
        </is>
      </c>
      <c r="I3578" t="n">
        <v>2</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12235-2023</t>
        </is>
      </c>
      <c r="B3579" t="inlineStr">
        <is>
          <t>avverkningsanmälan</t>
        </is>
      </c>
      <c r="C3579" t="inlineStr">
        <is>
          <t>Föryngringsavverkning</t>
        </is>
      </c>
      <c r="D3579" s="1" t="n">
        <v>44998</v>
      </c>
      <c r="E3579" s="1" t="n">
        <v>46312</v>
      </c>
      <c r="F3579" t="inlineStr">
        <is>
          <t>SKÅNE LÄN</t>
        </is>
      </c>
      <c r="G3579" t="inlineStr">
        <is>
          <t>KRISTIANSTAD</t>
        </is>
      </c>
      <c r="I3579" t="n">
        <v>0.5</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15322-2023</t>
        </is>
      </c>
      <c r="B3580" t="inlineStr">
        <is>
          <t>avverkningsanmälan</t>
        </is>
      </c>
      <c r="C3580" t="inlineStr">
        <is>
          <t>Föryngringsavverkning</t>
        </is>
      </c>
      <c r="D3580" s="1" t="n">
        <v>45019</v>
      </c>
      <c r="E3580" s="1" t="n">
        <v>46312</v>
      </c>
      <c r="F3580" t="inlineStr">
        <is>
          <t>SKÅNE LÄN</t>
        </is>
      </c>
      <c r="G3580" t="inlineStr">
        <is>
          <t>KRISTIANSTAD</t>
        </is>
      </c>
      <c r="I3580" t="n">
        <v>3.1</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16969-2025</t>
        </is>
      </c>
      <c r="B3581" t="inlineStr">
        <is>
          <t>avverkningsanmälan</t>
        </is>
      </c>
      <c r="C3581" t="inlineStr">
        <is>
          <t>Föryngringsavverkning</t>
        </is>
      </c>
      <c r="D3581" s="1" t="n">
        <v>45755</v>
      </c>
      <c r="E3581" s="1" t="n">
        <v>46312</v>
      </c>
      <c r="F3581" t="inlineStr">
        <is>
          <t>SKÅNE LÄN</t>
        </is>
      </c>
      <c r="G3581" t="inlineStr">
        <is>
          <t>HÖÖR</t>
        </is>
      </c>
      <c r="I3581" t="n">
        <v>0.6</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51031-2023</t>
        </is>
      </c>
      <c r="B3582" t="inlineStr">
        <is>
          <t>avverkningsanmälan</t>
        </is>
      </c>
      <c r="C3582" t="inlineStr">
        <is>
          <t>Föryngringsavverkning</t>
        </is>
      </c>
      <c r="D3582" s="1" t="n">
        <v>45211</v>
      </c>
      <c r="E3582" s="1" t="n">
        <v>46312</v>
      </c>
      <c r="F3582" t="inlineStr">
        <is>
          <t>SKÅNE LÄN</t>
        </is>
      </c>
      <c r="G3582" t="inlineStr">
        <is>
          <t>TOMELILLA</t>
        </is>
      </c>
      <c r="I3582" t="n">
        <v>1.2</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41873-2023</t>
        </is>
      </c>
      <c r="B3583" t="inlineStr">
        <is>
          <t>avverkningsanmälan</t>
        </is>
      </c>
      <c r="C3583" t="inlineStr">
        <is>
          <t>Föryngringsavverkning</t>
        </is>
      </c>
      <c r="D3583" s="1" t="n">
        <v>45176</v>
      </c>
      <c r="E3583" s="1" t="n">
        <v>46312</v>
      </c>
      <c r="F3583" t="inlineStr">
        <is>
          <t>SKÅNE LÄN</t>
        </is>
      </c>
      <c r="G3583" t="inlineStr">
        <is>
          <t>HÄSSLEHOLM</t>
        </is>
      </c>
      <c r="I3583" t="n">
        <v>2.8</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32814-2023</t>
        </is>
      </c>
      <c r="B3584" t="inlineStr">
        <is>
          <t>avverkningsanmälan</t>
        </is>
      </c>
      <c r="C3584" t="inlineStr">
        <is>
          <t>Föryngringsavverkning</t>
        </is>
      </c>
      <c r="D3584" s="1" t="n">
        <v>45124</v>
      </c>
      <c r="E3584" s="1" t="n">
        <v>46312</v>
      </c>
      <c r="F3584" t="inlineStr">
        <is>
          <t>SKÅNE LÄN</t>
        </is>
      </c>
      <c r="G3584" t="inlineStr">
        <is>
          <t>KRISTIANSTAD</t>
        </is>
      </c>
      <c r="I3584" t="n">
        <v>1.2</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61198-2021</t>
        </is>
      </c>
      <c r="B3585" t="inlineStr">
        <is>
          <t>avverkningsanmälan</t>
        </is>
      </c>
      <c r="C3585" t="inlineStr">
        <is>
          <t>Föryngringsavverkning</t>
        </is>
      </c>
      <c r="D3585" s="1" t="n">
        <v>44497</v>
      </c>
      <c r="E3585" s="1" t="n">
        <v>46312</v>
      </c>
      <c r="F3585" t="inlineStr">
        <is>
          <t>SKÅNE LÄN</t>
        </is>
      </c>
      <c r="G3585" t="inlineStr">
        <is>
          <t>KRISTIANSTAD</t>
        </is>
      </c>
      <c r="I3585" t="n">
        <v>13.8</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35712-2024</t>
        </is>
      </c>
      <c r="B3586" t="inlineStr">
        <is>
          <t>avverkningsanmälan</t>
        </is>
      </c>
      <c r="C3586" t="inlineStr">
        <is>
          <t>Föryngringsavverkning</t>
        </is>
      </c>
      <c r="D3586" s="1" t="n">
        <v>45532</v>
      </c>
      <c r="E3586" s="1" t="n">
        <v>46312</v>
      </c>
      <c r="F3586" t="inlineStr">
        <is>
          <t>SKÅNE LÄN</t>
        </is>
      </c>
      <c r="G3586" t="inlineStr">
        <is>
          <t>HÄSSLEHOLM</t>
        </is>
      </c>
      <c r="I3586" t="n">
        <v>0.6</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61691-2021</t>
        </is>
      </c>
      <c r="B3587" t="inlineStr">
        <is>
          <t>avverkningsanmälan</t>
        </is>
      </c>
      <c r="C3587" t="inlineStr">
        <is>
          <t>Föryngringsavverkning</t>
        </is>
      </c>
      <c r="D3587" s="1" t="n">
        <v>44501</v>
      </c>
      <c r="E3587" s="1" t="n">
        <v>46312</v>
      </c>
      <c r="F3587" t="inlineStr">
        <is>
          <t>SKÅNE LÄN</t>
        </is>
      </c>
      <c r="G3587" t="inlineStr">
        <is>
          <t>HÄSSLEHOLM</t>
        </is>
      </c>
      <c r="I3587" t="n">
        <v>0.9</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29449-2026</t>
        </is>
      </c>
      <c r="B3588" t="inlineStr">
        <is>
          <t>avverkningsanmälan</t>
        </is>
      </c>
      <c r="C3588" t="inlineStr">
        <is>
          <t>Föryngringsavverkning</t>
        </is>
      </c>
      <c r="D3588" s="1" t="n">
        <v>46203</v>
      </c>
      <c r="E3588" s="1" t="n">
        <v>46312</v>
      </c>
      <c r="F3588" t="inlineStr">
        <is>
          <t>SKÅNE LÄN</t>
        </is>
      </c>
      <c r="G3588" t="inlineStr">
        <is>
          <t>HÄSSLEHOLM</t>
        </is>
      </c>
      <c r="I3588" t="n">
        <v>0.8</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35715-2023</t>
        </is>
      </c>
      <c r="B3589" t="inlineStr">
        <is>
          <t>avverkningsanmälan</t>
        </is>
      </c>
      <c r="C3589" t="inlineStr">
        <is>
          <t>Föryngringsavverkning</t>
        </is>
      </c>
      <c r="D3589" s="1" t="n">
        <v>45147</v>
      </c>
      <c r="E3589" s="1" t="n">
        <v>46312</v>
      </c>
      <c r="F3589" t="inlineStr">
        <is>
          <t>SKÅNE LÄN</t>
        </is>
      </c>
      <c r="G3589" t="inlineStr">
        <is>
          <t>OSBY</t>
        </is>
      </c>
      <c r="I3589" t="n">
        <v>2.9</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35490-2025</t>
        </is>
      </c>
      <c r="B3590" t="inlineStr">
        <is>
          <t>avverkningsanmälan</t>
        </is>
      </c>
      <c r="C3590" t="inlineStr">
        <is>
          <t>Föryngringsavverkning</t>
        </is>
      </c>
      <c r="D3590" s="1" t="n">
        <v>45855</v>
      </c>
      <c r="E3590" s="1" t="n">
        <v>46312</v>
      </c>
      <c r="F3590" t="inlineStr">
        <is>
          <t>SKÅNE LÄN</t>
        </is>
      </c>
      <c r="G3590" t="inlineStr">
        <is>
          <t>ÖRKELLJUNGA</t>
        </is>
      </c>
      <c r="I3590" t="n">
        <v>3.1</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6349-2024</t>
        </is>
      </c>
      <c r="B3591" t="inlineStr">
        <is>
          <t>avverkningsanmälan</t>
        </is>
      </c>
      <c r="C3591" t="inlineStr">
        <is>
          <t>Föryngringsavverkning</t>
        </is>
      </c>
      <c r="D3591" s="1" t="n">
        <v>45338</v>
      </c>
      <c r="E3591" s="1" t="n">
        <v>46312</v>
      </c>
      <c r="F3591" t="inlineStr">
        <is>
          <t>SKÅNE LÄN</t>
        </is>
      </c>
      <c r="G3591" t="inlineStr">
        <is>
          <t>KRISTIANSTAD</t>
        </is>
      </c>
      <c r="I3591" t="n">
        <v>1.6</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29369-2026</t>
        </is>
      </c>
      <c r="B3592" t="inlineStr">
        <is>
          <t>avverkningsanmälan</t>
        </is>
      </c>
      <c r="C3592" t="inlineStr">
        <is>
          <t>Föryngringsavverkning</t>
        </is>
      </c>
      <c r="D3592" s="1" t="n">
        <v>46203</v>
      </c>
      <c r="E3592" s="1" t="n">
        <v>46312</v>
      </c>
      <c r="F3592" t="inlineStr">
        <is>
          <t>SKÅNE LÄN</t>
        </is>
      </c>
      <c r="G3592" t="inlineStr">
        <is>
          <t>ÄNGELHOLM</t>
        </is>
      </c>
      <c r="I3592" t="n">
        <v>1.3</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16527-2026</t>
        </is>
      </c>
      <c r="B3593" t="inlineStr">
        <is>
          <t>avverkningsanmälan</t>
        </is>
      </c>
      <c r="C3593" t="inlineStr">
        <is>
          <t>Föryngringsavverkning</t>
        </is>
      </c>
      <c r="D3593" s="1" t="n">
        <v>46112</v>
      </c>
      <c r="E3593" s="1" t="n">
        <v>46312</v>
      </c>
      <c r="F3593" t="inlineStr">
        <is>
          <t>SKÅNE LÄN</t>
        </is>
      </c>
      <c r="G3593" t="inlineStr">
        <is>
          <t>KRISTIANSTAD</t>
        </is>
      </c>
      <c r="I3593" t="n">
        <v>1.7</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39238-2023</t>
        </is>
      </c>
      <c r="B3594" t="inlineStr">
        <is>
          <t>avverkningsanmälan</t>
        </is>
      </c>
      <c r="C3594" t="inlineStr">
        <is>
          <t>Föryngringsavverkning</t>
        </is>
      </c>
      <c r="D3594" s="1" t="n">
        <v>45162</v>
      </c>
      <c r="E3594" s="1" t="n">
        <v>46312</v>
      </c>
      <c r="F3594" t="inlineStr">
        <is>
          <t>SKÅNE LÄN</t>
        </is>
      </c>
      <c r="G3594" t="inlineStr">
        <is>
          <t>SIMRISHAMN</t>
        </is>
      </c>
      <c r="I3594" t="n">
        <v>4.2</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29528-2026</t>
        </is>
      </c>
      <c r="B3595" t="inlineStr">
        <is>
          <t>avverkningsanmälan</t>
        </is>
      </c>
      <c r="C3595" t="inlineStr">
        <is>
          <t>Föryngringsavverkning</t>
        </is>
      </c>
      <c r="D3595" s="1" t="n">
        <v>46203</v>
      </c>
      <c r="E3595" s="1" t="n">
        <v>46312</v>
      </c>
      <c r="F3595" t="inlineStr">
        <is>
          <t>SKÅNE LÄN</t>
        </is>
      </c>
      <c r="G3595" t="inlineStr">
        <is>
          <t>ÖRKELLJUNGA</t>
        </is>
      </c>
      <c r="I3595" t="n">
        <v>3.2</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51078-2025</t>
        </is>
      </c>
      <c r="B3596" t="inlineStr">
        <is>
          <t>avverkningsanmälan</t>
        </is>
      </c>
      <c r="C3596" t="inlineStr">
        <is>
          <t>Föryngringsavverkning</t>
        </is>
      </c>
      <c r="D3596" s="1" t="n">
        <v>45947</v>
      </c>
      <c r="E3596" s="1" t="n">
        <v>46312</v>
      </c>
      <c r="F3596" t="inlineStr">
        <is>
          <t>SKÅNE LÄN</t>
        </is>
      </c>
      <c r="G3596" t="inlineStr">
        <is>
          <t>BROMÖLLA</t>
        </is>
      </c>
      <c r="I3596" t="n">
        <v>3.1</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57647-2024</t>
        </is>
      </c>
      <c r="B3597" t="inlineStr">
        <is>
          <t>avverkningsanmälan</t>
        </is>
      </c>
      <c r="C3597" t="inlineStr">
        <is>
          <t>Föryngringsavverkning</t>
        </is>
      </c>
      <c r="D3597" s="1" t="n">
        <v>45630</v>
      </c>
      <c r="E3597" s="1" t="n">
        <v>46312</v>
      </c>
      <c r="F3597" t="inlineStr">
        <is>
          <t>SKÅNE LÄN</t>
        </is>
      </c>
      <c r="G3597" t="inlineStr">
        <is>
          <t>HÄSSLEHOLM</t>
        </is>
      </c>
      <c r="I3597" t="n">
        <v>2.9</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1222-2023</t>
        </is>
      </c>
      <c r="B3598" t="inlineStr">
        <is>
          <t>avverkningsanmälan</t>
        </is>
      </c>
      <c r="C3598" t="inlineStr">
        <is>
          <t>Föryngringsavverkning</t>
        </is>
      </c>
      <c r="D3598" s="1" t="n">
        <v>44935</v>
      </c>
      <c r="E3598" s="1" t="n">
        <v>46312</v>
      </c>
      <c r="F3598" t="inlineStr">
        <is>
          <t>SKÅNE LÄN</t>
        </is>
      </c>
      <c r="G3598" t="inlineStr">
        <is>
          <t>OSBY</t>
        </is>
      </c>
      <c r="I3598" t="n">
        <v>1.4</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29529-2026</t>
        </is>
      </c>
      <c r="B3599" t="inlineStr">
        <is>
          <t>avverkningsanmälan</t>
        </is>
      </c>
      <c r="C3599" t="inlineStr">
        <is>
          <t>Föryngringsavverkning</t>
        </is>
      </c>
      <c r="D3599" s="1" t="n">
        <v>46203</v>
      </c>
      <c r="E3599" s="1" t="n">
        <v>46312</v>
      </c>
      <c r="F3599" t="inlineStr">
        <is>
          <t>SKÅNE LÄN</t>
        </is>
      </c>
      <c r="G3599" t="inlineStr">
        <is>
          <t>ÖRKELLJUNGA</t>
        </is>
      </c>
      <c r="I3599" t="n">
        <v>1.3</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20564-2023</t>
        </is>
      </c>
      <c r="B3600" t="inlineStr">
        <is>
          <t>avverkningsanmälan</t>
        </is>
      </c>
      <c r="C3600" t="inlineStr">
        <is>
          <t>Föryngringsavverkning</t>
        </is>
      </c>
      <c r="D3600" s="1" t="n">
        <v>45057</v>
      </c>
      <c r="E3600" s="1" t="n">
        <v>46312</v>
      </c>
      <c r="F3600" t="inlineStr">
        <is>
          <t>SKÅNE LÄN</t>
        </is>
      </c>
      <c r="G3600" t="inlineStr">
        <is>
          <t>HÄSSLEHOLM</t>
        </is>
      </c>
      <c r="I3600" t="n">
        <v>2.6</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46641-2023</t>
        </is>
      </c>
      <c r="B3601" t="inlineStr">
        <is>
          <t>avverkningsanmälan</t>
        </is>
      </c>
      <c r="C3601" t="inlineStr">
        <is>
          <t>Föryngringsavverkning</t>
        </is>
      </c>
      <c r="D3601" s="1" t="n">
        <v>45198</v>
      </c>
      <c r="E3601" s="1" t="n">
        <v>46312</v>
      </c>
      <c r="F3601" t="inlineStr">
        <is>
          <t>SKÅNE LÄN</t>
        </is>
      </c>
      <c r="G3601" t="inlineStr">
        <is>
          <t>HÄSSLEHOLM</t>
        </is>
      </c>
      <c r="I3601" t="n">
        <v>1.2</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46645-2023</t>
        </is>
      </c>
      <c r="B3602" t="inlineStr">
        <is>
          <t>avverkningsanmälan</t>
        </is>
      </c>
      <c r="C3602" t="inlineStr">
        <is>
          <t>Föryngringsavverkning</t>
        </is>
      </c>
      <c r="D3602" s="1" t="n">
        <v>45198</v>
      </c>
      <c r="E3602" s="1" t="n">
        <v>46312</v>
      </c>
      <c r="F3602" t="inlineStr">
        <is>
          <t>SKÅNE LÄN</t>
        </is>
      </c>
      <c r="G3602" t="inlineStr">
        <is>
          <t>HÄSSLEHOLM</t>
        </is>
      </c>
      <c r="I3602" t="n">
        <v>1.5</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27813-2023</t>
        </is>
      </c>
      <c r="B3603" t="inlineStr">
        <is>
          <t>avverkningsanmälan</t>
        </is>
      </c>
      <c r="C3603" t="inlineStr">
        <is>
          <t>Föryngringsavverkning</t>
        </is>
      </c>
      <c r="D3603" s="1" t="n">
        <v>45098</v>
      </c>
      <c r="E3603" s="1" t="n">
        <v>46312</v>
      </c>
      <c r="F3603" t="inlineStr">
        <is>
          <t>SKÅNE LÄN</t>
        </is>
      </c>
      <c r="G3603" t="inlineStr">
        <is>
          <t>KLIPPAN</t>
        </is>
      </c>
      <c r="I3603" t="n">
        <v>1.3</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29867-2026</t>
        </is>
      </c>
      <c r="B3604" t="inlineStr">
        <is>
          <t>avverkningsanmälan</t>
        </is>
      </c>
      <c r="C3604" t="inlineStr">
        <is>
          <t>Föryngringsavverkning</t>
        </is>
      </c>
      <c r="D3604" s="1" t="n">
        <v>46205</v>
      </c>
      <c r="E3604" s="1" t="n">
        <v>46312</v>
      </c>
      <c r="F3604" t="inlineStr">
        <is>
          <t>SKÅNE LÄN</t>
        </is>
      </c>
      <c r="G3604" t="inlineStr">
        <is>
          <t>HÖÖR</t>
        </is>
      </c>
      <c r="I3604" t="n">
        <v>1.7</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11454-2023</t>
        </is>
      </c>
      <c r="B3605" t="inlineStr">
        <is>
          <t>avverkningsanmälan</t>
        </is>
      </c>
      <c r="C3605" t="inlineStr">
        <is>
          <t>Föryngringsavverkning</t>
        </is>
      </c>
      <c r="D3605" s="1" t="n">
        <v>44993</v>
      </c>
      <c r="E3605" s="1" t="n">
        <v>46312</v>
      </c>
      <c r="F3605" t="inlineStr">
        <is>
          <t>SKÅNE LÄN</t>
        </is>
      </c>
      <c r="G3605" t="inlineStr">
        <is>
          <t>BROMÖLLA</t>
        </is>
      </c>
      <c r="I3605" t="n">
        <v>3.3</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6087-2025</t>
        </is>
      </c>
      <c r="B3606" t="inlineStr">
        <is>
          <t>avverkningsanmälan</t>
        </is>
      </c>
      <c r="C3606" t="inlineStr">
        <is>
          <t>Avverkning för att bevara och utveckla /försöksver</t>
        </is>
      </c>
      <c r="D3606" s="1" t="n">
        <v>45697</v>
      </c>
      <c r="E3606" s="1" t="n">
        <v>46312</v>
      </c>
      <c r="F3606" t="inlineStr">
        <is>
          <t>SKÅNE LÄN</t>
        </is>
      </c>
      <c r="G3606" t="inlineStr">
        <is>
          <t>HÄSSLEHOLM</t>
        </is>
      </c>
      <c r="I3606" t="n">
        <v>1.4</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31986-2023</t>
        </is>
      </c>
      <c r="B3607" t="inlineStr">
        <is>
          <t>avverkningsanmälan</t>
        </is>
      </c>
      <c r="C3607" t="inlineStr">
        <is>
          <t>Avverkning för annat ändamål</t>
        </is>
      </c>
      <c r="D3607" s="1" t="n">
        <v>45119</v>
      </c>
      <c r="E3607" s="1" t="n">
        <v>46312</v>
      </c>
      <c r="F3607" t="inlineStr">
        <is>
          <t>SKÅNE LÄN</t>
        </is>
      </c>
      <c r="G3607" t="inlineStr">
        <is>
          <t>HÄSSLEHOLM</t>
        </is>
      </c>
      <c r="I3607" t="n">
        <v>1.7</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58387-2022</t>
        </is>
      </c>
      <c r="B3608" t="inlineStr">
        <is>
          <t>avverkningsanmälan</t>
        </is>
      </c>
      <c r="C3608" t="inlineStr">
        <is>
          <t>Föryngringsavverkning</t>
        </is>
      </c>
      <c r="D3608" s="1" t="n">
        <v>44901</v>
      </c>
      <c r="E3608" s="1" t="n">
        <v>46312</v>
      </c>
      <c r="F3608" t="inlineStr">
        <is>
          <t>SKÅNE LÄN</t>
        </is>
      </c>
      <c r="G3608" t="inlineStr">
        <is>
          <t>KLIPPAN</t>
        </is>
      </c>
      <c r="H3608" t="inlineStr">
        <is>
          <t>Kommuner</t>
        </is>
      </c>
      <c r="I3608" t="n">
        <v>1</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62044-2022</t>
        </is>
      </c>
      <c r="B3609" t="inlineStr">
        <is>
          <t>avverkningsanmälan</t>
        </is>
      </c>
      <c r="C3609" t="inlineStr">
        <is>
          <t>Föryngringsavverkning</t>
        </is>
      </c>
      <c r="D3609" s="1" t="n">
        <v>44918</v>
      </c>
      <c r="E3609" s="1" t="n">
        <v>46312</v>
      </c>
      <c r="F3609" t="inlineStr">
        <is>
          <t>SKÅNE LÄN</t>
        </is>
      </c>
      <c r="G3609" t="inlineStr">
        <is>
          <t>HÄSSLEHOLM</t>
        </is>
      </c>
      <c r="I3609" t="n">
        <v>2.1</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7745-2025</t>
        </is>
      </c>
      <c r="B3610" t="inlineStr">
        <is>
          <t>avverkningsanmälan</t>
        </is>
      </c>
      <c r="C3610" t="inlineStr">
        <is>
          <t>Avverkning för annat ändamål</t>
        </is>
      </c>
      <c r="D3610" s="1" t="n">
        <v>45706</v>
      </c>
      <c r="E3610" s="1" t="n">
        <v>46312</v>
      </c>
      <c r="F3610" t="inlineStr">
        <is>
          <t>SKÅNE LÄN</t>
        </is>
      </c>
      <c r="G3610" t="inlineStr">
        <is>
          <t>TOMELILLA</t>
        </is>
      </c>
      <c r="I3610" t="n">
        <v>0.4</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7831-2025</t>
        </is>
      </c>
      <c r="B3611" t="inlineStr">
        <is>
          <t>avverkningsanmälan</t>
        </is>
      </c>
      <c r="C3611" t="inlineStr">
        <is>
          <t>Föryngringsavverkning</t>
        </is>
      </c>
      <c r="D3611" s="1" t="n">
        <v>45706</v>
      </c>
      <c r="E3611" s="1" t="n">
        <v>46312</v>
      </c>
      <c r="F3611" t="inlineStr">
        <is>
          <t>SKÅNE LÄN</t>
        </is>
      </c>
      <c r="G3611" t="inlineStr">
        <is>
          <t>HÖRBY</t>
        </is>
      </c>
      <c r="I3611" t="n">
        <v>0.6</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58269-2022</t>
        </is>
      </c>
      <c r="B3612" t="inlineStr">
        <is>
          <t>avverkningsanmälan</t>
        </is>
      </c>
      <c r="C3612" t="inlineStr">
        <is>
          <t>Föryngringsavverkning</t>
        </is>
      </c>
      <c r="D3612" s="1" t="n">
        <v>44894</v>
      </c>
      <c r="E3612" s="1" t="n">
        <v>46312</v>
      </c>
      <c r="F3612" t="inlineStr">
        <is>
          <t>SKÅNE LÄN</t>
        </is>
      </c>
      <c r="G3612" t="inlineStr">
        <is>
          <t>KRISTIANSTAD</t>
        </is>
      </c>
      <c r="I3612" t="n">
        <v>14.9</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50380-2023</t>
        </is>
      </c>
      <c r="B3613" t="inlineStr">
        <is>
          <t>avverkningsanmälan</t>
        </is>
      </c>
      <c r="C3613" t="inlineStr">
        <is>
          <t>Föryngringsavverkning</t>
        </is>
      </c>
      <c r="D3613" s="1" t="n">
        <v>45216</v>
      </c>
      <c r="E3613" s="1" t="n">
        <v>46312</v>
      </c>
      <c r="F3613" t="inlineStr">
        <is>
          <t>SKÅNE LÄN</t>
        </is>
      </c>
      <c r="G3613" t="inlineStr">
        <is>
          <t>OSBY</t>
        </is>
      </c>
      <c r="I3613" t="n">
        <v>2.5</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26708-2023</t>
        </is>
      </c>
      <c r="B3614" t="inlineStr">
        <is>
          <t>avverkningsanmälan</t>
        </is>
      </c>
      <c r="C3614" t="inlineStr">
        <is>
          <t>Föryngringsavverkning</t>
        </is>
      </c>
      <c r="D3614" s="1" t="n">
        <v>45093</v>
      </c>
      <c r="E3614" s="1" t="n">
        <v>46312</v>
      </c>
      <c r="F3614" t="inlineStr">
        <is>
          <t>SKÅNE LÄN</t>
        </is>
      </c>
      <c r="G3614" t="inlineStr">
        <is>
          <t>BJUV</t>
        </is>
      </c>
      <c r="I3614" t="n">
        <v>4.1</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26730-2023</t>
        </is>
      </c>
      <c r="B3615" t="inlineStr">
        <is>
          <t>avverkningsanmälan</t>
        </is>
      </c>
      <c r="C3615" t="inlineStr">
        <is>
          <t>Avverkning för annat ändamål</t>
        </is>
      </c>
      <c r="D3615" s="1" t="n">
        <v>45090</v>
      </c>
      <c r="E3615" s="1" t="n">
        <v>46312</v>
      </c>
      <c r="F3615" t="inlineStr">
        <is>
          <t>SKÅNE LÄN</t>
        </is>
      </c>
      <c r="G3615" t="inlineStr">
        <is>
          <t>SJÖBO</t>
        </is>
      </c>
      <c r="H3615" t="inlineStr">
        <is>
          <t>Sveaskog</t>
        </is>
      </c>
      <c r="I3615" t="n">
        <v>2.4</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13611-2025</t>
        </is>
      </c>
      <c r="B3616" t="inlineStr">
        <is>
          <t>avverkningsanmälan</t>
        </is>
      </c>
      <c r="C3616" t="inlineStr">
        <is>
          <t>Föryngringsavverkning</t>
        </is>
      </c>
      <c r="D3616" s="1" t="n">
        <v>45736</v>
      </c>
      <c r="E3616" s="1" t="n">
        <v>46312</v>
      </c>
      <c r="F3616" t="inlineStr">
        <is>
          <t>SKÅNE LÄN</t>
        </is>
      </c>
      <c r="G3616" t="inlineStr">
        <is>
          <t>ÖRKELLJUNGA</t>
        </is>
      </c>
      <c r="I3616" t="n">
        <v>2.1</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25766-2024</t>
        </is>
      </c>
      <c r="B3617" t="inlineStr">
        <is>
          <t>avverkningsanmälan</t>
        </is>
      </c>
      <c r="C3617" t="inlineStr">
        <is>
          <t>Föryngringsavverkning</t>
        </is>
      </c>
      <c r="D3617" s="1" t="n">
        <v>45465</v>
      </c>
      <c r="E3617" s="1" t="n">
        <v>46312</v>
      </c>
      <c r="F3617" t="inlineStr">
        <is>
          <t>SKÅNE LÄN</t>
        </is>
      </c>
      <c r="G3617" t="inlineStr">
        <is>
          <t>KRISTIANSTAD</t>
        </is>
      </c>
      <c r="I3617" t="n">
        <v>7.3</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23967-2022</t>
        </is>
      </c>
      <c r="B3618" t="inlineStr">
        <is>
          <t>avverkningsanmälan</t>
        </is>
      </c>
      <c r="C3618" t="inlineStr">
        <is>
          <t>Föryngringsavverkning</t>
        </is>
      </c>
      <c r="D3618" s="1" t="n">
        <v>44722</v>
      </c>
      <c r="E3618" s="1" t="n">
        <v>46312</v>
      </c>
      <c r="F3618" t="inlineStr">
        <is>
          <t>SKÅNE LÄN</t>
        </is>
      </c>
      <c r="G3618" t="inlineStr">
        <is>
          <t>HÄSSLEHOLM</t>
        </is>
      </c>
      <c r="H3618" t="inlineStr">
        <is>
          <t>Kyrkan</t>
        </is>
      </c>
      <c r="I3618" t="n">
        <v>12.4</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28858-2025</t>
        </is>
      </c>
      <c r="B3619" t="inlineStr">
        <is>
          <t>avverkningsanmälan</t>
        </is>
      </c>
      <c r="C3619" t="inlineStr">
        <is>
          <t>Föryngringsavverkning</t>
        </is>
      </c>
      <c r="D3619" s="1" t="n">
        <v>45820</v>
      </c>
      <c r="E3619" s="1" t="n">
        <v>46312</v>
      </c>
      <c r="F3619" t="inlineStr">
        <is>
          <t>SKÅNE LÄN</t>
        </is>
      </c>
      <c r="G3619" t="inlineStr">
        <is>
          <t>ÖSTRA GÖINGE</t>
        </is>
      </c>
      <c r="I3619" t="n">
        <v>3.3</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27452-2024</t>
        </is>
      </c>
      <c r="B3620" t="inlineStr">
        <is>
          <t>avverkningsanmälan</t>
        </is>
      </c>
      <c r="C3620" t="inlineStr">
        <is>
          <t>Föryngringsavverkning</t>
        </is>
      </c>
      <c r="D3620" s="1" t="n">
        <v>45474</v>
      </c>
      <c r="E3620" s="1" t="n">
        <v>46312</v>
      </c>
      <c r="F3620" t="inlineStr">
        <is>
          <t>SKÅNE LÄN</t>
        </is>
      </c>
      <c r="G3620" t="inlineStr">
        <is>
          <t>KLIPPAN</t>
        </is>
      </c>
      <c r="I3620" t="n">
        <v>1</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23264-2026</t>
        </is>
      </c>
      <c r="B3621" t="inlineStr">
        <is>
          <t>avverkningsanmälan</t>
        </is>
      </c>
      <c r="C3621" t="inlineStr">
        <is>
          <t>Föryngringsavverkning</t>
        </is>
      </c>
      <c r="D3621" s="1" t="n">
        <v>46162</v>
      </c>
      <c r="E3621" s="1" t="n">
        <v>46312</v>
      </c>
      <c r="F3621" t="inlineStr">
        <is>
          <t>SKÅNE LÄN</t>
        </is>
      </c>
      <c r="G3621" t="inlineStr">
        <is>
          <t>HÄSSLEHOLM</t>
        </is>
      </c>
      <c r="I3621" t="n">
        <v>1</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20381-2026</t>
        </is>
      </c>
      <c r="B3622" t="inlineStr">
        <is>
          <t>avverkningsanmälan</t>
        </is>
      </c>
      <c r="C3622" t="inlineStr">
        <is>
          <t>Föryngringsavverkning</t>
        </is>
      </c>
      <c r="D3622" s="1" t="n">
        <v>46139</v>
      </c>
      <c r="E3622" s="1" t="n">
        <v>46312</v>
      </c>
      <c r="F3622" t="inlineStr">
        <is>
          <t>SKÅNE LÄN</t>
        </is>
      </c>
      <c r="G3622" t="inlineStr">
        <is>
          <t>HÄSSLEHOLM</t>
        </is>
      </c>
      <c r="I3622" t="n">
        <v>1.7</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24930-2024</t>
        </is>
      </c>
      <c r="B3623" t="inlineStr">
        <is>
          <t>avverkningsanmälan</t>
        </is>
      </c>
      <c r="C3623" t="inlineStr">
        <is>
          <t>Föryngringsavverkning</t>
        </is>
      </c>
      <c r="D3623" s="1" t="n">
        <v>45461</v>
      </c>
      <c r="E3623" s="1" t="n">
        <v>46312</v>
      </c>
      <c r="F3623" t="inlineStr">
        <is>
          <t>SKÅNE LÄN</t>
        </is>
      </c>
      <c r="G3623" t="inlineStr">
        <is>
          <t>KRISTIANSTAD</t>
        </is>
      </c>
      <c r="H3623" t="inlineStr">
        <is>
          <t>Sveaskog</t>
        </is>
      </c>
      <c r="I3623" t="n">
        <v>1.1</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52307-2023</t>
        </is>
      </c>
      <c r="B3624" t="inlineStr">
        <is>
          <t>avverkningsanmälan</t>
        </is>
      </c>
      <c r="C3624" t="inlineStr">
        <is>
          <t>Föryngringsavverkning</t>
        </is>
      </c>
      <c r="D3624" s="1" t="n">
        <v>45217</v>
      </c>
      <c r="E3624" s="1" t="n">
        <v>46312</v>
      </c>
      <c r="F3624" t="inlineStr">
        <is>
          <t>SKÅNE LÄN</t>
        </is>
      </c>
      <c r="G3624" t="inlineStr">
        <is>
          <t>BROMÖLLA</t>
        </is>
      </c>
      <c r="I3624" t="n">
        <v>1.1</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52341-2023</t>
        </is>
      </c>
      <c r="B3625" t="inlineStr">
        <is>
          <t>avverkningsanmälan</t>
        </is>
      </c>
      <c r="C3625" t="inlineStr">
        <is>
          <t>Föryngringsavverkning</t>
        </is>
      </c>
      <c r="D3625" s="1" t="n">
        <v>45224</v>
      </c>
      <c r="E3625" s="1" t="n">
        <v>46312</v>
      </c>
      <c r="F3625" t="inlineStr">
        <is>
          <t>SKÅNE LÄN</t>
        </is>
      </c>
      <c r="G3625" t="inlineStr">
        <is>
          <t>HÄSSLEHOLM</t>
        </is>
      </c>
      <c r="I3625" t="n">
        <v>0.6</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56750-2023</t>
        </is>
      </c>
      <c r="B3626" t="inlineStr">
        <is>
          <t>avverkningsanmälan</t>
        </is>
      </c>
      <c r="C3626" t="inlineStr">
        <is>
          <t>Föryngringsavverkning</t>
        </is>
      </c>
      <c r="D3626" s="1" t="n">
        <v>45238</v>
      </c>
      <c r="E3626" s="1" t="n">
        <v>46312</v>
      </c>
      <c r="F3626" t="inlineStr">
        <is>
          <t>SKÅNE LÄN</t>
        </is>
      </c>
      <c r="G3626" t="inlineStr">
        <is>
          <t>HÖRBY</t>
        </is>
      </c>
      <c r="I3626" t="n">
        <v>0.8</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54973-2025</t>
        </is>
      </c>
      <c r="B3627" t="inlineStr">
        <is>
          <t>avverkningsanmälan</t>
        </is>
      </c>
      <c r="C3627" t="inlineStr">
        <is>
          <t>Föryngringsavverkning</t>
        </is>
      </c>
      <c r="D3627" s="1" t="n">
        <v>45967</v>
      </c>
      <c r="E3627" s="1" t="n">
        <v>46312</v>
      </c>
      <c r="F3627" t="inlineStr">
        <is>
          <t>SKÅNE LÄN</t>
        </is>
      </c>
      <c r="G3627" t="inlineStr">
        <is>
          <t>ÖSTRA GÖINGE</t>
        </is>
      </c>
      <c r="H3627" t="inlineStr">
        <is>
          <t>Sveaskog</t>
        </is>
      </c>
      <c r="I3627" t="n">
        <v>2.8</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66984-2021</t>
        </is>
      </c>
      <c r="B3628" t="inlineStr">
        <is>
          <t>avverkningsanmälan</t>
        </is>
      </c>
      <c r="C3628" t="inlineStr">
        <is>
          <t>Föryngringsavverkning</t>
        </is>
      </c>
      <c r="D3628" s="1" t="n">
        <v>44522</v>
      </c>
      <c r="E3628" s="1" t="n">
        <v>46312</v>
      </c>
      <c r="F3628" t="inlineStr">
        <is>
          <t>SKÅNE LÄN</t>
        </is>
      </c>
      <c r="G3628" t="inlineStr">
        <is>
          <t>OSBY</t>
        </is>
      </c>
      <c r="I3628" t="n">
        <v>1</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20382-2026</t>
        </is>
      </c>
      <c r="B3629" t="inlineStr">
        <is>
          <t>avverkningsanmälan</t>
        </is>
      </c>
      <c r="C3629" t="inlineStr">
        <is>
          <t>Föryngringsavverkning</t>
        </is>
      </c>
      <c r="D3629" s="1" t="n">
        <v>46139</v>
      </c>
      <c r="E3629" s="1" t="n">
        <v>46312</v>
      </c>
      <c r="F3629" t="inlineStr">
        <is>
          <t>SKÅNE LÄN</t>
        </is>
      </c>
      <c r="G3629" t="inlineStr">
        <is>
          <t>HÄSSLEHOLM</t>
        </is>
      </c>
      <c r="I3629" t="n">
        <v>0.7</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9840-2022</t>
        </is>
      </c>
      <c r="B3630" t="inlineStr">
        <is>
          <t>avverkningsanmälan</t>
        </is>
      </c>
      <c r="C3630" t="inlineStr">
        <is>
          <t>Föryngringsavverkning</t>
        </is>
      </c>
      <c r="D3630" s="1" t="n">
        <v>44620</v>
      </c>
      <c r="E3630" s="1" t="n">
        <v>46312</v>
      </c>
      <c r="F3630" t="inlineStr">
        <is>
          <t>SKÅNE LÄN</t>
        </is>
      </c>
      <c r="G3630" t="inlineStr">
        <is>
          <t>OSBY</t>
        </is>
      </c>
      <c r="H3630" t="inlineStr">
        <is>
          <t>Kommuner</t>
        </is>
      </c>
      <c r="I3630" t="n">
        <v>5.9</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30111-2026</t>
        </is>
      </c>
      <c r="B3631" t="inlineStr">
        <is>
          <t>avverkningsanmälan</t>
        </is>
      </c>
      <c r="C3631" t="inlineStr">
        <is>
          <t>Avverkning för annat ändamål</t>
        </is>
      </c>
      <c r="D3631" s="1" t="n">
        <v>46206</v>
      </c>
      <c r="E3631" s="1" t="n">
        <v>46312</v>
      </c>
      <c r="F3631" t="inlineStr">
        <is>
          <t>SKÅNE LÄN</t>
        </is>
      </c>
      <c r="G3631" t="inlineStr">
        <is>
          <t>ÖSTRA GÖINGE</t>
        </is>
      </c>
      <c r="I3631" t="n">
        <v>1.9</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54709-2023</t>
        </is>
      </c>
      <c r="B3632" t="inlineStr">
        <is>
          <t>avverkningsanmälan</t>
        </is>
      </c>
      <c r="C3632" t="inlineStr">
        <is>
          <t>Föryngringsavverkning</t>
        </is>
      </c>
      <c r="D3632" s="1" t="n">
        <v>45236</v>
      </c>
      <c r="E3632" s="1" t="n">
        <v>46312</v>
      </c>
      <c r="F3632" t="inlineStr">
        <is>
          <t>SKÅNE LÄN</t>
        </is>
      </c>
      <c r="G3632" t="inlineStr">
        <is>
          <t>ÄNGELHOLM</t>
        </is>
      </c>
      <c r="I3632" t="n">
        <v>3.6</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1562-2023</t>
        </is>
      </c>
      <c r="B3633" t="inlineStr">
        <is>
          <t>avverkningsanmälan</t>
        </is>
      </c>
      <c r="C3633" t="inlineStr">
        <is>
          <t>Föryngringsavverkning</t>
        </is>
      </c>
      <c r="D3633" s="1" t="n">
        <v>44937</v>
      </c>
      <c r="E3633" s="1" t="n">
        <v>46312</v>
      </c>
      <c r="F3633" t="inlineStr">
        <is>
          <t>SKÅNE LÄN</t>
        </is>
      </c>
      <c r="G3633" t="inlineStr">
        <is>
          <t>HÄSSLEHOLM</t>
        </is>
      </c>
      <c r="I3633" t="n">
        <v>2.7</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45900-2023</t>
        </is>
      </c>
      <c r="B3634" t="inlineStr">
        <is>
          <t>avverkningsanmälan</t>
        </is>
      </c>
      <c r="C3634" t="inlineStr">
        <is>
          <t>Föryngringsavverkning</t>
        </is>
      </c>
      <c r="D3634" s="1" t="n">
        <v>45195</v>
      </c>
      <c r="E3634" s="1" t="n">
        <v>46312</v>
      </c>
      <c r="F3634" t="inlineStr">
        <is>
          <t>SKÅNE LÄN</t>
        </is>
      </c>
      <c r="G3634" t="inlineStr">
        <is>
          <t>OSBY</t>
        </is>
      </c>
      <c r="I3634" t="n">
        <v>1.1</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45906-2023</t>
        </is>
      </c>
      <c r="B3635" t="inlineStr">
        <is>
          <t>avverkningsanmälan</t>
        </is>
      </c>
      <c r="C3635" t="inlineStr">
        <is>
          <t>Föryngringsavverkning</t>
        </is>
      </c>
      <c r="D3635" s="1" t="n">
        <v>45195</v>
      </c>
      <c r="E3635" s="1" t="n">
        <v>46312</v>
      </c>
      <c r="F3635" t="inlineStr">
        <is>
          <t>SKÅNE LÄN</t>
        </is>
      </c>
      <c r="G3635" t="inlineStr">
        <is>
          <t>OSBY</t>
        </is>
      </c>
      <c r="I3635" t="n">
        <v>1</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46677-2023</t>
        </is>
      </c>
      <c r="B3636" t="inlineStr">
        <is>
          <t>avverkningsanmälan</t>
        </is>
      </c>
      <c r="C3636" t="inlineStr">
        <is>
          <t>Föryngringsavverkning</t>
        </is>
      </c>
      <c r="D3636" s="1" t="n">
        <v>45198</v>
      </c>
      <c r="E3636" s="1" t="n">
        <v>46312</v>
      </c>
      <c r="F3636" t="inlineStr">
        <is>
          <t>SKÅNE LÄN</t>
        </is>
      </c>
      <c r="G3636" t="inlineStr">
        <is>
          <t>ÖSTRA GÖINGE</t>
        </is>
      </c>
      <c r="I3636" t="n">
        <v>0.5</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49795-2025</t>
        </is>
      </c>
      <c r="B3637" t="inlineStr">
        <is>
          <t>avverkningsanmälan</t>
        </is>
      </c>
      <c r="C3637" t="inlineStr">
        <is>
          <t>Föryngringsavverkning</t>
        </is>
      </c>
      <c r="D3637" s="1" t="n">
        <v>45939</v>
      </c>
      <c r="E3637" s="1" t="n">
        <v>46312</v>
      </c>
      <c r="F3637" t="inlineStr">
        <is>
          <t>SKÅNE LÄN</t>
        </is>
      </c>
      <c r="G3637" t="inlineStr">
        <is>
          <t>ÖSTRA GÖINGE</t>
        </is>
      </c>
      <c r="I3637" t="n">
        <v>0.7</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11808-2024</t>
        </is>
      </c>
      <c r="B3638" t="inlineStr">
        <is>
          <t>avverkningsanmälan</t>
        </is>
      </c>
      <c r="C3638" t="inlineStr">
        <is>
          <t>Föryngringsavverkning</t>
        </is>
      </c>
      <c r="D3638" s="1" t="n">
        <v>45375</v>
      </c>
      <c r="E3638" s="1" t="n">
        <v>46312</v>
      </c>
      <c r="F3638" t="inlineStr">
        <is>
          <t>SKÅNE LÄN</t>
        </is>
      </c>
      <c r="G3638" t="inlineStr">
        <is>
          <t>OSBY</t>
        </is>
      </c>
      <c r="I3638" t="n">
        <v>2</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7857-2022</t>
        </is>
      </c>
      <c r="B3639" t="inlineStr">
        <is>
          <t>avverkningsanmälan</t>
        </is>
      </c>
      <c r="C3639" t="inlineStr">
        <is>
          <t>Föryngringsavverkning</t>
        </is>
      </c>
      <c r="D3639" s="1" t="n">
        <v>44607</v>
      </c>
      <c r="E3639" s="1" t="n">
        <v>46312</v>
      </c>
      <c r="F3639" t="inlineStr">
        <is>
          <t>SKÅNE LÄN</t>
        </is>
      </c>
      <c r="G3639" t="inlineStr">
        <is>
          <t>HÄSSLEHOLM</t>
        </is>
      </c>
      <c r="H3639" t="inlineStr">
        <is>
          <t>Kyrkan</t>
        </is>
      </c>
      <c r="I3639" t="n">
        <v>12.2</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45596-2024</t>
        </is>
      </c>
      <c r="B3640" t="inlineStr">
        <is>
          <t>avverkningsanmälan</t>
        </is>
      </c>
      <c r="C3640" t="inlineStr">
        <is>
          <t>Föryngringsavverkning</t>
        </is>
      </c>
      <c r="D3640" s="1" t="n">
        <v>45579</v>
      </c>
      <c r="E3640" s="1" t="n">
        <v>46312</v>
      </c>
      <c r="F3640" t="inlineStr">
        <is>
          <t>SKÅNE LÄN</t>
        </is>
      </c>
      <c r="G3640" t="inlineStr">
        <is>
          <t>KLIPPAN</t>
        </is>
      </c>
      <c r="I3640" t="n">
        <v>0.9</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9840-2022</t>
        </is>
      </c>
      <c r="B3641" t="inlineStr">
        <is>
          <t>avverkningsanmälan</t>
        </is>
      </c>
      <c r="C3641" t="inlineStr">
        <is>
          <t>Föryngringsavverkning</t>
        </is>
      </c>
      <c r="D3641" s="1" t="n">
        <v>44620</v>
      </c>
      <c r="E3641" s="1" t="n">
        <v>46312</v>
      </c>
      <c r="F3641" t="inlineStr">
        <is>
          <t>SKÅNE LÄN</t>
        </is>
      </c>
      <c r="G3641" t="inlineStr">
        <is>
          <t>OSBY</t>
        </is>
      </c>
      <c r="H3641" t="inlineStr">
        <is>
          <t>Kommuner</t>
        </is>
      </c>
      <c r="I3641" t="n">
        <v>5.9</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8239-2025</t>
        </is>
      </c>
      <c r="B3642" t="inlineStr">
        <is>
          <t>avverkningsanmälan</t>
        </is>
      </c>
      <c r="C3642" t="inlineStr">
        <is>
          <t>Föryngringsavverkning</t>
        </is>
      </c>
      <c r="D3642" s="1" t="n">
        <v>45708</v>
      </c>
      <c r="E3642" s="1" t="n">
        <v>46312</v>
      </c>
      <c r="F3642" t="inlineStr">
        <is>
          <t>SKÅNE LÄN</t>
        </is>
      </c>
      <c r="G3642" t="inlineStr">
        <is>
          <t>HÄSSLEHOLM</t>
        </is>
      </c>
      <c r="I3642" t="n">
        <v>2.7</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21658-2026</t>
        </is>
      </c>
      <c r="B3643" t="inlineStr">
        <is>
          <t>avverkningsanmälan</t>
        </is>
      </c>
      <c r="C3643" t="inlineStr">
        <is>
          <t>Föryngringsavverkning</t>
        </is>
      </c>
      <c r="D3643" s="1" t="n">
        <v>46149</v>
      </c>
      <c r="E3643" s="1" t="n">
        <v>46312</v>
      </c>
      <c r="F3643" t="inlineStr">
        <is>
          <t>SKÅNE LÄN</t>
        </is>
      </c>
      <c r="G3643" t="inlineStr">
        <is>
          <t>HÄSSLEHOLM</t>
        </is>
      </c>
      <c r="I3643" t="n">
        <v>2.6</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24987-2026</t>
        </is>
      </c>
      <c r="B3644" t="inlineStr">
        <is>
          <t>avverkningsanmälan</t>
        </is>
      </c>
      <c r="C3644" t="inlineStr">
        <is>
          <t>Föryngringsavverkning</t>
        </is>
      </c>
      <c r="D3644" s="1" t="n">
        <v>46174</v>
      </c>
      <c r="E3644" s="1" t="n">
        <v>46312</v>
      </c>
      <c r="F3644" t="inlineStr">
        <is>
          <t>SKÅNE LÄN</t>
        </is>
      </c>
      <c r="G3644" t="inlineStr">
        <is>
          <t>TOMELILLA</t>
        </is>
      </c>
      <c r="I3644" t="n">
        <v>0.8</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43947-2024</t>
        </is>
      </c>
      <c r="B3645" t="inlineStr">
        <is>
          <t>avverkningsanmälan</t>
        </is>
      </c>
      <c r="C3645" t="inlineStr">
        <is>
          <t>Föryngringsavverkning</t>
        </is>
      </c>
      <c r="D3645" s="1" t="n">
        <v>45572</v>
      </c>
      <c r="E3645" s="1" t="n">
        <v>46312</v>
      </c>
      <c r="F3645" t="inlineStr">
        <is>
          <t>SKÅNE LÄN</t>
        </is>
      </c>
      <c r="G3645" t="inlineStr">
        <is>
          <t>OSBY</t>
        </is>
      </c>
      <c r="I3645" t="n">
        <v>1.6</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43871-2022</t>
        </is>
      </c>
      <c r="B3646" t="inlineStr">
        <is>
          <t>avverkningsanmälan</t>
        </is>
      </c>
      <c r="C3646" t="inlineStr">
        <is>
          <t>Föryngringsavverkning</t>
        </is>
      </c>
      <c r="D3646" s="1" t="n">
        <v>44838</v>
      </c>
      <c r="E3646" s="1" t="n">
        <v>46312</v>
      </c>
      <c r="F3646" t="inlineStr">
        <is>
          <t>SKÅNE LÄN</t>
        </is>
      </c>
      <c r="G3646" t="inlineStr">
        <is>
          <t>HÖÖR</t>
        </is>
      </c>
      <c r="I3646" t="n">
        <v>1.2</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43884-2022</t>
        </is>
      </c>
      <c r="B3647" t="inlineStr">
        <is>
          <t>avverkningsanmälan</t>
        </is>
      </c>
      <c r="C3647" t="inlineStr">
        <is>
          <t>Föryngringsavverkning</t>
        </is>
      </c>
      <c r="D3647" s="1" t="n">
        <v>44838</v>
      </c>
      <c r="E3647" s="1" t="n">
        <v>46312</v>
      </c>
      <c r="F3647" t="inlineStr">
        <is>
          <t>SKÅNE LÄN</t>
        </is>
      </c>
      <c r="G3647" t="inlineStr">
        <is>
          <t>HÖÖR</t>
        </is>
      </c>
      <c r="I3647" t="n">
        <v>1.4</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36921-2024</t>
        </is>
      </c>
      <c r="B3648" t="inlineStr">
        <is>
          <t>avverkningsanmälan</t>
        </is>
      </c>
      <c r="C3648" t="inlineStr">
        <is>
          <t>Föryngringsavverkning</t>
        </is>
      </c>
      <c r="D3648" s="1" t="n">
        <v>45538</v>
      </c>
      <c r="E3648" s="1" t="n">
        <v>46312</v>
      </c>
      <c r="F3648" t="inlineStr">
        <is>
          <t>SKÅNE LÄN</t>
        </is>
      </c>
      <c r="G3648" t="inlineStr">
        <is>
          <t>ÖSTRA GÖINGE</t>
        </is>
      </c>
      <c r="I3648" t="n">
        <v>2</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38323-2023</t>
        </is>
      </c>
      <c r="B3649" t="inlineStr">
        <is>
          <t>avverkningsanmälan</t>
        </is>
      </c>
      <c r="C3649" t="inlineStr">
        <is>
          <t>Föryngringsavverkning</t>
        </is>
      </c>
      <c r="D3649" s="1" t="n">
        <v>45161</v>
      </c>
      <c r="E3649" s="1" t="n">
        <v>46312</v>
      </c>
      <c r="F3649" t="inlineStr">
        <is>
          <t>SKÅNE LÄN</t>
        </is>
      </c>
      <c r="G3649" t="inlineStr">
        <is>
          <t>KLIPPAN</t>
        </is>
      </c>
      <c r="I3649" t="n">
        <v>3.7</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38325-2023</t>
        </is>
      </c>
      <c r="B3650" t="inlineStr">
        <is>
          <t>avverkningsanmälan</t>
        </is>
      </c>
      <c r="C3650" t="inlineStr">
        <is>
          <t>Föryngringsavverkning</t>
        </is>
      </c>
      <c r="D3650" s="1" t="n">
        <v>45161</v>
      </c>
      <c r="E3650" s="1" t="n">
        <v>46312</v>
      </c>
      <c r="F3650" t="inlineStr">
        <is>
          <t>SKÅNE LÄN</t>
        </is>
      </c>
      <c r="G3650" t="inlineStr">
        <is>
          <t>KLIPPAN</t>
        </is>
      </c>
      <c r="I3650" t="n">
        <v>4.1</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38328-2023</t>
        </is>
      </c>
      <c r="B3651" t="inlineStr">
        <is>
          <t>avverkningsanmälan</t>
        </is>
      </c>
      <c r="C3651" t="inlineStr">
        <is>
          <t>Föryngringsavverkning</t>
        </is>
      </c>
      <c r="D3651" s="1" t="n">
        <v>45161</v>
      </c>
      <c r="E3651" s="1" t="n">
        <v>46312</v>
      </c>
      <c r="F3651" t="inlineStr">
        <is>
          <t>SKÅNE LÄN</t>
        </is>
      </c>
      <c r="G3651" t="inlineStr">
        <is>
          <t>PERSTORP</t>
        </is>
      </c>
      <c r="I3651" t="n">
        <v>0.4</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58134-2022</t>
        </is>
      </c>
      <c r="B3652" t="inlineStr">
        <is>
          <t>avverkningsanmälan</t>
        </is>
      </c>
      <c r="C3652" t="inlineStr">
        <is>
          <t>Föryngringsavverkning</t>
        </is>
      </c>
      <c r="D3652" s="1" t="n">
        <v>44900</v>
      </c>
      <c r="E3652" s="1" t="n">
        <v>46312</v>
      </c>
      <c r="F3652" t="inlineStr">
        <is>
          <t>SKÅNE LÄN</t>
        </is>
      </c>
      <c r="G3652" t="inlineStr">
        <is>
          <t>ÄNGELHOLM</t>
        </is>
      </c>
      <c r="I3652" t="n">
        <v>1.2</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45348-2023</t>
        </is>
      </c>
      <c r="B3653" t="inlineStr">
        <is>
          <t>avverkningsanmälan</t>
        </is>
      </c>
      <c r="C3653" t="inlineStr">
        <is>
          <t>Föryngringsavverkning</t>
        </is>
      </c>
      <c r="D3653" s="1" t="n">
        <v>45191</v>
      </c>
      <c r="E3653" s="1" t="n">
        <v>46312</v>
      </c>
      <c r="F3653" t="inlineStr">
        <is>
          <t>SKÅNE LÄN</t>
        </is>
      </c>
      <c r="G3653" t="inlineStr">
        <is>
          <t>KRISTIANSTAD</t>
        </is>
      </c>
      <c r="I3653" t="n">
        <v>0.9</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45349-2023</t>
        </is>
      </c>
      <c r="B3654" t="inlineStr">
        <is>
          <t>avverkningsanmälan</t>
        </is>
      </c>
      <c r="C3654" t="inlineStr">
        <is>
          <t>Föryngringsavverkning</t>
        </is>
      </c>
      <c r="D3654" s="1" t="n">
        <v>45191</v>
      </c>
      <c r="E3654" s="1" t="n">
        <v>46312</v>
      </c>
      <c r="F3654" t="inlineStr">
        <is>
          <t>SKÅNE LÄN</t>
        </is>
      </c>
      <c r="G3654" t="inlineStr">
        <is>
          <t>HÖÖR</t>
        </is>
      </c>
      <c r="I3654" t="n">
        <v>3.1</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12148-2024</t>
        </is>
      </c>
      <c r="B3655" t="inlineStr">
        <is>
          <t>avverkningsanmälan</t>
        </is>
      </c>
      <c r="C3655" t="inlineStr">
        <is>
          <t>Föryngringsavverkning</t>
        </is>
      </c>
      <c r="D3655" s="1" t="n">
        <v>45377</v>
      </c>
      <c r="E3655" s="1" t="n">
        <v>46312</v>
      </c>
      <c r="F3655" t="inlineStr">
        <is>
          <t>SKÅNE LÄN</t>
        </is>
      </c>
      <c r="G3655" t="inlineStr">
        <is>
          <t>ÄNGELHOLM</t>
        </is>
      </c>
      <c r="I3655" t="n">
        <v>1.5</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27464-2022</t>
        </is>
      </c>
      <c r="B3656" t="inlineStr">
        <is>
          <t>avverkningsanmälan</t>
        </is>
      </c>
      <c r="C3656" t="inlineStr">
        <is>
          <t>Föryngringsavverkning</t>
        </is>
      </c>
      <c r="D3656" s="1" t="n">
        <v>44742</v>
      </c>
      <c r="E3656" s="1" t="n">
        <v>46312</v>
      </c>
      <c r="F3656" t="inlineStr">
        <is>
          <t>SKÅNE LÄN</t>
        </is>
      </c>
      <c r="G3656" t="inlineStr">
        <is>
          <t>HÄSSLEHOLM</t>
        </is>
      </c>
      <c r="I3656" t="n">
        <v>0.8</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42793-2025</t>
        </is>
      </c>
      <c r="B3657" t="inlineStr">
        <is>
          <t>avverkningsanmälan</t>
        </is>
      </c>
      <c r="C3657" t="inlineStr">
        <is>
          <t>Föryngringsavverkning</t>
        </is>
      </c>
      <c r="D3657" s="1" t="n">
        <v>45908</v>
      </c>
      <c r="E3657" s="1" t="n">
        <v>46312</v>
      </c>
      <c r="F3657" t="inlineStr">
        <is>
          <t>SKÅNE LÄN</t>
        </is>
      </c>
      <c r="G3657" t="inlineStr">
        <is>
          <t>OSBY</t>
        </is>
      </c>
      <c r="I3657" t="n">
        <v>1</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59245-2025</t>
        </is>
      </c>
      <c r="B3658" t="inlineStr">
        <is>
          <t>avverkningsanmälan</t>
        </is>
      </c>
      <c r="C3658" t="inlineStr">
        <is>
          <t>Föryngringsavverkning</t>
        </is>
      </c>
      <c r="D3658" s="1" t="n">
        <v>45988</v>
      </c>
      <c r="E3658" s="1" t="n">
        <v>46312</v>
      </c>
      <c r="F3658" t="inlineStr">
        <is>
          <t>SKÅNE LÄN</t>
        </is>
      </c>
      <c r="G3658" t="inlineStr">
        <is>
          <t>OSBY</t>
        </is>
      </c>
      <c r="I3658" t="n">
        <v>7.7</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826-2024</t>
        </is>
      </c>
      <c r="B3659" t="inlineStr">
        <is>
          <t>avverkningsanmälan</t>
        </is>
      </c>
      <c r="C3659" t="inlineStr">
        <is>
          <t>Föryngringsavverkning</t>
        </is>
      </c>
      <c r="D3659" s="1" t="n">
        <v>45300</v>
      </c>
      <c r="E3659" s="1" t="n">
        <v>46312</v>
      </c>
      <c r="F3659" t="inlineStr">
        <is>
          <t>SKÅNE LÄN</t>
        </is>
      </c>
      <c r="G3659" t="inlineStr">
        <is>
          <t>KRISTIANSTAD</t>
        </is>
      </c>
      <c r="I3659" t="n">
        <v>2.1</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843-2024</t>
        </is>
      </c>
      <c r="B3660" t="inlineStr">
        <is>
          <t>avverkningsanmälan</t>
        </is>
      </c>
      <c r="C3660" t="inlineStr">
        <is>
          <t>Avverkning för annat ändamål</t>
        </is>
      </c>
      <c r="D3660" s="1" t="n">
        <v>45300</v>
      </c>
      <c r="E3660" s="1" t="n">
        <v>46312</v>
      </c>
      <c r="F3660" t="inlineStr">
        <is>
          <t>SKÅNE LÄN</t>
        </is>
      </c>
      <c r="G3660" t="inlineStr">
        <is>
          <t>SKURUP</t>
        </is>
      </c>
      <c r="I3660" t="n">
        <v>0.8</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844-2024</t>
        </is>
      </c>
      <c r="B3661" t="inlineStr">
        <is>
          <t>avverkningsanmälan</t>
        </is>
      </c>
      <c r="C3661" t="inlineStr">
        <is>
          <t>Avverkning för annat ändamål</t>
        </is>
      </c>
      <c r="D3661" s="1" t="n">
        <v>45300</v>
      </c>
      <c r="E3661" s="1" t="n">
        <v>46312</v>
      </c>
      <c r="F3661" t="inlineStr">
        <is>
          <t>SKÅNE LÄN</t>
        </is>
      </c>
      <c r="G3661" t="inlineStr">
        <is>
          <t>SKURUP</t>
        </is>
      </c>
      <c r="I3661" t="n">
        <v>1.2</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885-2024</t>
        </is>
      </c>
      <c r="B3662" t="inlineStr">
        <is>
          <t>avverkningsanmälan</t>
        </is>
      </c>
      <c r="C3662" t="inlineStr">
        <is>
          <t>Föryngringsavverkning</t>
        </is>
      </c>
      <c r="D3662" s="1" t="n">
        <v>45301</v>
      </c>
      <c r="E3662" s="1" t="n">
        <v>46312</v>
      </c>
      <c r="F3662" t="inlineStr">
        <is>
          <t>SKÅNE LÄN</t>
        </is>
      </c>
      <c r="G3662" t="inlineStr">
        <is>
          <t>KRISTIANSTAD</t>
        </is>
      </c>
      <c r="I3662" t="n">
        <v>2.4</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19500-2022</t>
        </is>
      </c>
      <c r="B3663" t="inlineStr">
        <is>
          <t>avverkningsanmälan</t>
        </is>
      </c>
      <c r="C3663" t="inlineStr">
        <is>
          <t>Föryngringsavverkning</t>
        </is>
      </c>
      <c r="D3663" s="1" t="n">
        <v>44693</v>
      </c>
      <c r="E3663" s="1" t="n">
        <v>46312</v>
      </c>
      <c r="F3663" t="inlineStr">
        <is>
          <t>SKÅNE LÄN</t>
        </is>
      </c>
      <c r="G3663" t="inlineStr">
        <is>
          <t>ÄNGELHOLM</t>
        </is>
      </c>
      <c r="I3663" t="n">
        <v>1.2</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29999-2026</t>
        </is>
      </c>
      <c r="B3664" t="inlineStr">
        <is>
          <t>avverkningsanmälan</t>
        </is>
      </c>
      <c r="C3664" t="inlineStr">
        <is>
          <t>Föryngringsavverkning</t>
        </is>
      </c>
      <c r="D3664" s="1" t="n">
        <v>46205</v>
      </c>
      <c r="E3664" s="1" t="n">
        <v>46312</v>
      </c>
      <c r="F3664" t="inlineStr">
        <is>
          <t>SKÅNE LÄN</t>
        </is>
      </c>
      <c r="G3664" t="inlineStr">
        <is>
          <t>OSBY</t>
        </is>
      </c>
      <c r="I3664" t="n">
        <v>5.3</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30202-2026</t>
        </is>
      </c>
      <c r="B3665" t="inlineStr">
        <is>
          <t>avverkningsanmälan</t>
        </is>
      </c>
      <c r="C3665" t="inlineStr">
        <is>
          <t>Föryngringsavverkning</t>
        </is>
      </c>
      <c r="D3665" s="1" t="n">
        <v>46206</v>
      </c>
      <c r="E3665" s="1" t="n">
        <v>46312</v>
      </c>
      <c r="F3665" t="inlineStr">
        <is>
          <t>SKÅNE LÄN</t>
        </is>
      </c>
      <c r="G3665" t="inlineStr">
        <is>
          <t>SVALÖV</t>
        </is>
      </c>
      <c r="I3665" t="n">
        <v>5</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30215-2026</t>
        </is>
      </c>
      <c r="B3666" t="inlineStr">
        <is>
          <t>avverkningsanmälan</t>
        </is>
      </c>
      <c r="C3666" t="inlineStr">
        <is>
          <t>Föryngringsavverkning</t>
        </is>
      </c>
      <c r="D3666" s="1" t="n">
        <v>46206</v>
      </c>
      <c r="E3666" s="1" t="n">
        <v>46312</v>
      </c>
      <c r="F3666" t="inlineStr">
        <is>
          <t>SKÅNE LÄN</t>
        </is>
      </c>
      <c r="G3666" t="inlineStr">
        <is>
          <t>KLIPPAN</t>
        </is>
      </c>
      <c r="H3666" t="inlineStr">
        <is>
          <t>Sveaskog</t>
        </is>
      </c>
      <c r="I3666" t="n">
        <v>2.9</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6798-2025</t>
        </is>
      </c>
      <c r="B3667" t="inlineStr">
        <is>
          <t>avverkningsanmälan</t>
        </is>
      </c>
      <c r="C3667" t="inlineStr">
        <is>
          <t>Föryngringsavverkning</t>
        </is>
      </c>
      <c r="D3667" s="1" t="n">
        <v>45700</v>
      </c>
      <c r="E3667" s="1" t="n">
        <v>46312</v>
      </c>
      <c r="F3667" t="inlineStr">
        <is>
          <t>SKÅNE LÄN</t>
        </is>
      </c>
      <c r="G3667" t="inlineStr">
        <is>
          <t>HÄSSLEHOLM</t>
        </is>
      </c>
      <c r="I3667" t="n">
        <v>0.5</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29856-2026</t>
        </is>
      </c>
      <c r="B3668" t="inlineStr">
        <is>
          <t>avverkningsanmälan</t>
        </is>
      </c>
      <c r="C3668" t="inlineStr">
        <is>
          <t>Föryngringsavverkning</t>
        </is>
      </c>
      <c r="D3668" s="1" t="n">
        <v>46205</v>
      </c>
      <c r="E3668" s="1" t="n">
        <v>46312</v>
      </c>
      <c r="F3668" t="inlineStr">
        <is>
          <t>SKÅNE LÄN</t>
        </is>
      </c>
      <c r="G3668" t="inlineStr">
        <is>
          <t>ÖSTRA GÖINGE</t>
        </is>
      </c>
      <c r="I3668" t="n">
        <v>1.7</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29859-2026</t>
        </is>
      </c>
      <c r="B3669" t="inlineStr">
        <is>
          <t>avverkningsanmälan</t>
        </is>
      </c>
      <c r="C3669" t="inlineStr">
        <is>
          <t>Föryngringsavverkning</t>
        </is>
      </c>
      <c r="D3669" s="1" t="n">
        <v>46205</v>
      </c>
      <c r="E3669" s="1" t="n">
        <v>46312</v>
      </c>
      <c r="F3669" t="inlineStr">
        <is>
          <t>SKÅNE LÄN</t>
        </is>
      </c>
      <c r="G3669" t="inlineStr">
        <is>
          <t>ÖSTRA GÖINGE</t>
        </is>
      </c>
      <c r="I3669" t="n">
        <v>4</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26827-2024</t>
        </is>
      </c>
      <c r="B3670" t="inlineStr">
        <is>
          <t>avverkningsanmälan</t>
        </is>
      </c>
      <c r="C3670" t="inlineStr">
        <is>
          <t>Föryngringsavverkning</t>
        </is>
      </c>
      <c r="D3670" s="1" t="n">
        <v>45470</v>
      </c>
      <c r="E3670" s="1" t="n">
        <v>46312</v>
      </c>
      <c r="F3670" t="inlineStr">
        <is>
          <t>SKÅNE LÄN</t>
        </is>
      </c>
      <c r="G3670" t="inlineStr">
        <is>
          <t>KRISTIANSTAD</t>
        </is>
      </c>
      <c r="I3670" t="n">
        <v>0.5</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29864-2026</t>
        </is>
      </c>
      <c r="B3671" t="inlineStr">
        <is>
          <t>avverkningsanmälan</t>
        </is>
      </c>
      <c r="C3671" t="inlineStr">
        <is>
          <t>Föryngringsavverkning</t>
        </is>
      </c>
      <c r="D3671" s="1" t="n">
        <v>46205</v>
      </c>
      <c r="E3671" s="1" t="n">
        <v>46312</v>
      </c>
      <c r="F3671" t="inlineStr">
        <is>
          <t>SKÅNE LÄN</t>
        </is>
      </c>
      <c r="G3671" t="inlineStr">
        <is>
          <t>ÖSTRA GÖINGE</t>
        </is>
      </c>
      <c r="I3671" t="n">
        <v>2.1</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30285-2026</t>
        </is>
      </c>
      <c r="B3672" t="inlineStr">
        <is>
          <t>avverkningsanmälan</t>
        </is>
      </c>
      <c r="C3672" t="inlineStr">
        <is>
          <t>Föryngringsavverkning</t>
        </is>
      </c>
      <c r="D3672" s="1" t="n">
        <v>46206</v>
      </c>
      <c r="E3672" s="1" t="n">
        <v>46312</v>
      </c>
      <c r="F3672" t="inlineStr">
        <is>
          <t>SKÅNE LÄN</t>
        </is>
      </c>
      <c r="G3672" t="inlineStr">
        <is>
          <t>HÄSSLEHOLM</t>
        </is>
      </c>
      <c r="I3672" t="n">
        <v>1.2</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31114-2026</t>
        </is>
      </c>
      <c r="B3673" t="inlineStr">
        <is>
          <t>avverkningsanmälan</t>
        </is>
      </c>
      <c r="C3673" t="inlineStr">
        <is>
          <t>Föryngringsavverkning</t>
        </is>
      </c>
      <c r="D3673" s="1" t="n">
        <v>46206</v>
      </c>
      <c r="E3673" s="1" t="n">
        <v>46312</v>
      </c>
      <c r="F3673" t="inlineStr">
        <is>
          <t>SKÅNE LÄN</t>
        </is>
      </c>
      <c r="G3673" t="inlineStr">
        <is>
          <t>ÖSTRA GÖINGE</t>
        </is>
      </c>
      <c r="I3673" t="n">
        <v>0.7</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36884-2023</t>
        </is>
      </c>
      <c r="B3674" t="inlineStr">
        <is>
          <t>avverkningsanmälan</t>
        </is>
      </c>
      <c r="C3674" t="inlineStr">
        <is>
          <t>Föryngringsavverkning</t>
        </is>
      </c>
      <c r="D3674" s="1" t="n">
        <v>45154</v>
      </c>
      <c r="E3674" s="1" t="n">
        <v>46312</v>
      </c>
      <c r="F3674" t="inlineStr">
        <is>
          <t>SKÅNE LÄN</t>
        </is>
      </c>
      <c r="G3674" t="inlineStr">
        <is>
          <t>HÖÖR</t>
        </is>
      </c>
      <c r="I3674" t="n">
        <v>1.7</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10752-2025</t>
        </is>
      </c>
      <c r="B3675" t="inlineStr">
        <is>
          <t>avverkningsanmälan</t>
        </is>
      </c>
      <c r="C3675" t="inlineStr">
        <is>
          <t>Föryngringsavverkning</t>
        </is>
      </c>
      <c r="D3675" s="1" t="n">
        <v>45722</v>
      </c>
      <c r="E3675" s="1" t="n">
        <v>46312</v>
      </c>
      <c r="F3675" t="inlineStr">
        <is>
          <t>SKÅNE LÄN</t>
        </is>
      </c>
      <c r="G3675" t="inlineStr">
        <is>
          <t>HÄSSLEHOLM</t>
        </is>
      </c>
      <c r="I3675" t="n">
        <v>1.2</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29845-2026</t>
        </is>
      </c>
      <c r="B3676" t="inlineStr">
        <is>
          <t>avverkningsanmälan</t>
        </is>
      </c>
      <c r="C3676" t="inlineStr">
        <is>
          <t>Föryngringsavverkning</t>
        </is>
      </c>
      <c r="D3676" s="1" t="n">
        <v>46205</v>
      </c>
      <c r="E3676" s="1" t="n">
        <v>46312</v>
      </c>
      <c r="F3676" t="inlineStr">
        <is>
          <t>SKÅNE LÄN</t>
        </is>
      </c>
      <c r="G3676" t="inlineStr">
        <is>
          <t>ÖSTRA GÖINGE</t>
        </is>
      </c>
      <c r="I3676" t="n">
        <v>1.5</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30422-2026</t>
        </is>
      </c>
      <c r="B3677" t="inlineStr">
        <is>
          <t>avverkningsanmälan</t>
        </is>
      </c>
      <c r="C3677" t="inlineStr">
        <is>
          <t>Föryngringsavverkning</t>
        </is>
      </c>
      <c r="D3677" s="1" t="n">
        <v>46209</v>
      </c>
      <c r="E3677" s="1" t="n">
        <v>46312</v>
      </c>
      <c r="F3677" t="inlineStr">
        <is>
          <t>SKÅNE LÄN</t>
        </is>
      </c>
      <c r="G3677" t="inlineStr">
        <is>
          <t>KLIPPAN</t>
        </is>
      </c>
      <c r="H3677" t="inlineStr">
        <is>
          <t>Övriga Aktiebolag</t>
        </is>
      </c>
      <c r="I3677" t="n">
        <v>2.8</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30535-2026</t>
        </is>
      </c>
      <c r="B3678" t="inlineStr">
        <is>
          <t>avverkningsanmälan</t>
        </is>
      </c>
      <c r="C3678" t="inlineStr">
        <is>
          <t>Föryngringsavverkning</t>
        </is>
      </c>
      <c r="D3678" s="1" t="n">
        <v>46210</v>
      </c>
      <c r="E3678" s="1" t="n">
        <v>46312</v>
      </c>
      <c r="F3678" t="inlineStr">
        <is>
          <t>SKÅNE LÄN</t>
        </is>
      </c>
      <c r="G3678" t="inlineStr">
        <is>
          <t>SVALÖV</t>
        </is>
      </c>
      <c r="I3678" t="n">
        <v>0.8</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18434-2023</t>
        </is>
      </c>
      <c r="B3679" t="inlineStr">
        <is>
          <t>avverkningsanmälan</t>
        </is>
      </c>
      <c r="C3679" t="inlineStr">
        <is>
          <t>Föryngringsavverkning</t>
        </is>
      </c>
      <c r="D3679" s="1" t="n">
        <v>45042</v>
      </c>
      <c r="E3679" s="1" t="n">
        <v>46312</v>
      </c>
      <c r="F3679" t="inlineStr">
        <is>
          <t>SKÅNE LÄN</t>
        </is>
      </c>
      <c r="G3679" t="inlineStr">
        <is>
          <t>BÅSTAD</t>
        </is>
      </c>
      <c r="I3679" t="n">
        <v>0.7</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53848-2023</t>
        </is>
      </c>
      <c r="B3680" t="inlineStr">
        <is>
          <t>avverkningsanmälan</t>
        </is>
      </c>
      <c r="C3680" t="inlineStr">
        <is>
          <t>Föryngringsavverkning</t>
        </is>
      </c>
      <c r="D3680" s="1" t="n">
        <v>45231</v>
      </c>
      <c r="E3680" s="1" t="n">
        <v>46312</v>
      </c>
      <c r="F3680" t="inlineStr">
        <is>
          <t>SKÅNE LÄN</t>
        </is>
      </c>
      <c r="G3680" t="inlineStr">
        <is>
          <t>HÖÖR</t>
        </is>
      </c>
      <c r="I3680" t="n">
        <v>1.4</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30353-2026</t>
        </is>
      </c>
      <c r="B3681" t="inlineStr">
        <is>
          <t>avverkningsanmälan</t>
        </is>
      </c>
      <c r="C3681" t="inlineStr">
        <is>
          <t>Föryngringsavverkning</t>
        </is>
      </c>
      <c r="D3681" s="1" t="n">
        <v>46209</v>
      </c>
      <c r="E3681" s="1" t="n">
        <v>46312</v>
      </c>
      <c r="F3681" t="inlineStr">
        <is>
          <t>SKÅNE LÄN</t>
        </is>
      </c>
      <c r="G3681" t="inlineStr">
        <is>
          <t>KLIPPAN</t>
        </is>
      </c>
      <c r="H3681" t="inlineStr">
        <is>
          <t>Sveaskog</t>
        </is>
      </c>
      <c r="I3681" t="n">
        <v>6.2</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14008-2023</t>
        </is>
      </c>
      <c r="B3682" t="inlineStr">
        <is>
          <t>avverkningsanmälan</t>
        </is>
      </c>
      <c r="C3682" t="inlineStr">
        <is>
          <t>Föryngringsavverkning</t>
        </is>
      </c>
      <c r="D3682" s="1" t="n">
        <v>45008</v>
      </c>
      <c r="E3682" s="1" t="n">
        <v>46312</v>
      </c>
      <c r="F3682" t="inlineStr">
        <is>
          <t>SKÅNE LÄN</t>
        </is>
      </c>
      <c r="G3682" t="inlineStr">
        <is>
          <t>HÄSSLEHOLM</t>
        </is>
      </c>
      <c r="I3682" t="n">
        <v>3.3</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30569-2026</t>
        </is>
      </c>
      <c r="B3683" t="inlineStr">
        <is>
          <t>avverkningsanmälan</t>
        </is>
      </c>
      <c r="C3683" t="inlineStr">
        <is>
          <t>Föryngringsavverkning</t>
        </is>
      </c>
      <c r="D3683" s="1" t="n">
        <v>46210</v>
      </c>
      <c r="E3683" s="1" t="n">
        <v>46312</v>
      </c>
      <c r="F3683" t="inlineStr">
        <is>
          <t>SKÅNE LÄN</t>
        </is>
      </c>
      <c r="G3683" t="inlineStr">
        <is>
          <t>HÄSSLEHOLM</t>
        </is>
      </c>
      <c r="I3683" t="n">
        <v>0.5</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30339-2026</t>
        </is>
      </c>
      <c r="B3684" t="inlineStr">
        <is>
          <t>avverkningsanmälan</t>
        </is>
      </c>
      <c r="C3684" t="inlineStr">
        <is>
          <t>Föryngringsavverkning</t>
        </is>
      </c>
      <c r="D3684" s="1" t="n">
        <v>46209</v>
      </c>
      <c r="E3684" s="1" t="n">
        <v>46312</v>
      </c>
      <c r="F3684" t="inlineStr">
        <is>
          <t>SKÅNE LÄN</t>
        </is>
      </c>
      <c r="G3684" t="inlineStr">
        <is>
          <t>HÖÖR</t>
        </is>
      </c>
      <c r="I3684" t="n">
        <v>3.1</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30346-2026</t>
        </is>
      </c>
      <c r="B3685" t="inlineStr">
        <is>
          <t>avverkningsanmälan</t>
        </is>
      </c>
      <c r="C3685" t="inlineStr">
        <is>
          <t>Föryngringsavverkning</t>
        </is>
      </c>
      <c r="D3685" s="1" t="n">
        <v>46209</v>
      </c>
      <c r="E3685" s="1" t="n">
        <v>46312</v>
      </c>
      <c r="F3685" t="inlineStr">
        <is>
          <t>SKÅNE LÄN</t>
        </is>
      </c>
      <c r="G3685" t="inlineStr">
        <is>
          <t>KLIPPAN</t>
        </is>
      </c>
      <c r="H3685" t="inlineStr">
        <is>
          <t>Sveaskog</t>
        </is>
      </c>
      <c r="I3685" t="n">
        <v>5.8</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4605-2025</t>
        </is>
      </c>
      <c r="B3686" t="inlineStr">
        <is>
          <t>avverkningsanmälan</t>
        </is>
      </c>
      <c r="C3686" t="inlineStr">
        <is>
          <t>Föryngringsavverkning</t>
        </is>
      </c>
      <c r="D3686" s="1" t="n">
        <v>45687</v>
      </c>
      <c r="E3686" s="1" t="n">
        <v>46312</v>
      </c>
      <c r="F3686" t="inlineStr">
        <is>
          <t>SKÅNE LÄN</t>
        </is>
      </c>
      <c r="G3686" t="inlineStr">
        <is>
          <t>ÄNGELHOLM</t>
        </is>
      </c>
      <c r="I3686" t="n">
        <v>0.8</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27932-2023</t>
        </is>
      </c>
      <c r="B3687" t="inlineStr">
        <is>
          <t>avverkningsanmälan</t>
        </is>
      </c>
      <c r="C3687" t="inlineStr">
        <is>
          <t>Föryngringsavverkning</t>
        </is>
      </c>
      <c r="D3687" s="1" t="n">
        <v>45098</v>
      </c>
      <c r="E3687" s="1" t="n">
        <v>46312</v>
      </c>
      <c r="F3687" t="inlineStr">
        <is>
          <t>SKÅNE LÄN</t>
        </is>
      </c>
      <c r="G3687" t="inlineStr">
        <is>
          <t>KRISTIANSTAD</t>
        </is>
      </c>
      <c r="I3687" t="n">
        <v>7.2</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315-2022</t>
        </is>
      </c>
      <c r="B3688" t="inlineStr">
        <is>
          <t>avverkningsanmälan</t>
        </is>
      </c>
      <c r="C3688" t="inlineStr">
        <is>
          <t>Föryngringsavverkning</t>
        </is>
      </c>
      <c r="D3688" s="1" t="n">
        <v>44565</v>
      </c>
      <c r="E3688" s="1" t="n">
        <v>46312</v>
      </c>
      <c r="F3688" t="inlineStr">
        <is>
          <t>SKÅNE LÄN</t>
        </is>
      </c>
      <c r="G3688" t="inlineStr">
        <is>
          <t>HÄSSLEHOLM</t>
        </is>
      </c>
      <c r="I3688" t="n">
        <v>0.4</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50196-2022</t>
        </is>
      </c>
      <c r="B3689" t="inlineStr">
        <is>
          <t>avverkningsanmälan</t>
        </is>
      </c>
      <c r="C3689" t="inlineStr">
        <is>
          <t>Föryngringsavverkning</t>
        </is>
      </c>
      <c r="D3689" s="1" t="n">
        <v>44860</v>
      </c>
      <c r="E3689" s="1" t="n">
        <v>46312</v>
      </c>
      <c r="F3689" t="inlineStr">
        <is>
          <t>SKÅNE LÄN</t>
        </is>
      </c>
      <c r="G3689" t="inlineStr">
        <is>
          <t>HÖÖR</t>
        </is>
      </c>
      <c r="I3689" t="n">
        <v>2.8</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30506-2026</t>
        </is>
      </c>
      <c r="B3690" t="inlineStr">
        <is>
          <t>avverkningsanmälan</t>
        </is>
      </c>
      <c r="C3690" t="inlineStr">
        <is>
          <t>Föryngringsavverkning</t>
        </is>
      </c>
      <c r="D3690" s="1" t="n">
        <v>46210</v>
      </c>
      <c r="E3690" s="1" t="n">
        <v>46312</v>
      </c>
      <c r="F3690" t="inlineStr">
        <is>
          <t>SKÅNE LÄN</t>
        </is>
      </c>
      <c r="G3690" t="inlineStr">
        <is>
          <t>LUND</t>
        </is>
      </c>
      <c r="H3690" t="inlineStr">
        <is>
          <t>Kommuner</t>
        </is>
      </c>
      <c r="I3690" t="n">
        <v>6.6</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30951-2023</t>
        </is>
      </c>
      <c r="B3691" t="inlineStr">
        <is>
          <t>avverkningsanmälan</t>
        </is>
      </c>
      <c r="C3691" t="inlineStr">
        <is>
          <t>Föryngringsavverkning</t>
        </is>
      </c>
      <c r="D3691" s="1" t="n">
        <v>45113</v>
      </c>
      <c r="E3691" s="1" t="n">
        <v>46312</v>
      </c>
      <c r="F3691" t="inlineStr">
        <is>
          <t>SKÅNE LÄN</t>
        </is>
      </c>
      <c r="G3691" t="inlineStr">
        <is>
          <t>HÖÖR</t>
        </is>
      </c>
      <c r="I3691" t="n">
        <v>0.8</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42372-2024</t>
        </is>
      </c>
      <c r="B3692" t="inlineStr">
        <is>
          <t>avverkningsanmälan</t>
        </is>
      </c>
      <c r="C3692" t="inlineStr">
        <is>
          <t>Föryngringsavverkning</t>
        </is>
      </c>
      <c r="D3692" s="1" t="n">
        <v>45564</v>
      </c>
      <c r="E3692" s="1" t="n">
        <v>46312</v>
      </c>
      <c r="F3692" t="inlineStr">
        <is>
          <t>SKÅNE LÄN</t>
        </is>
      </c>
      <c r="G3692" t="inlineStr">
        <is>
          <t>HÄSSLEHOLM</t>
        </is>
      </c>
      <c r="I3692" t="n">
        <v>0.5</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47315-2023</t>
        </is>
      </c>
      <c r="B3693" t="inlineStr">
        <is>
          <t>avverkningsanmälan</t>
        </is>
      </c>
      <c r="C3693" t="inlineStr">
        <is>
          <t>Föryngringsavverkning</t>
        </is>
      </c>
      <c r="D3693" s="1" t="n">
        <v>45196</v>
      </c>
      <c r="E3693" s="1" t="n">
        <v>46312</v>
      </c>
      <c r="F3693" t="inlineStr">
        <is>
          <t>SKÅNE LÄN</t>
        </is>
      </c>
      <c r="G3693" t="inlineStr">
        <is>
          <t>BROMÖLLA</t>
        </is>
      </c>
      <c r="I3693" t="n">
        <v>2.8</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40017-2023</t>
        </is>
      </c>
      <c r="B3694" t="inlineStr">
        <is>
          <t>avverkningsanmälan</t>
        </is>
      </c>
      <c r="C3694" t="inlineStr">
        <is>
          <t>Föryngringsavverkning</t>
        </is>
      </c>
      <c r="D3694" s="1" t="n">
        <v>45168</v>
      </c>
      <c r="E3694" s="1" t="n">
        <v>46312</v>
      </c>
      <c r="F3694" t="inlineStr">
        <is>
          <t>SKÅNE LÄN</t>
        </is>
      </c>
      <c r="G3694" t="inlineStr">
        <is>
          <t>ÖRKELLJUNGA</t>
        </is>
      </c>
      <c r="I3694" t="n">
        <v>0.6</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23287-2022</t>
        </is>
      </c>
      <c r="B3695" t="inlineStr">
        <is>
          <t>avverkningsanmälan</t>
        </is>
      </c>
      <c r="C3695" t="inlineStr">
        <is>
          <t>Föryngringsavverkning</t>
        </is>
      </c>
      <c r="D3695" s="1" t="n">
        <v>44720</v>
      </c>
      <c r="E3695" s="1" t="n">
        <v>46312</v>
      </c>
      <c r="F3695" t="inlineStr">
        <is>
          <t>SKÅNE LÄN</t>
        </is>
      </c>
      <c r="G3695" t="inlineStr">
        <is>
          <t>SIMRISHAMN</t>
        </is>
      </c>
      <c r="I3695" t="n">
        <v>3.5</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34279-2023</t>
        </is>
      </c>
      <c r="B3696" t="inlineStr">
        <is>
          <t>avverkningsanmälan</t>
        </is>
      </c>
      <c r="C3696" t="inlineStr">
        <is>
          <t>Föryngringsavverkning</t>
        </is>
      </c>
      <c r="D3696" s="1" t="n">
        <v>45138</v>
      </c>
      <c r="E3696" s="1" t="n">
        <v>46312</v>
      </c>
      <c r="F3696" t="inlineStr">
        <is>
          <t>SKÅNE LÄN</t>
        </is>
      </c>
      <c r="G3696" t="inlineStr">
        <is>
          <t>ÖRKELLJUNGA</t>
        </is>
      </c>
      <c r="I3696" t="n">
        <v>1.2</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30550-2026</t>
        </is>
      </c>
      <c r="B3697" t="inlineStr">
        <is>
          <t>avverkningsanmälan</t>
        </is>
      </c>
      <c r="C3697" t="inlineStr">
        <is>
          <t>Föryngringsavverkning</t>
        </is>
      </c>
      <c r="D3697" s="1" t="n">
        <v>46210</v>
      </c>
      <c r="E3697" s="1" t="n">
        <v>46312</v>
      </c>
      <c r="F3697" t="inlineStr">
        <is>
          <t>SKÅNE LÄN</t>
        </is>
      </c>
      <c r="G3697" t="inlineStr">
        <is>
          <t>OSBY</t>
        </is>
      </c>
      <c r="I3697" t="n">
        <v>0.7</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30563-2026</t>
        </is>
      </c>
      <c r="B3698" t="inlineStr">
        <is>
          <t>avverkningsanmälan</t>
        </is>
      </c>
      <c r="C3698" t="inlineStr">
        <is>
          <t>Föryngringsavverkning</t>
        </is>
      </c>
      <c r="D3698" s="1" t="n">
        <v>46210</v>
      </c>
      <c r="E3698" s="1" t="n">
        <v>46312</v>
      </c>
      <c r="F3698" t="inlineStr">
        <is>
          <t>SKÅNE LÄN</t>
        </is>
      </c>
      <c r="G3698" t="inlineStr">
        <is>
          <t>HÄSSLEHOLM</t>
        </is>
      </c>
      <c r="I3698" t="n">
        <v>1.5</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28773-2026</t>
        </is>
      </c>
      <c r="B3699" t="inlineStr">
        <is>
          <t>avverkningsanmälan</t>
        </is>
      </c>
      <c r="C3699" t="inlineStr">
        <is>
          <t>Föryngringsavverkning</t>
        </is>
      </c>
      <c r="D3699" s="1" t="n">
        <v>46198</v>
      </c>
      <c r="E3699" s="1" t="n">
        <v>46312</v>
      </c>
      <c r="F3699" t="inlineStr">
        <is>
          <t>SKÅNE LÄN</t>
        </is>
      </c>
      <c r="G3699" t="inlineStr">
        <is>
          <t>HÄSSLEHOLM</t>
        </is>
      </c>
      <c r="I3699" t="n">
        <v>13.3</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52064-2024</t>
        </is>
      </c>
      <c r="B3700" t="inlineStr">
        <is>
          <t>avverkningsanmälan</t>
        </is>
      </c>
      <c r="C3700" t="inlineStr">
        <is>
          <t>Föryngringsavverkning</t>
        </is>
      </c>
      <c r="D3700" s="1" t="n">
        <v>45608</v>
      </c>
      <c r="E3700" s="1" t="n">
        <v>46312</v>
      </c>
      <c r="F3700" t="inlineStr">
        <is>
          <t>SKÅNE LÄN</t>
        </is>
      </c>
      <c r="G3700" t="inlineStr">
        <is>
          <t>KRISTIANSTAD</t>
        </is>
      </c>
      <c r="I3700" t="n">
        <v>0.9</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30356-2026</t>
        </is>
      </c>
      <c r="B3701" t="inlineStr">
        <is>
          <t>avverkningsanmälan</t>
        </is>
      </c>
      <c r="C3701" t="inlineStr">
        <is>
          <t>Föryngringsavverkning</t>
        </is>
      </c>
      <c r="D3701" s="1" t="n">
        <v>46209</v>
      </c>
      <c r="E3701" s="1" t="n">
        <v>46312</v>
      </c>
      <c r="F3701" t="inlineStr">
        <is>
          <t>SKÅNE LÄN</t>
        </is>
      </c>
      <c r="G3701" t="inlineStr">
        <is>
          <t>KLIPPAN</t>
        </is>
      </c>
      <c r="H3701" t="inlineStr">
        <is>
          <t>Sveaskog</t>
        </is>
      </c>
      <c r="I3701" t="n">
        <v>2</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56930-2022</t>
        </is>
      </c>
      <c r="B3702" t="inlineStr">
        <is>
          <t>avverkningsanmälan</t>
        </is>
      </c>
      <c r="C3702" t="inlineStr">
        <is>
          <t>Föryngringsavverkning</t>
        </is>
      </c>
      <c r="D3702" s="1" t="n">
        <v>44894</v>
      </c>
      <c r="E3702" s="1" t="n">
        <v>46312</v>
      </c>
      <c r="F3702" t="inlineStr">
        <is>
          <t>SKÅNE LÄN</t>
        </is>
      </c>
      <c r="G3702" t="inlineStr">
        <is>
          <t>KRISTIANSTAD</t>
        </is>
      </c>
      <c r="H3702" t="inlineStr">
        <is>
          <t>Kyrkan</t>
        </is>
      </c>
      <c r="I3702" t="n">
        <v>1.8</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3781-2024</t>
        </is>
      </c>
      <c r="B3703" t="inlineStr">
        <is>
          <t>avverkningsanmälan</t>
        </is>
      </c>
      <c r="C3703" t="inlineStr">
        <is>
          <t>Föryngringsavverkning</t>
        </is>
      </c>
      <c r="D3703" s="1" t="n">
        <v>45321</v>
      </c>
      <c r="E3703" s="1" t="n">
        <v>46312</v>
      </c>
      <c r="F3703" t="inlineStr">
        <is>
          <t>SKÅNE LÄN</t>
        </is>
      </c>
      <c r="G3703" t="inlineStr">
        <is>
          <t>ÖSTRA GÖINGE</t>
        </is>
      </c>
      <c r="I3703" t="n">
        <v>2.1</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3796-2024</t>
        </is>
      </c>
      <c r="B3704" t="inlineStr">
        <is>
          <t>avverkningsanmälan</t>
        </is>
      </c>
      <c r="C3704" t="inlineStr">
        <is>
          <t>Föryngringsavverkning</t>
        </is>
      </c>
      <c r="D3704" s="1" t="n">
        <v>45321</v>
      </c>
      <c r="E3704" s="1" t="n">
        <v>46312</v>
      </c>
      <c r="F3704" t="inlineStr">
        <is>
          <t>SKÅNE LÄN</t>
        </is>
      </c>
      <c r="G3704" t="inlineStr">
        <is>
          <t>KRISTIANSTAD</t>
        </is>
      </c>
      <c r="I3704" t="n">
        <v>1.1</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21654-2024</t>
        </is>
      </c>
      <c r="B3705" t="inlineStr">
        <is>
          <t>avverkningsanmälan</t>
        </is>
      </c>
      <c r="C3705" t="inlineStr">
        <is>
          <t>Föryngringsavverkning</t>
        </is>
      </c>
      <c r="D3705" s="1" t="n">
        <v>45442</v>
      </c>
      <c r="E3705" s="1" t="n">
        <v>46312</v>
      </c>
      <c r="F3705" t="inlineStr">
        <is>
          <t>SKÅNE LÄN</t>
        </is>
      </c>
      <c r="G3705" t="inlineStr">
        <is>
          <t>KLIPPAN</t>
        </is>
      </c>
      <c r="I3705" t="n">
        <v>7.2</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57695-2023</t>
        </is>
      </c>
      <c r="B3706" t="inlineStr">
        <is>
          <t>avverkningsanmälan</t>
        </is>
      </c>
      <c r="C3706" t="inlineStr">
        <is>
          <t>Föryngringsavverkning</t>
        </is>
      </c>
      <c r="D3706" s="1" t="n">
        <v>45246</v>
      </c>
      <c r="E3706" s="1" t="n">
        <v>46312</v>
      </c>
      <c r="F3706" t="inlineStr">
        <is>
          <t>SKÅNE LÄN</t>
        </is>
      </c>
      <c r="G3706" t="inlineStr">
        <is>
          <t>HÄSSLEHOLM</t>
        </is>
      </c>
      <c r="I3706" t="n">
        <v>1.4</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12162-2023</t>
        </is>
      </c>
      <c r="B3707" t="inlineStr">
        <is>
          <t>avverkningsanmälan</t>
        </is>
      </c>
      <c r="C3707" t="inlineStr">
        <is>
          <t>Föryngringsavverkning</t>
        </is>
      </c>
      <c r="D3707" s="1" t="n">
        <v>44998</v>
      </c>
      <c r="E3707" s="1" t="n">
        <v>46312</v>
      </c>
      <c r="F3707" t="inlineStr">
        <is>
          <t>SKÅNE LÄN</t>
        </is>
      </c>
      <c r="G3707" t="inlineStr">
        <is>
          <t>HÄSSLEHOLM</t>
        </is>
      </c>
      <c r="I3707" t="n">
        <v>0.9</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13597-2024</t>
        </is>
      </c>
      <c r="B3708" t="inlineStr">
        <is>
          <t>avverkningsanmälan</t>
        </is>
      </c>
      <c r="C3708" t="inlineStr">
        <is>
          <t>Föryngringsavverkning</t>
        </is>
      </c>
      <c r="D3708" s="1" t="n">
        <v>45390</v>
      </c>
      <c r="E3708" s="1" t="n">
        <v>46312</v>
      </c>
      <c r="F3708" t="inlineStr">
        <is>
          <t>SKÅNE LÄN</t>
        </is>
      </c>
      <c r="G3708" t="inlineStr">
        <is>
          <t>OSBY</t>
        </is>
      </c>
      <c r="H3708" t="inlineStr">
        <is>
          <t>Sveaskog</t>
        </is>
      </c>
      <c r="I3708" t="n">
        <v>2.8</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47879-2024</t>
        </is>
      </c>
      <c r="B3709" t="inlineStr">
        <is>
          <t>avverkningsanmälan</t>
        </is>
      </c>
      <c r="C3709" t="inlineStr">
        <is>
          <t>Föryngringsavverkning</t>
        </is>
      </c>
      <c r="D3709" s="1" t="n">
        <v>45588</v>
      </c>
      <c r="E3709" s="1" t="n">
        <v>46312</v>
      </c>
      <c r="F3709" t="inlineStr">
        <is>
          <t>SKÅNE LÄN</t>
        </is>
      </c>
      <c r="G3709" t="inlineStr">
        <is>
          <t>OSBY</t>
        </is>
      </c>
      <c r="I3709" t="n">
        <v>3.8</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30851-2026</t>
        </is>
      </c>
      <c r="B3710" t="inlineStr">
        <is>
          <t>avverkningsanmälan</t>
        </is>
      </c>
      <c r="C3710" t="inlineStr">
        <is>
          <t>Föryngringsavverkning</t>
        </is>
      </c>
      <c r="D3710" s="1" t="n">
        <v>46212</v>
      </c>
      <c r="E3710" s="1" t="n">
        <v>46312</v>
      </c>
      <c r="F3710" t="inlineStr">
        <is>
          <t>SKÅNE LÄN</t>
        </is>
      </c>
      <c r="G3710" t="inlineStr">
        <is>
          <t>KRISTIANSTAD</t>
        </is>
      </c>
      <c r="H3710" t="inlineStr">
        <is>
          <t>Sveaskog</t>
        </is>
      </c>
      <c r="I3710" t="n">
        <v>0.6</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30811-2026</t>
        </is>
      </c>
      <c r="B3711" t="inlineStr">
        <is>
          <t>avverkningsanmälan</t>
        </is>
      </c>
      <c r="C3711" t="inlineStr">
        <is>
          <t>Föryngringsavverkning</t>
        </is>
      </c>
      <c r="D3711" s="1" t="n">
        <v>46212</v>
      </c>
      <c r="E3711" s="1" t="n">
        <v>46312</v>
      </c>
      <c r="F3711" t="inlineStr">
        <is>
          <t>SKÅNE LÄN</t>
        </is>
      </c>
      <c r="G3711" t="inlineStr">
        <is>
          <t>KRISTIANSTAD</t>
        </is>
      </c>
      <c r="H3711" t="inlineStr">
        <is>
          <t>Sveaskog</t>
        </is>
      </c>
      <c r="I3711" t="n">
        <v>1.5</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31624-2023</t>
        </is>
      </c>
      <c r="B3712" t="inlineStr">
        <is>
          <t>avverkningsanmälan</t>
        </is>
      </c>
      <c r="C3712" t="inlineStr">
        <is>
          <t>Föryngringsavverkning</t>
        </is>
      </c>
      <c r="D3712" s="1" t="n">
        <v>45117</v>
      </c>
      <c r="E3712" s="1" t="n">
        <v>46312</v>
      </c>
      <c r="F3712" t="inlineStr">
        <is>
          <t>SKÅNE LÄN</t>
        </is>
      </c>
      <c r="G3712" t="inlineStr">
        <is>
          <t>OSBY</t>
        </is>
      </c>
      <c r="H3712" t="inlineStr">
        <is>
          <t>Sveaskog</t>
        </is>
      </c>
      <c r="I3712" t="n">
        <v>5.7</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31693-2023</t>
        </is>
      </c>
      <c r="B3713" t="inlineStr">
        <is>
          <t>avverkningsanmälan</t>
        </is>
      </c>
      <c r="C3713" t="inlineStr">
        <is>
          <t>Föryngringsavverkning</t>
        </is>
      </c>
      <c r="D3713" s="1" t="n">
        <v>45117</v>
      </c>
      <c r="E3713" s="1" t="n">
        <v>46312</v>
      </c>
      <c r="F3713" t="inlineStr">
        <is>
          <t>SKÅNE LÄN</t>
        </is>
      </c>
      <c r="G3713" t="inlineStr">
        <is>
          <t>SVEDALA</t>
        </is>
      </c>
      <c r="I3713" t="n">
        <v>4.1</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30844-2026</t>
        </is>
      </c>
      <c r="B3714" t="inlineStr">
        <is>
          <t>avverkningsanmälan</t>
        </is>
      </c>
      <c r="C3714" t="inlineStr">
        <is>
          <t>Föryngringsavverkning</t>
        </is>
      </c>
      <c r="D3714" s="1" t="n">
        <v>46212</v>
      </c>
      <c r="E3714" s="1" t="n">
        <v>46312</v>
      </c>
      <c r="F3714" t="inlineStr">
        <is>
          <t>SKÅNE LÄN</t>
        </is>
      </c>
      <c r="G3714" t="inlineStr">
        <is>
          <t>KRISTIANSTAD</t>
        </is>
      </c>
      <c r="H3714" t="inlineStr">
        <is>
          <t>Sveaskog</t>
        </is>
      </c>
      <c r="I3714" t="n">
        <v>0.8</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30849-2026</t>
        </is>
      </c>
      <c r="B3715" t="inlineStr">
        <is>
          <t>avverkningsanmälan</t>
        </is>
      </c>
      <c r="C3715" t="inlineStr">
        <is>
          <t>Föryngringsavverkning</t>
        </is>
      </c>
      <c r="D3715" s="1" t="n">
        <v>46212</v>
      </c>
      <c r="E3715" s="1" t="n">
        <v>46312</v>
      </c>
      <c r="F3715" t="inlineStr">
        <is>
          <t>SKÅNE LÄN</t>
        </is>
      </c>
      <c r="G3715" t="inlineStr">
        <is>
          <t>KRISTIANSTAD</t>
        </is>
      </c>
      <c r="H3715" t="inlineStr">
        <is>
          <t>Sveaskog</t>
        </is>
      </c>
      <c r="I3715" t="n">
        <v>2.2</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31720-2023</t>
        </is>
      </c>
      <c r="B3716" t="inlineStr">
        <is>
          <t>avverkningsanmälan</t>
        </is>
      </c>
      <c r="C3716" t="inlineStr">
        <is>
          <t>Föryngringsavverkning</t>
        </is>
      </c>
      <c r="D3716" s="1" t="n">
        <v>45117</v>
      </c>
      <c r="E3716" s="1" t="n">
        <v>46312</v>
      </c>
      <c r="F3716" t="inlineStr">
        <is>
          <t>SKÅNE LÄN</t>
        </is>
      </c>
      <c r="G3716" t="inlineStr">
        <is>
          <t>ÄNGELHOLM</t>
        </is>
      </c>
      <c r="I3716" t="n">
        <v>0.5</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13324-2025</t>
        </is>
      </c>
      <c r="B3717" t="inlineStr">
        <is>
          <t>avverkningsanmälan</t>
        </is>
      </c>
      <c r="C3717" t="inlineStr">
        <is>
          <t>Föryngringsavverkning</t>
        </is>
      </c>
      <c r="D3717" s="1" t="n">
        <v>45735</v>
      </c>
      <c r="E3717" s="1" t="n">
        <v>46312</v>
      </c>
      <c r="F3717" t="inlineStr">
        <is>
          <t>SKÅNE LÄN</t>
        </is>
      </c>
      <c r="G3717" t="inlineStr">
        <is>
          <t>ÖSTRA GÖINGE</t>
        </is>
      </c>
      <c r="I3717" t="n">
        <v>3.6</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17073-2023</t>
        </is>
      </c>
      <c r="B3718" t="inlineStr">
        <is>
          <t>avverkningsanmälan</t>
        </is>
      </c>
      <c r="C3718" t="inlineStr">
        <is>
          <t>Föryngringsavverkning</t>
        </is>
      </c>
      <c r="D3718" s="1" t="n">
        <v>45034</v>
      </c>
      <c r="E3718" s="1" t="n">
        <v>46312</v>
      </c>
      <c r="F3718" t="inlineStr">
        <is>
          <t>SKÅNE LÄN</t>
        </is>
      </c>
      <c r="G3718" t="inlineStr">
        <is>
          <t>HÖRBY</t>
        </is>
      </c>
      <c r="I3718" t="n">
        <v>1.2</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4916-2024</t>
        </is>
      </c>
      <c r="B3719" t="inlineStr">
        <is>
          <t>avverkningsanmälan</t>
        </is>
      </c>
      <c r="C3719" t="inlineStr">
        <is>
          <t>Föryngringsavverkning</t>
        </is>
      </c>
      <c r="D3719" s="1" t="n">
        <v>45329</v>
      </c>
      <c r="E3719" s="1" t="n">
        <v>46312</v>
      </c>
      <c r="F3719" t="inlineStr">
        <is>
          <t>SKÅNE LÄN</t>
        </is>
      </c>
      <c r="G3719" t="inlineStr">
        <is>
          <t>HÄSSLEHOLM</t>
        </is>
      </c>
      <c r="I3719" t="n">
        <v>1.3</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2881-2024</t>
        </is>
      </c>
      <c r="B3720" t="inlineStr">
        <is>
          <t>avverkningsanmälan</t>
        </is>
      </c>
      <c r="C3720" t="inlineStr">
        <is>
          <t>Föryngringsavverkning</t>
        </is>
      </c>
      <c r="D3720" s="1" t="n">
        <v>45315</v>
      </c>
      <c r="E3720" s="1" t="n">
        <v>46312</v>
      </c>
      <c r="F3720" t="inlineStr">
        <is>
          <t>SKÅNE LÄN</t>
        </is>
      </c>
      <c r="G3720" t="inlineStr">
        <is>
          <t>KRISTIANSTAD</t>
        </is>
      </c>
      <c r="I3720" t="n">
        <v>2.4</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5565-2024</t>
        </is>
      </c>
      <c r="B3721" t="inlineStr">
        <is>
          <t>avverkningsanmälan</t>
        </is>
      </c>
      <c r="C3721" t="inlineStr">
        <is>
          <t>Föryngringsavverkning</t>
        </is>
      </c>
      <c r="D3721" s="1" t="n">
        <v>45334</v>
      </c>
      <c r="E3721" s="1" t="n">
        <v>46312</v>
      </c>
      <c r="F3721" t="inlineStr">
        <is>
          <t>SKÅNE LÄN</t>
        </is>
      </c>
      <c r="G3721" t="inlineStr">
        <is>
          <t>TOMELILLA</t>
        </is>
      </c>
      <c r="I3721" t="n">
        <v>2.9</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27175-2024</t>
        </is>
      </c>
      <c r="B3722" t="inlineStr">
        <is>
          <t>avverkningsanmälan</t>
        </is>
      </c>
      <c r="C3722" t="inlineStr">
        <is>
          <t>Föryngringsavverkning</t>
        </is>
      </c>
      <c r="D3722" s="1" t="n">
        <v>45471</v>
      </c>
      <c r="E3722" s="1" t="n">
        <v>46312</v>
      </c>
      <c r="F3722" t="inlineStr">
        <is>
          <t>SKÅNE LÄN</t>
        </is>
      </c>
      <c r="G3722" t="inlineStr">
        <is>
          <t>HÄSSLEHOLM</t>
        </is>
      </c>
      <c r="I3722" t="n">
        <v>1</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30704-2026</t>
        </is>
      </c>
      <c r="B3723" t="inlineStr">
        <is>
          <t>avverkningsanmälan</t>
        </is>
      </c>
      <c r="C3723" t="inlineStr">
        <is>
          <t>Föryngringsavverkning</t>
        </is>
      </c>
      <c r="D3723" s="1" t="n">
        <v>46211</v>
      </c>
      <c r="E3723" s="1" t="n">
        <v>46312</v>
      </c>
      <c r="F3723" t="inlineStr">
        <is>
          <t>SKÅNE LÄN</t>
        </is>
      </c>
      <c r="G3723" t="inlineStr">
        <is>
          <t>SJÖBO</t>
        </is>
      </c>
      <c r="H3723" t="inlineStr">
        <is>
          <t>Övriga Aktiebolag</t>
        </is>
      </c>
      <c r="I3723" t="n">
        <v>4.5</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69387-2021</t>
        </is>
      </c>
      <c r="B3724" t="inlineStr">
        <is>
          <t>avverkningsanmälan</t>
        </is>
      </c>
      <c r="C3724" t="inlineStr">
        <is>
          <t>Föryngringsavverkning</t>
        </is>
      </c>
      <c r="D3724" s="1" t="n">
        <v>44531</v>
      </c>
      <c r="E3724" s="1" t="n">
        <v>46312</v>
      </c>
      <c r="F3724" t="inlineStr">
        <is>
          <t>SKÅNE LÄN</t>
        </is>
      </c>
      <c r="G3724" t="inlineStr">
        <is>
          <t>ÖSTRA GÖINGE</t>
        </is>
      </c>
      <c r="I3724" t="n">
        <v>0.8</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31120-2026</t>
        </is>
      </c>
      <c r="B3725" t="inlineStr">
        <is>
          <t>avverkningsanmälan</t>
        </is>
      </c>
      <c r="C3725" t="inlineStr">
        <is>
          <t>Föryngringsavverkning</t>
        </is>
      </c>
      <c r="D3725" s="1" t="n">
        <v>46216</v>
      </c>
      <c r="E3725" s="1" t="n">
        <v>46312</v>
      </c>
      <c r="F3725" t="inlineStr">
        <is>
          <t>SKÅNE LÄN</t>
        </is>
      </c>
      <c r="G3725" t="inlineStr">
        <is>
          <t>KLIPPAN</t>
        </is>
      </c>
      <c r="I3725" t="n">
        <v>1.4</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54647-2023</t>
        </is>
      </c>
      <c r="B3726" t="inlineStr">
        <is>
          <t>avverkningsanmälan</t>
        </is>
      </c>
      <c r="C3726" t="inlineStr">
        <is>
          <t>Föryngringsavverkning</t>
        </is>
      </c>
      <c r="D3726" s="1" t="n">
        <v>45235</v>
      </c>
      <c r="E3726" s="1" t="n">
        <v>46312</v>
      </c>
      <c r="F3726" t="inlineStr">
        <is>
          <t>SKÅNE LÄN</t>
        </is>
      </c>
      <c r="G3726" t="inlineStr">
        <is>
          <t>PERSTORP</t>
        </is>
      </c>
      <c r="I3726" t="n">
        <v>2.6</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54658-2023</t>
        </is>
      </c>
      <c r="B3727" t="inlineStr">
        <is>
          <t>avverkningsanmälan</t>
        </is>
      </c>
      <c r="C3727" t="inlineStr">
        <is>
          <t>Föryngringsavverkning</t>
        </is>
      </c>
      <c r="D3727" s="1" t="n">
        <v>45235</v>
      </c>
      <c r="E3727" s="1" t="n">
        <v>46312</v>
      </c>
      <c r="F3727" t="inlineStr">
        <is>
          <t>SKÅNE LÄN</t>
        </is>
      </c>
      <c r="G3727" t="inlineStr">
        <is>
          <t>HÄSSLEHOLM</t>
        </is>
      </c>
      <c r="I3727" t="n">
        <v>0.7</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54661-2023</t>
        </is>
      </c>
      <c r="B3728" t="inlineStr">
        <is>
          <t>avverkningsanmälan</t>
        </is>
      </c>
      <c r="C3728" t="inlineStr">
        <is>
          <t>Föryngringsavverkning</t>
        </is>
      </c>
      <c r="D3728" s="1" t="n">
        <v>45235</v>
      </c>
      <c r="E3728" s="1" t="n">
        <v>46312</v>
      </c>
      <c r="F3728" t="inlineStr">
        <is>
          <t>SKÅNE LÄN</t>
        </is>
      </c>
      <c r="G3728" t="inlineStr">
        <is>
          <t>ÖRKELLJUNGA</t>
        </is>
      </c>
      <c r="I3728" t="n">
        <v>1.4</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54646-2023</t>
        </is>
      </c>
      <c r="B3729" t="inlineStr">
        <is>
          <t>avverkningsanmälan</t>
        </is>
      </c>
      <c r="C3729" t="inlineStr">
        <is>
          <t>Föryngringsavverkning</t>
        </is>
      </c>
      <c r="D3729" s="1" t="n">
        <v>45235</v>
      </c>
      <c r="E3729" s="1" t="n">
        <v>46312</v>
      </c>
      <c r="F3729" t="inlineStr">
        <is>
          <t>SKÅNE LÄN</t>
        </is>
      </c>
      <c r="G3729" t="inlineStr">
        <is>
          <t>ÖRKELLJUNGA</t>
        </is>
      </c>
      <c r="I3729" t="n">
        <v>5.3</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23310-2022</t>
        </is>
      </c>
      <c r="B3730" t="inlineStr">
        <is>
          <t>avverkningsanmälan</t>
        </is>
      </c>
      <c r="C3730" t="inlineStr">
        <is>
          <t>Föryngringsavverkning</t>
        </is>
      </c>
      <c r="D3730" s="1" t="n">
        <v>44720</v>
      </c>
      <c r="E3730" s="1" t="n">
        <v>46312</v>
      </c>
      <c r="F3730" t="inlineStr">
        <is>
          <t>SKÅNE LÄN</t>
        </is>
      </c>
      <c r="G3730" t="inlineStr">
        <is>
          <t>TOMELILLA</t>
        </is>
      </c>
      <c r="H3730" t="inlineStr">
        <is>
          <t>Övriga Aktiebolag</t>
        </is>
      </c>
      <c r="I3730" t="n">
        <v>5.3</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31038-2026</t>
        </is>
      </c>
      <c r="B3731" t="inlineStr">
        <is>
          <t>avverkningsanmälan</t>
        </is>
      </c>
      <c r="C3731" t="inlineStr">
        <is>
          <t>Föryngringsavverkning</t>
        </is>
      </c>
      <c r="D3731" s="1" t="n">
        <v>46214</v>
      </c>
      <c r="E3731" s="1" t="n">
        <v>46312</v>
      </c>
      <c r="F3731" t="inlineStr">
        <is>
          <t>SKÅNE LÄN</t>
        </is>
      </c>
      <c r="G3731" t="inlineStr">
        <is>
          <t>KRISTIANSTAD</t>
        </is>
      </c>
      <c r="H3731" t="inlineStr">
        <is>
          <t>Sveaskog</t>
        </is>
      </c>
      <c r="I3731" t="n">
        <v>4.7</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23666-2023</t>
        </is>
      </c>
      <c r="B3732" t="inlineStr">
        <is>
          <t>avverkningsanmälan</t>
        </is>
      </c>
      <c r="C3732" t="inlineStr">
        <is>
          <t>Avverkning för annat ändamål</t>
        </is>
      </c>
      <c r="D3732" s="1" t="n">
        <v>45077</v>
      </c>
      <c r="E3732" s="1" t="n">
        <v>46312</v>
      </c>
      <c r="F3732" t="inlineStr">
        <is>
          <t>SKÅNE LÄN</t>
        </is>
      </c>
      <c r="G3732" t="inlineStr">
        <is>
          <t>HÄSSLEHOLM</t>
        </is>
      </c>
      <c r="I3732" t="n">
        <v>0.5</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23673-2023</t>
        </is>
      </c>
      <c r="B3733" t="inlineStr">
        <is>
          <t>avverkningsanmälan</t>
        </is>
      </c>
      <c r="C3733" t="inlineStr">
        <is>
          <t>Föryngringsavverkning</t>
        </is>
      </c>
      <c r="D3733" s="1" t="n">
        <v>45077</v>
      </c>
      <c r="E3733" s="1" t="n">
        <v>46312</v>
      </c>
      <c r="F3733" t="inlineStr">
        <is>
          <t>SKÅNE LÄN</t>
        </is>
      </c>
      <c r="G3733" t="inlineStr">
        <is>
          <t>KRISTIANSTAD</t>
        </is>
      </c>
      <c r="I3733" t="n">
        <v>1.9</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23674-2023</t>
        </is>
      </c>
      <c r="B3734" t="inlineStr">
        <is>
          <t>avverkningsanmälan</t>
        </is>
      </c>
      <c r="C3734" t="inlineStr">
        <is>
          <t>Föryngringsavverkning</t>
        </is>
      </c>
      <c r="D3734" s="1" t="n">
        <v>45077</v>
      </c>
      <c r="E3734" s="1" t="n">
        <v>46312</v>
      </c>
      <c r="F3734" t="inlineStr">
        <is>
          <t>SKÅNE LÄN</t>
        </is>
      </c>
      <c r="G3734" t="inlineStr">
        <is>
          <t>KRISTIANSTAD</t>
        </is>
      </c>
      <c r="I3734" t="n">
        <v>2.3</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23606-2026</t>
        </is>
      </c>
      <c r="B3735" t="inlineStr">
        <is>
          <t>avverkningsanmälan</t>
        </is>
      </c>
      <c r="C3735" t="inlineStr">
        <is>
          <t>Avverkning för annat ändamål</t>
        </is>
      </c>
      <c r="D3735" s="1" t="n">
        <v>46162</v>
      </c>
      <c r="E3735" s="1" t="n">
        <v>46312</v>
      </c>
      <c r="F3735" t="inlineStr">
        <is>
          <t>SKÅNE LÄN</t>
        </is>
      </c>
      <c r="G3735" t="inlineStr">
        <is>
          <t>HÖRBY</t>
        </is>
      </c>
      <c r="I3735" t="n">
        <v>9.4</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23341-2026</t>
        </is>
      </c>
      <c r="B3736" t="inlineStr">
        <is>
          <t>avverkningsanmälan</t>
        </is>
      </c>
      <c r="C3736" t="inlineStr">
        <is>
          <t>Föryngringsavverkning</t>
        </is>
      </c>
      <c r="D3736" s="1" t="n">
        <v>46162</v>
      </c>
      <c r="E3736" s="1" t="n">
        <v>46312</v>
      </c>
      <c r="F3736" t="inlineStr">
        <is>
          <t>SKÅNE LÄN</t>
        </is>
      </c>
      <c r="G3736" t="inlineStr">
        <is>
          <t>KLIPPAN</t>
        </is>
      </c>
      <c r="I3736" t="n">
        <v>2.3</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9709-2024</t>
        </is>
      </c>
      <c r="B3737" t="inlineStr">
        <is>
          <t>avverkningsanmälan</t>
        </is>
      </c>
      <c r="C3737" t="inlineStr">
        <is>
          <t>Föryngringsavverkning</t>
        </is>
      </c>
      <c r="D3737" s="1" t="n">
        <v>45362</v>
      </c>
      <c r="E3737" s="1" t="n">
        <v>46312</v>
      </c>
      <c r="F3737" t="inlineStr">
        <is>
          <t>SKÅNE LÄN</t>
        </is>
      </c>
      <c r="G3737" t="inlineStr">
        <is>
          <t>ÖSTRA GÖINGE</t>
        </is>
      </c>
      <c r="I3737" t="n">
        <v>0.5</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3726-2024</t>
        </is>
      </c>
      <c r="B3738" t="inlineStr">
        <is>
          <t>avverkningsanmälan</t>
        </is>
      </c>
      <c r="C3738" t="inlineStr">
        <is>
          <t>Föryngringsavverkning</t>
        </is>
      </c>
      <c r="D3738" s="1" t="n">
        <v>45321</v>
      </c>
      <c r="E3738" s="1" t="n">
        <v>46312</v>
      </c>
      <c r="F3738" t="inlineStr">
        <is>
          <t>SKÅNE LÄN</t>
        </is>
      </c>
      <c r="G3738" t="inlineStr">
        <is>
          <t>HÄSSLEHOLM</t>
        </is>
      </c>
      <c r="I3738" t="n">
        <v>0.3</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53085-2022</t>
        </is>
      </c>
      <c r="B3739" t="inlineStr">
        <is>
          <t>avverkningsanmälan</t>
        </is>
      </c>
      <c r="C3739" t="inlineStr">
        <is>
          <t>Föryngringsavverkning</t>
        </is>
      </c>
      <c r="D3739" s="1" t="n">
        <v>44873</v>
      </c>
      <c r="E3739" s="1" t="n">
        <v>46312</v>
      </c>
      <c r="F3739" t="inlineStr">
        <is>
          <t>SKÅNE LÄN</t>
        </is>
      </c>
      <c r="G3739" t="inlineStr">
        <is>
          <t>HÄSSLEHOLM</t>
        </is>
      </c>
      <c r="I3739" t="n">
        <v>1.9</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31119-2026</t>
        </is>
      </c>
      <c r="B3740" t="inlineStr">
        <is>
          <t>avverkningsanmälan</t>
        </is>
      </c>
      <c r="C3740" t="inlineStr">
        <is>
          <t>Föryngringsavverkning</t>
        </is>
      </c>
      <c r="D3740" s="1" t="n">
        <v>46216</v>
      </c>
      <c r="E3740" s="1" t="n">
        <v>46312</v>
      </c>
      <c r="F3740" t="inlineStr">
        <is>
          <t>SKÅNE LÄN</t>
        </is>
      </c>
      <c r="G3740" t="inlineStr">
        <is>
          <t>KLIPPAN</t>
        </is>
      </c>
      <c r="I3740" t="n">
        <v>0.6</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17102-2025</t>
        </is>
      </c>
      <c r="B3741" t="inlineStr">
        <is>
          <t>avverkningsanmälan</t>
        </is>
      </c>
      <c r="C3741" t="inlineStr">
        <is>
          <t>Föryngringsavverkning</t>
        </is>
      </c>
      <c r="D3741" s="1" t="n">
        <v>45755</v>
      </c>
      <c r="E3741" s="1" t="n">
        <v>46312</v>
      </c>
      <c r="F3741" t="inlineStr">
        <is>
          <t>SKÅNE LÄN</t>
        </is>
      </c>
      <c r="G3741" t="inlineStr">
        <is>
          <t>SIMRISHAMN</t>
        </is>
      </c>
      <c r="I3741" t="n">
        <v>0.7</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31134-2026</t>
        </is>
      </c>
      <c r="B3742" t="inlineStr">
        <is>
          <t>avverkningsanmälan</t>
        </is>
      </c>
      <c r="C3742" t="inlineStr">
        <is>
          <t>Föryngringsavverkning</t>
        </is>
      </c>
      <c r="D3742" s="1" t="n">
        <v>46216</v>
      </c>
      <c r="E3742" s="1" t="n">
        <v>46312</v>
      </c>
      <c r="F3742" t="inlineStr">
        <is>
          <t>SKÅNE LÄN</t>
        </is>
      </c>
      <c r="G3742" t="inlineStr">
        <is>
          <t>TOMELILLA</t>
        </is>
      </c>
      <c r="H3742" t="inlineStr">
        <is>
          <t>Övriga Aktiebolag</t>
        </is>
      </c>
      <c r="I3742" t="n">
        <v>4.5</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31121-2026</t>
        </is>
      </c>
      <c r="B3743" t="inlineStr">
        <is>
          <t>avverkningsanmälan</t>
        </is>
      </c>
      <c r="C3743" t="inlineStr">
        <is>
          <t>Föryngringsavverkning</t>
        </is>
      </c>
      <c r="D3743" s="1" t="n">
        <v>46216</v>
      </c>
      <c r="E3743" s="1" t="n">
        <v>46312</v>
      </c>
      <c r="F3743" t="inlineStr">
        <is>
          <t>SKÅNE LÄN</t>
        </is>
      </c>
      <c r="G3743" t="inlineStr">
        <is>
          <t>KLIPPAN</t>
        </is>
      </c>
      <c r="I3743" t="n">
        <v>0.6</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28211-2022</t>
        </is>
      </c>
      <c r="B3744" t="inlineStr">
        <is>
          <t>avverkningsanmälan</t>
        </is>
      </c>
      <c r="C3744" t="inlineStr">
        <is>
          <t>Föryngringsavverkning</t>
        </is>
      </c>
      <c r="D3744" s="1" t="n">
        <v>44746</v>
      </c>
      <c r="E3744" s="1" t="n">
        <v>46312</v>
      </c>
      <c r="F3744" t="inlineStr">
        <is>
          <t>SKÅNE LÄN</t>
        </is>
      </c>
      <c r="G3744" t="inlineStr">
        <is>
          <t>HÄSSLEHOLM</t>
        </is>
      </c>
      <c r="I3744" t="n">
        <v>2.8</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42919-2024</t>
        </is>
      </c>
      <c r="B3745" t="inlineStr">
        <is>
          <t>avverkningsanmälan</t>
        </is>
      </c>
      <c r="C3745" t="inlineStr">
        <is>
          <t>Föryngringsavverkning</t>
        </is>
      </c>
      <c r="D3745" s="1" t="n">
        <v>45566</v>
      </c>
      <c r="E3745" s="1" t="n">
        <v>46312</v>
      </c>
      <c r="F3745" t="inlineStr">
        <is>
          <t>SKÅNE LÄN</t>
        </is>
      </c>
      <c r="G3745" t="inlineStr">
        <is>
          <t>KRISTIANSTAD</t>
        </is>
      </c>
      <c r="I3745" t="n">
        <v>2.4</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19420-2022</t>
        </is>
      </c>
      <c r="B3746" t="inlineStr">
        <is>
          <t>avverkningsanmälan</t>
        </is>
      </c>
      <c r="C3746" t="inlineStr">
        <is>
          <t>Föryngringsavverkning</t>
        </is>
      </c>
      <c r="D3746" s="1" t="n">
        <v>44693</v>
      </c>
      <c r="E3746" s="1" t="n">
        <v>46312</v>
      </c>
      <c r="F3746" t="inlineStr">
        <is>
          <t>SKÅNE LÄN</t>
        </is>
      </c>
      <c r="G3746" t="inlineStr">
        <is>
          <t>HÖRBY</t>
        </is>
      </c>
      <c r="I3746" t="n">
        <v>0.7</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10988-2023</t>
        </is>
      </c>
      <c r="B3747" t="inlineStr">
        <is>
          <t>avverkningsanmälan</t>
        </is>
      </c>
      <c r="C3747" t="inlineStr">
        <is>
          <t>Föryngringsavverkning</t>
        </is>
      </c>
      <c r="D3747" s="1" t="n">
        <v>44991</v>
      </c>
      <c r="E3747" s="1" t="n">
        <v>46312</v>
      </c>
      <c r="F3747" t="inlineStr">
        <is>
          <t>SKÅNE LÄN</t>
        </is>
      </c>
      <c r="G3747" t="inlineStr">
        <is>
          <t>KRISTIANSTAD</t>
        </is>
      </c>
      <c r="I3747" t="n">
        <v>0.8</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2092-2023</t>
        </is>
      </c>
      <c r="B3748" t="inlineStr">
        <is>
          <t>avverkningsanmälan</t>
        </is>
      </c>
      <c r="C3748" t="inlineStr">
        <is>
          <t>Föryngringsavverkning</t>
        </is>
      </c>
      <c r="D3748" s="1" t="n">
        <v>44939</v>
      </c>
      <c r="E3748" s="1" t="n">
        <v>46312</v>
      </c>
      <c r="F3748" t="inlineStr">
        <is>
          <t>SKÅNE LÄN</t>
        </is>
      </c>
      <c r="G3748" t="inlineStr">
        <is>
          <t>ÖRKELLJUNGA</t>
        </is>
      </c>
      <c r="I3748" t="n">
        <v>0.6</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44430-2024</t>
        </is>
      </c>
      <c r="B3749" t="inlineStr">
        <is>
          <t>avverkningsanmälan</t>
        </is>
      </c>
      <c r="C3749" t="inlineStr">
        <is>
          <t>Föryngringsavverkning</t>
        </is>
      </c>
      <c r="D3749" s="1" t="n">
        <v>45573</v>
      </c>
      <c r="E3749" s="1" t="n">
        <v>46312</v>
      </c>
      <c r="F3749" t="inlineStr">
        <is>
          <t>SKÅNE LÄN</t>
        </is>
      </c>
      <c r="G3749" t="inlineStr">
        <is>
          <t>OSBY</t>
        </is>
      </c>
      <c r="I3749" t="n">
        <v>0.1</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30936-2026</t>
        </is>
      </c>
      <c r="B3750" t="inlineStr">
        <is>
          <t>avverkningsanmälan</t>
        </is>
      </c>
      <c r="C3750" t="inlineStr">
        <is>
          <t>Föryngringsavverkning</t>
        </is>
      </c>
      <c r="D3750" s="1" t="n">
        <v>46213</v>
      </c>
      <c r="E3750" s="1" t="n">
        <v>46312</v>
      </c>
      <c r="F3750" t="inlineStr">
        <is>
          <t>SKÅNE LÄN</t>
        </is>
      </c>
      <c r="G3750" t="inlineStr">
        <is>
          <t>OSBY</t>
        </is>
      </c>
      <c r="H3750" t="inlineStr">
        <is>
          <t>Sveaskog</t>
        </is>
      </c>
      <c r="I3750" t="n">
        <v>3.7</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26631-2026</t>
        </is>
      </c>
      <c r="B3751" t="inlineStr">
        <is>
          <t>avverkningsanmälan</t>
        </is>
      </c>
      <c r="C3751" t="inlineStr">
        <is>
          <t>Föryngringsavverkning</t>
        </is>
      </c>
      <c r="D3751" s="1" t="n">
        <v>46184</v>
      </c>
      <c r="E3751" s="1" t="n">
        <v>46312</v>
      </c>
      <c r="F3751" t="inlineStr">
        <is>
          <t>SKÅNE LÄN</t>
        </is>
      </c>
      <c r="G3751" t="inlineStr">
        <is>
          <t>OSBY</t>
        </is>
      </c>
      <c r="I3751" t="n">
        <v>2.2</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31026-2026</t>
        </is>
      </c>
      <c r="B3752" t="inlineStr">
        <is>
          <t>avverkningsanmälan</t>
        </is>
      </c>
      <c r="C3752" t="inlineStr">
        <is>
          <t>Föryngringsavverkning</t>
        </is>
      </c>
      <c r="D3752" s="1" t="n">
        <v>46213</v>
      </c>
      <c r="E3752" s="1" t="n">
        <v>46312</v>
      </c>
      <c r="F3752" t="inlineStr">
        <is>
          <t>SKÅNE LÄN</t>
        </is>
      </c>
      <c r="G3752" t="inlineStr">
        <is>
          <t>HÄSSLEHOLM</t>
        </is>
      </c>
      <c r="I3752" t="n">
        <v>1.2</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15957-2023</t>
        </is>
      </c>
      <c r="B3753" t="inlineStr">
        <is>
          <t>avverkningsanmälan</t>
        </is>
      </c>
      <c r="C3753" t="inlineStr">
        <is>
          <t>Föryngringsavverkning</t>
        </is>
      </c>
      <c r="D3753" s="1" t="n">
        <v>45022</v>
      </c>
      <c r="E3753" s="1" t="n">
        <v>46312</v>
      </c>
      <c r="F3753" t="inlineStr">
        <is>
          <t>SKÅNE LÄN</t>
        </is>
      </c>
      <c r="G3753" t="inlineStr">
        <is>
          <t>KRISTIANSTAD</t>
        </is>
      </c>
      <c r="I3753" t="n">
        <v>0.7</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15990-2023</t>
        </is>
      </c>
      <c r="B3754" t="inlineStr">
        <is>
          <t>avverkningsanmälan</t>
        </is>
      </c>
      <c r="C3754" t="inlineStr">
        <is>
          <t>Föryngringsavverkning</t>
        </is>
      </c>
      <c r="D3754" s="1" t="n">
        <v>45023</v>
      </c>
      <c r="E3754" s="1" t="n">
        <v>46312</v>
      </c>
      <c r="F3754" t="inlineStr">
        <is>
          <t>SKÅNE LÄN</t>
        </is>
      </c>
      <c r="G3754" t="inlineStr">
        <is>
          <t>HÄSSLEHOLM</t>
        </is>
      </c>
      <c r="I3754" t="n">
        <v>0.8</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29500-2026</t>
        </is>
      </c>
      <c r="B3755" t="inlineStr">
        <is>
          <t>avverkningsanmälan</t>
        </is>
      </c>
      <c r="C3755" t="inlineStr">
        <is>
          <t>Föryngringsavverkning</t>
        </is>
      </c>
      <c r="D3755" s="1" t="n">
        <v>46198</v>
      </c>
      <c r="E3755" s="1" t="n">
        <v>46312</v>
      </c>
      <c r="F3755" t="inlineStr">
        <is>
          <t>SKÅNE LÄN</t>
        </is>
      </c>
      <c r="G3755" t="inlineStr">
        <is>
          <t>KLIPPAN</t>
        </is>
      </c>
      <c r="H3755" t="inlineStr">
        <is>
          <t>Sveaskog</t>
        </is>
      </c>
      <c r="I3755" t="n">
        <v>0.8</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21023-2024</t>
        </is>
      </c>
      <c r="B3756" t="inlineStr">
        <is>
          <t>avverkningsanmälan</t>
        </is>
      </c>
      <c r="C3756" t="inlineStr">
        <is>
          <t>Föryngringsavverkning</t>
        </is>
      </c>
      <c r="D3756" s="1" t="n">
        <v>45439</v>
      </c>
      <c r="E3756" s="1" t="n">
        <v>46312</v>
      </c>
      <c r="F3756" t="inlineStr">
        <is>
          <t>SKÅNE LÄN</t>
        </is>
      </c>
      <c r="G3756" t="inlineStr">
        <is>
          <t>ÖRKELLJUNGA</t>
        </is>
      </c>
      <c r="I3756" t="n">
        <v>0.5</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30934-2026</t>
        </is>
      </c>
      <c r="B3757" t="inlineStr">
        <is>
          <t>avverkningsanmälan</t>
        </is>
      </c>
      <c r="C3757" t="inlineStr">
        <is>
          <t>Föryngringsavverkning</t>
        </is>
      </c>
      <c r="D3757" s="1" t="n">
        <v>46213</v>
      </c>
      <c r="E3757" s="1" t="n">
        <v>46312</v>
      </c>
      <c r="F3757" t="inlineStr">
        <is>
          <t>SKÅNE LÄN</t>
        </is>
      </c>
      <c r="G3757" t="inlineStr">
        <is>
          <t>HÖRBY</t>
        </is>
      </c>
      <c r="I3757" t="n">
        <v>1.1</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62180-2022</t>
        </is>
      </c>
      <c r="B3758" t="inlineStr">
        <is>
          <t>avverkningsanmälan</t>
        </is>
      </c>
      <c r="C3758" t="inlineStr">
        <is>
          <t>Föryngringsavverkning</t>
        </is>
      </c>
      <c r="D3758" s="1" t="n">
        <v>44915</v>
      </c>
      <c r="E3758" s="1" t="n">
        <v>46312</v>
      </c>
      <c r="F3758" t="inlineStr">
        <is>
          <t>SKÅNE LÄN</t>
        </is>
      </c>
      <c r="G3758" t="inlineStr">
        <is>
          <t>ÖRKELLJUNGA</t>
        </is>
      </c>
      <c r="H3758" t="inlineStr">
        <is>
          <t>Kyrkan</t>
        </is>
      </c>
      <c r="I3758" t="n">
        <v>7.5</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62199-2022</t>
        </is>
      </c>
      <c r="B3759" t="inlineStr">
        <is>
          <t>avverkningsanmälan</t>
        </is>
      </c>
      <c r="C3759" t="inlineStr">
        <is>
          <t>Föryngringsavverkning</t>
        </is>
      </c>
      <c r="D3759" s="1" t="n">
        <v>44915</v>
      </c>
      <c r="E3759" s="1" t="n">
        <v>46312</v>
      </c>
      <c r="F3759" t="inlineStr">
        <is>
          <t>SKÅNE LÄN</t>
        </is>
      </c>
      <c r="G3759" t="inlineStr">
        <is>
          <t>HÄSSLEHOLM</t>
        </is>
      </c>
      <c r="I3759" t="n">
        <v>1.5</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30972-2026</t>
        </is>
      </c>
      <c r="B3760" t="inlineStr">
        <is>
          <t>avverkningsanmälan</t>
        </is>
      </c>
      <c r="C3760" t="inlineStr">
        <is>
          <t>Föryngringsavverkning</t>
        </is>
      </c>
      <c r="D3760" s="1" t="n">
        <v>46213</v>
      </c>
      <c r="E3760" s="1" t="n">
        <v>46312</v>
      </c>
      <c r="F3760" t="inlineStr">
        <is>
          <t>SKÅNE LÄN</t>
        </is>
      </c>
      <c r="G3760" t="inlineStr">
        <is>
          <t>OSBY</t>
        </is>
      </c>
      <c r="I3760" t="n">
        <v>5.3</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55307-2025</t>
        </is>
      </c>
      <c r="B3761" t="inlineStr">
        <is>
          <t>avverkningsanmälan</t>
        </is>
      </c>
      <c r="C3761" t="inlineStr">
        <is>
          <t>Föryngringsavverkning</t>
        </is>
      </c>
      <c r="D3761" s="1" t="n">
        <v>45970</v>
      </c>
      <c r="E3761" s="1" t="n">
        <v>46312</v>
      </c>
      <c r="F3761" t="inlineStr">
        <is>
          <t>SKÅNE LÄN</t>
        </is>
      </c>
      <c r="G3761" t="inlineStr">
        <is>
          <t>HÖRBY</t>
        </is>
      </c>
      <c r="I3761" t="n">
        <v>2.5</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9098-2022</t>
        </is>
      </c>
      <c r="B3762" t="inlineStr">
        <is>
          <t>avverkningsanmälan</t>
        </is>
      </c>
      <c r="C3762" t="inlineStr">
        <is>
          <t>Föryngringsavverkning</t>
        </is>
      </c>
      <c r="D3762" s="1" t="n">
        <v>44615</v>
      </c>
      <c r="E3762" s="1" t="n">
        <v>46312</v>
      </c>
      <c r="F3762" t="inlineStr">
        <is>
          <t>SKÅNE LÄN</t>
        </is>
      </c>
      <c r="G3762" t="inlineStr">
        <is>
          <t>HÄSSLEHOLM</t>
        </is>
      </c>
      <c r="I3762" t="n">
        <v>2.1</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19151-2023</t>
        </is>
      </c>
      <c r="B3763" t="inlineStr">
        <is>
          <t>avverkningsanmälan</t>
        </is>
      </c>
      <c r="C3763" t="inlineStr">
        <is>
          <t>Föryngringsavverkning</t>
        </is>
      </c>
      <c r="D3763" s="1" t="n">
        <v>45044</v>
      </c>
      <c r="E3763" s="1" t="n">
        <v>46312</v>
      </c>
      <c r="F3763" t="inlineStr">
        <is>
          <t>SKÅNE LÄN</t>
        </is>
      </c>
      <c r="G3763" t="inlineStr">
        <is>
          <t>HÄSSLEHOLM</t>
        </is>
      </c>
      <c r="I3763" t="n">
        <v>1</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31286-2026</t>
        </is>
      </c>
      <c r="B3764" t="inlineStr">
        <is>
          <t>avverkningsanmälan</t>
        </is>
      </c>
      <c r="C3764" t="inlineStr">
        <is>
          <t>Föryngringsavverkning</t>
        </is>
      </c>
      <c r="D3764" s="1" t="n">
        <v>46218</v>
      </c>
      <c r="E3764" s="1" t="n">
        <v>46312</v>
      </c>
      <c r="F3764" t="inlineStr">
        <is>
          <t>SKÅNE LÄN</t>
        </is>
      </c>
      <c r="G3764" t="inlineStr">
        <is>
          <t>HÖRBY</t>
        </is>
      </c>
      <c r="I3764" t="n">
        <v>1.1</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1280-2023</t>
        </is>
      </c>
      <c r="B3765" t="inlineStr">
        <is>
          <t>avverkningsanmälan</t>
        </is>
      </c>
      <c r="C3765" t="inlineStr">
        <is>
          <t>Föryngringsavverkning</t>
        </is>
      </c>
      <c r="D3765" s="1" t="n">
        <v>44936</v>
      </c>
      <c r="E3765" s="1" t="n">
        <v>46312</v>
      </c>
      <c r="F3765" t="inlineStr">
        <is>
          <t>SKÅNE LÄN</t>
        </is>
      </c>
      <c r="G3765" t="inlineStr">
        <is>
          <t>KLIPPAN</t>
        </is>
      </c>
      <c r="I3765" t="n">
        <v>0.9</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50330-2023</t>
        </is>
      </c>
      <c r="B3766" t="inlineStr">
        <is>
          <t>avverkningsanmälan</t>
        </is>
      </c>
      <c r="C3766" t="inlineStr">
        <is>
          <t>Föryngringsavverkning</t>
        </is>
      </c>
      <c r="D3766" s="1" t="n">
        <v>45216</v>
      </c>
      <c r="E3766" s="1" t="n">
        <v>46312</v>
      </c>
      <c r="F3766" t="inlineStr">
        <is>
          <t>SKÅNE LÄN</t>
        </is>
      </c>
      <c r="G3766" t="inlineStr">
        <is>
          <t>HÖÖR</t>
        </is>
      </c>
      <c r="I3766" t="n">
        <v>1.5</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50332-2023</t>
        </is>
      </c>
      <c r="B3767" t="inlineStr">
        <is>
          <t>avverkningsanmälan</t>
        </is>
      </c>
      <c r="C3767" t="inlineStr">
        <is>
          <t>Föryngringsavverkning</t>
        </is>
      </c>
      <c r="D3767" s="1" t="n">
        <v>45216</v>
      </c>
      <c r="E3767" s="1" t="n">
        <v>46312</v>
      </c>
      <c r="F3767" t="inlineStr">
        <is>
          <t>SKÅNE LÄN</t>
        </is>
      </c>
      <c r="G3767" t="inlineStr">
        <is>
          <t>HÖÖR</t>
        </is>
      </c>
      <c r="I3767" t="n">
        <v>0.9</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31292-2026</t>
        </is>
      </c>
      <c r="B3768" t="inlineStr">
        <is>
          <t>avverkningsanmälan</t>
        </is>
      </c>
      <c r="C3768" t="inlineStr">
        <is>
          <t>Avverkning för att bevara och utveckla /försöksver</t>
        </is>
      </c>
      <c r="D3768" s="1" t="n">
        <v>46218</v>
      </c>
      <c r="E3768" s="1" t="n">
        <v>46312</v>
      </c>
      <c r="F3768" t="inlineStr">
        <is>
          <t>SKÅNE LÄN</t>
        </is>
      </c>
      <c r="G3768" t="inlineStr">
        <is>
          <t>KRISTIANSTAD</t>
        </is>
      </c>
      <c r="H3768" t="inlineStr">
        <is>
          <t>Sveaskog</t>
        </is>
      </c>
      <c r="I3768" t="n">
        <v>0.7</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20591-2023</t>
        </is>
      </c>
      <c r="B3769" t="inlineStr">
        <is>
          <t>avverkningsanmälan</t>
        </is>
      </c>
      <c r="C3769" t="inlineStr">
        <is>
          <t>Föryngringsavverkning</t>
        </is>
      </c>
      <c r="D3769" s="1" t="n">
        <v>45055</v>
      </c>
      <c r="E3769" s="1" t="n">
        <v>46312</v>
      </c>
      <c r="F3769" t="inlineStr">
        <is>
          <t>SKÅNE LÄN</t>
        </is>
      </c>
      <c r="G3769" t="inlineStr">
        <is>
          <t>KLIPPAN</t>
        </is>
      </c>
      <c r="I3769" t="n">
        <v>1.8</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560-2023</t>
        </is>
      </c>
      <c r="B3770" t="inlineStr">
        <is>
          <t>avverkningsanmälan</t>
        </is>
      </c>
      <c r="C3770" t="inlineStr">
        <is>
          <t>Föryngringsavverkning</t>
        </is>
      </c>
      <c r="D3770" s="1" t="n">
        <v>44930</v>
      </c>
      <c r="E3770" s="1" t="n">
        <v>46312</v>
      </c>
      <c r="F3770" t="inlineStr">
        <is>
          <t>SKÅNE LÄN</t>
        </is>
      </c>
      <c r="G3770" t="inlineStr">
        <is>
          <t>ÖSTRA GÖINGE</t>
        </is>
      </c>
      <c r="I3770" t="n">
        <v>1.2</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43447-2024</t>
        </is>
      </c>
      <c r="B3771" t="inlineStr">
        <is>
          <t>avverkningsanmälan</t>
        </is>
      </c>
      <c r="C3771" t="inlineStr">
        <is>
          <t>Föryngringsavverkning</t>
        </is>
      </c>
      <c r="D3771" s="1" t="n">
        <v>45568</v>
      </c>
      <c r="E3771" s="1" t="n">
        <v>46312</v>
      </c>
      <c r="F3771" t="inlineStr">
        <is>
          <t>SKÅNE LÄN</t>
        </is>
      </c>
      <c r="G3771" t="inlineStr">
        <is>
          <t>ÖSTRA GÖINGE</t>
        </is>
      </c>
      <c r="I3771" t="n">
        <v>0.5</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31773-2023</t>
        </is>
      </c>
      <c r="B3772" t="inlineStr">
        <is>
          <t>avverkningsanmälan</t>
        </is>
      </c>
      <c r="C3772" t="inlineStr">
        <is>
          <t>Föryngringsavverkning</t>
        </is>
      </c>
      <c r="D3772" s="1" t="n">
        <v>45118</v>
      </c>
      <c r="E3772" s="1" t="n">
        <v>46312</v>
      </c>
      <c r="F3772" t="inlineStr">
        <is>
          <t>SKÅNE LÄN</t>
        </is>
      </c>
      <c r="G3772" t="inlineStr">
        <is>
          <t>LUND</t>
        </is>
      </c>
      <c r="H3772" t="inlineStr">
        <is>
          <t>Kommuner</t>
        </is>
      </c>
      <c r="I3772" t="n">
        <v>0.8</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31219-2026</t>
        </is>
      </c>
      <c r="B3773" t="inlineStr">
        <is>
          <t>avverkningsanmälan</t>
        </is>
      </c>
      <c r="C3773" t="inlineStr">
        <is>
          <t>Avverkning för att bevara och utveckla /försöksver</t>
        </is>
      </c>
      <c r="D3773" s="1" t="n">
        <v>46217</v>
      </c>
      <c r="E3773" s="1" t="n">
        <v>46312</v>
      </c>
      <c r="F3773" t="inlineStr">
        <is>
          <t>SKÅNE LÄN</t>
        </is>
      </c>
      <c r="G3773" t="inlineStr">
        <is>
          <t>KRISTIANSTAD</t>
        </is>
      </c>
      <c r="H3773" t="inlineStr">
        <is>
          <t>Sveaskog</t>
        </is>
      </c>
      <c r="I3773" t="n">
        <v>1.3</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2688-2024</t>
        </is>
      </c>
      <c r="B3774" t="inlineStr">
        <is>
          <t>avverkningsanmälan</t>
        </is>
      </c>
      <c r="C3774" t="inlineStr">
        <is>
          <t>Föryngringsavverkning</t>
        </is>
      </c>
      <c r="D3774" s="1" t="n">
        <v>45314</v>
      </c>
      <c r="E3774" s="1" t="n">
        <v>46312</v>
      </c>
      <c r="F3774" t="inlineStr">
        <is>
          <t>SKÅNE LÄN</t>
        </is>
      </c>
      <c r="G3774" t="inlineStr">
        <is>
          <t>HÄSSLEHOLM</t>
        </is>
      </c>
      <c r="H3774" t="inlineStr">
        <is>
          <t>Övriga Aktiebolag</t>
        </is>
      </c>
      <c r="I3774" t="n">
        <v>2.8</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31802-2023</t>
        </is>
      </c>
      <c r="B3775" t="inlineStr">
        <is>
          <t>avverkningsanmälan</t>
        </is>
      </c>
      <c r="C3775" t="inlineStr">
        <is>
          <t>Föryngringsavverkning</t>
        </is>
      </c>
      <c r="D3775" s="1" t="n">
        <v>45106</v>
      </c>
      <c r="E3775" s="1" t="n">
        <v>46312</v>
      </c>
      <c r="F3775" t="inlineStr">
        <is>
          <t>SKÅNE LÄN</t>
        </is>
      </c>
      <c r="G3775" t="inlineStr">
        <is>
          <t>PERSTORP</t>
        </is>
      </c>
      <c r="H3775" t="inlineStr">
        <is>
          <t>Övriga Aktiebolag</t>
        </is>
      </c>
      <c r="I3775" t="n">
        <v>1.3</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29850-2024</t>
        </is>
      </c>
      <c r="B3776" t="inlineStr">
        <is>
          <t>avverkningsanmälan</t>
        </is>
      </c>
      <c r="C3776" t="inlineStr">
        <is>
          <t>Föryngringsavverkning</t>
        </is>
      </c>
      <c r="D3776" s="1" t="n">
        <v>45485</v>
      </c>
      <c r="E3776" s="1" t="n">
        <v>46312</v>
      </c>
      <c r="F3776" t="inlineStr">
        <is>
          <t>SKÅNE LÄN</t>
        </is>
      </c>
      <c r="G3776" t="inlineStr">
        <is>
          <t>HÄSSLEHOLM</t>
        </is>
      </c>
      <c r="I3776" t="n">
        <v>0.9</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557-2023</t>
        </is>
      </c>
      <c r="B3777" t="inlineStr">
        <is>
          <t>avverkningsanmälan</t>
        </is>
      </c>
      <c r="C3777" t="inlineStr">
        <is>
          <t>Föryngringsavverkning</t>
        </is>
      </c>
      <c r="D3777" s="1" t="n">
        <v>44930</v>
      </c>
      <c r="E3777" s="1" t="n">
        <v>46312</v>
      </c>
      <c r="F3777" t="inlineStr">
        <is>
          <t>SKÅNE LÄN</t>
        </is>
      </c>
      <c r="G3777" t="inlineStr">
        <is>
          <t>ÖSTRA GÖINGE</t>
        </is>
      </c>
      <c r="I3777" t="n">
        <v>2.2</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31472-2026</t>
        </is>
      </c>
      <c r="B3778" t="inlineStr">
        <is>
          <t>avverkningsanmälan</t>
        </is>
      </c>
      <c r="C3778" t="inlineStr">
        <is>
          <t>Föryngringsavverkning</t>
        </is>
      </c>
      <c r="D3778" s="1" t="n">
        <v>46222</v>
      </c>
      <c r="E3778" s="1" t="n">
        <v>46312</v>
      </c>
      <c r="F3778" t="inlineStr">
        <is>
          <t>SKÅNE LÄN</t>
        </is>
      </c>
      <c r="G3778" t="inlineStr">
        <is>
          <t>KRISTIANSTAD</t>
        </is>
      </c>
      <c r="H3778" t="inlineStr">
        <is>
          <t>Sveaskog</t>
        </is>
      </c>
      <c r="I3778" t="n">
        <v>1.9</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30007-2023</t>
        </is>
      </c>
      <c r="B3779" t="inlineStr">
        <is>
          <t>avverkningsanmälan</t>
        </is>
      </c>
      <c r="C3779" t="inlineStr">
        <is>
          <t>Föryngringsavverkning</t>
        </is>
      </c>
      <c r="D3779" s="1" t="n">
        <v>45109</v>
      </c>
      <c r="E3779" s="1" t="n">
        <v>46312</v>
      </c>
      <c r="F3779" t="inlineStr">
        <is>
          <t>SKÅNE LÄN</t>
        </is>
      </c>
      <c r="G3779" t="inlineStr">
        <is>
          <t>HÄSSLEHOLM</t>
        </is>
      </c>
      <c r="I3779" t="n">
        <v>2.2</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59597-2023</t>
        </is>
      </c>
      <c r="B3780" t="inlineStr">
        <is>
          <t>avverkningsanmälan</t>
        </is>
      </c>
      <c r="C3780" t="inlineStr">
        <is>
          <t>Föryngringsavverkning</t>
        </is>
      </c>
      <c r="D3780" s="1" t="n">
        <v>45254</v>
      </c>
      <c r="E3780" s="1" t="n">
        <v>46312</v>
      </c>
      <c r="F3780" t="inlineStr">
        <is>
          <t>SKÅNE LÄN</t>
        </is>
      </c>
      <c r="G3780" t="inlineStr">
        <is>
          <t>KRISTIANSTAD</t>
        </is>
      </c>
      <c r="I3780" t="n">
        <v>3.3</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14747-2023</t>
        </is>
      </c>
      <c r="B3781" t="inlineStr">
        <is>
          <t>avverkningsanmälan</t>
        </is>
      </c>
      <c r="C3781" t="inlineStr">
        <is>
          <t>Föryngringsavverkning</t>
        </is>
      </c>
      <c r="D3781" s="1" t="n">
        <v>45014</v>
      </c>
      <c r="E3781" s="1" t="n">
        <v>46312</v>
      </c>
      <c r="F3781" t="inlineStr">
        <is>
          <t>SKÅNE LÄN</t>
        </is>
      </c>
      <c r="G3781" t="inlineStr">
        <is>
          <t>SJÖBO</t>
        </is>
      </c>
      <c r="I3781" t="n">
        <v>1</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23005-2024</t>
        </is>
      </c>
      <c r="B3782" t="inlineStr">
        <is>
          <t>avverkningsanmälan</t>
        </is>
      </c>
      <c r="C3782" t="inlineStr">
        <is>
          <t>Föryngringsavverkning</t>
        </is>
      </c>
      <c r="D3782" s="1" t="n">
        <v>45450</v>
      </c>
      <c r="E3782" s="1" t="n">
        <v>46312</v>
      </c>
      <c r="F3782" t="inlineStr">
        <is>
          <t>SKÅNE LÄN</t>
        </is>
      </c>
      <c r="G3782" t="inlineStr">
        <is>
          <t>HÖÖR</t>
        </is>
      </c>
      <c r="I3782" t="n">
        <v>1.5</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15525-2023</t>
        </is>
      </c>
      <c r="B3783" t="inlineStr">
        <is>
          <t>avverkningsanmälan</t>
        </is>
      </c>
      <c r="C3783" t="inlineStr">
        <is>
          <t>Föryngringsavverkning</t>
        </is>
      </c>
      <c r="D3783" s="1" t="n">
        <v>45016</v>
      </c>
      <c r="E3783" s="1" t="n">
        <v>46312</v>
      </c>
      <c r="F3783" t="inlineStr">
        <is>
          <t>SKÅNE LÄN</t>
        </is>
      </c>
      <c r="G3783" t="inlineStr">
        <is>
          <t>OSBY</t>
        </is>
      </c>
      <c r="H3783" t="inlineStr">
        <is>
          <t>Naturvårdsverket</t>
        </is>
      </c>
      <c r="I3783" t="n">
        <v>4.4</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52877-2022</t>
        </is>
      </c>
      <c r="B3784" t="inlineStr">
        <is>
          <t>avverkningsanmälan</t>
        </is>
      </c>
      <c r="C3784" t="inlineStr">
        <is>
          <t>Föryngringsavverkning</t>
        </is>
      </c>
      <c r="D3784" s="1" t="n">
        <v>44875</v>
      </c>
      <c r="E3784" s="1" t="n">
        <v>46312</v>
      </c>
      <c r="F3784" t="inlineStr">
        <is>
          <t>SKÅNE LÄN</t>
        </is>
      </c>
      <c r="G3784" t="inlineStr">
        <is>
          <t>KLIPPAN</t>
        </is>
      </c>
      <c r="I3784" t="n">
        <v>0.7</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4187-2023</t>
        </is>
      </c>
      <c r="B3785" t="inlineStr">
        <is>
          <t>avverkningsanmälan</t>
        </is>
      </c>
      <c r="C3785" t="inlineStr">
        <is>
          <t>Föryngringsavverkning</t>
        </is>
      </c>
      <c r="D3785" s="1" t="n">
        <v>44953</v>
      </c>
      <c r="E3785" s="1" t="n">
        <v>46312</v>
      </c>
      <c r="F3785" t="inlineStr">
        <is>
          <t>SKÅNE LÄN</t>
        </is>
      </c>
      <c r="G3785" t="inlineStr">
        <is>
          <t>HÄSSLEHOLM</t>
        </is>
      </c>
      <c r="I3785" t="n">
        <v>3.2</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57521-2022</t>
        </is>
      </c>
      <c r="B3786" t="inlineStr">
        <is>
          <t>avverkningsanmälan</t>
        </is>
      </c>
      <c r="C3786" t="inlineStr">
        <is>
          <t>Föryngringsavverkning</t>
        </is>
      </c>
      <c r="D3786" s="1" t="n">
        <v>44896</v>
      </c>
      <c r="E3786" s="1" t="n">
        <v>46312</v>
      </c>
      <c r="F3786" t="inlineStr">
        <is>
          <t>SKÅNE LÄN</t>
        </is>
      </c>
      <c r="G3786" t="inlineStr">
        <is>
          <t>ÖSTRA GÖINGE</t>
        </is>
      </c>
      <c r="I3786" t="n">
        <v>2</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42231-2022</t>
        </is>
      </c>
      <c r="B3787" t="inlineStr">
        <is>
          <t>avverkningsanmälan</t>
        </is>
      </c>
      <c r="C3787" t="inlineStr">
        <is>
          <t>Föryngringsavverkning</t>
        </is>
      </c>
      <c r="D3787" s="1" t="n">
        <v>44830</v>
      </c>
      <c r="E3787" s="1" t="n">
        <v>46312</v>
      </c>
      <c r="F3787" t="inlineStr">
        <is>
          <t>SKÅNE LÄN</t>
        </is>
      </c>
      <c r="G3787" t="inlineStr">
        <is>
          <t>HÄSSLEHOLM</t>
        </is>
      </c>
      <c r="I3787" t="n">
        <v>2.7</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16331-2025</t>
        </is>
      </c>
      <c r="B3788" t="inlineStr">
        <is>
          <t>avverkningsanmälan</t>
        </is>
      </c>
      <c r="C3788" t="inlineStr">
        <is>
          <t>Föryngringsavverkning</t>
        </is>
      </c>
      <c r="D3788" s="1" t="n">
        <v>45751</v>
      </c>
      <c r="E3788" s="1" t="n">
        <v>46312</v>
      </c>
      <c r="F3788" t="inlineStr">
        <is>
          <t>SKÅNE LÄN</t>
        </is>
      </c>
      <c r="G3788" t="inlineStr">
        <is>
          <t>PERSTORP</t>
        </is>
      </c>
      <c r="I3788" t="n">
        <v>0.9</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31453-2026</t>
        </is>
      </c>
      <c r="B3789" t="inlineStr">
        <is>
          <t>avverkningsanmälan</t>
        </is>
      </c>
      <c r="C3789" t="inlineStr">
        <is>
          <t>Föryngringsavverkning</t>
        </is>
      </c>
      <c r="D3789" s="1" t="n">
        <v>46220</v>
      </c>
      <c r="E3789" s="1" t="n">
        <v>46312</v>
      </c>
      <c r="F3789" t="inlineStr">
        <is>
          <t>SKÅNE LÄN</t>
        </is>
      </c>
      <c r="G3789" t="inlineStr">
        <is>
          <t>HÄSSLEHOLM</t>
        </is>
      </c>
      <c r="I3789" t="n">
        <v>0.7</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5939-2023</t>
        </is>
      </c>
      <c r="B3790" t="inlineStr">
        <is>
          <t>avverkningsanmälan</t>
        </is>
      </c>
      <c r="C3790" t="inlineStr">
        <is>
          <t>Föryngringsavverkning</t>
        </is>
      </c>
      <c r="D3790" s="1" t="n">
        <v>44963</v>
      </c>
      <c r="E3790" s="1" t="n">
        <v>46312</v>
      </c>
      <c r="F3790" t="inlineStr">
        <is>
          <t>SKÅNE LÄN</t>
        </is>
      </c>
      <c r="G3790" t="inlineStr">
        <is>
          <t>KRISTIANSTAD</t>
        </is>
      </c>
      <c r="I3790" t="n">
        <v>0.6</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16314-2024</t>
        </is>
      </c>
      <c r="B3791" t="inlineStr">
        <is>
          <t>avverkningsanmälan</t>
        </is>
      </c>
      <c r="C3791" t="inlineStr">
        <is>
          <t>Föryngringsavverkning</t>
        </is>
      </c>
      <c r="D3791" s="1" t="n">
        <v>45407</v>
      </c>
      <c r="E3791" s="1" t="n">
        <v>46312</v>
      </c>
      <c r="F3791" t="inlineStr">
        <is>
          <t>SKÅNE LÄN</t>
        </is>
      </c>
      <c r="G3791" t="inlineStr">
        <is>
          <t>ÄNGELHOLM</t>
        </is>
      </c>
      <c r="I3791" t="n">
        <v>1.1</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31486-2026</t>
        </is>
      </c>
      <c r="B3792" t="inlineStr">
        <is>
          <t>avverkningsanmälan</t>
        </is>
      </c>
      <c r="C3792" t="inlineStr">
        <is>
          <t>Föryngringsavverkning</t>
        </is>
      </c>
      <c r="D3792" s="1" t="n">
        <v>46223</v>
      </c>
      <c r="E3792" s="1" t="n">
        <v>46312</v>
      </c>
      <c r="F3792" t="inlineStr">
        <is>
          <t>SKÅNE LÄN</t>
        </is>
      </c>
      <c r="G3792" t="inlineStr">
        <is>
          <t>KRISTIANSTAD</t>
        </is>
      </c>
      <c r="I3792" t="n">
        <v>1.1</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59390-2021</t>
        </is>
      </c>
      <c r="B3793" t="inlineStr">
        <is>
          <t>avverkningsanmälan</t>
        </is>
      </c>
      <c r="C3793" t="inlineStr">
        <is>
          <t>Föryngringsavverkning</t>
        </is>
      </c>
      <c r="D3793" s="1" t="n">
        <v>44490</v>
      </c>
      <c r="E3793" s="1" t="n">
        <v>46312</v>
      </c>
      <c r="F3793" t="inlineStr">
        <is>
          <t>SKÅNE LÄN</t>
        </is>
      </c>
      <c r="G3793" t="inlineStr">
        <is>
          <t>HÄSSLEHOLM</t>
        </is>
      </c>
      <c r="I3793" t="n">
        <v>7.1</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11705-2023</t>
        </is>
      </c>
      <c r="B3794" t="inlineStr">
        <is>
          <t>avverkningsanmälan</t>
        </is>
      </c>
      <c r="C3794" t="inlineStr">
        <is>
          <t>Föryngringsavverkning</t>
        </is>
      </c>
      <c r="D3794" s="1" t="n">
        <v>44992</v>
      </c>
      <c r="E3794" s="1" t="n">
        <v>46312</v>
      </c>
      <c r="F3794" t="inlineStr">
        <is>
          <t>SKÅNE LÄN</t>
        </is>
      </c>
      <c r="G3794" t="inlineStr">
        <is>
          <t>KLIPPAN</t>
        </is>
      </c>
      <c r="I3794" t="n">
        <v>1.4</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8876-2024</t>
        </is>
      </c>
      <c r="B3795" t="inlineStr">
        <is>
          <t>avverkningsanmälan</t>
        </is>
      </c>
      <c r="C3795" t="inlineStr">
        <is>
          <t>Föryngringsavverkning</t>
        </is>
      </c>
      <c r="D3795" s="1" t="n">
        <v>45356</v>
      </c>
      <c r="E3795" s="1" t="n">
        <v>46312</v>
      </c>
      <c r="F3795" t="inlineStr">
        <is>
          <t>SKÅNE LÄN</t>
        </is>
      </c>
      <c r="G3795" t="inlineStr">
        <is>
          <t>KRISTIANSTAD</t>
        </is>
      </c>
      <c r="I3795" t="n">
        <v>1.6</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10497-2022</t>
        </is>
      </c>
      <c r="B3796" t="inlineStr">
        <is>
          <t>avverkningsanmälan</t>
        </is>
      </c>
      <c r="C3796" t="inlineStr">
        <is>
          <t>Föryngringsavverkning</t>
        </is>
      </c>
      <c r="D3796" s="1" t="n">
        <v>44623</v>
      </c>
      <c r="E3796" s="1" t="n">
        <v>46312</v>
      </c>
      <c r="F3796" t="inlineStr">
        <is>
          <t>SKÅNE LÄN</t>
        </is>
      </c>
      <c r="G3796" t="inlineStr">
        <is>
          <t>ÖSTRA GÖINGE</t>
        </is>
      </c>
      <c r="I3796" t="n">
        <v>1.2</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11721-2025</t>
        </is>
      </c>
      <c r="B3797" t="inlineStr">
        <is>
          <t>avverkningsanmälan</t>
        </is>
      </c>
      <c r="C3797" t="inlineStr">
        <is>
          <t>Föryngringsavverkning</t>
        </is>
      </c>
      <c r="D3797" s="1" t="n">
        <v>45727</v>
      </c>
      <c r="E3797" s="1" t="n">
        <v>46312</v>
      </c>
      <c r="F3797" t="inlineStr">
        <is>
          <t>SKÅNE LÄN</t>
        </is>
      </c>
      <c r="G3797" t="inlineStr">
        <is>
          <t>KRISTIANSTAD</t>
        </is>
      </c>
      <c r="I3797" t="n">
        <v>1.1</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42912-2024</t>
        </is>
      </c>
      <c r="B3798" t="inlineStr">
        <is>
          <t>avverkningsanmälan</t>
        </is>
      </c>
      <c r="C3798" t="inlineStr">
        <is>
          <t>Föryngringsavverkning</t>
        </is>
      </c>
      <c r="D3798" s="1" t="n">
        <v>45566</v>
      </c>
      <c r="E3798" s="1" t="n">
        <v>46312</v>
      </c>
      <c r="F3798" t="inlineStr">
        <is>
          <t>SKÅNE LÄN</t>
        </is>
      </c>
      <c r="G3798" t="inlineStr">
        <is>
          <t>BROMÖLLA</t>
        </is>
      </c>
      <c r="I3798" t="n">
        <v>1</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62350-2023</t>
        </is>
      </c>
      <c r="B3799" t="inlineStr">
        <is>
          <t>avverkningsanmälan</t>
        </is>
      </c>
      <c r="C3799" t="inlineStr">
        <is>
          <t>Avverkning för att bevara och utveckla /försöksver</t>
        </is>
      </c>
      <c r="D3799" s="1" t="n">
        <v>45267</v>
      </c>
      <c r="E3799" s="1" t="n">
        <v>46312</v>
      </c>
      <c r="F3799" t="inlineStr">
        <is>
          <t>SKÅNE LÄN</t>
        </is>
      </c>
      <c r="G3799" t="inlineStr">
        <is>
          <t>KRISTIANSTAD</t>
        </is>
      </c>
      <c r="H3799" t="inlineStr">
        <is>
          <t>Sveaskog</t>
        </is>
      </c>
      <c r="I3799" t="n">
        <v>1.4</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14471-2024</t>
        </is>
      </c>
      <c r="B3800" t="inlineStr">
        <is>
          <t>avverkningsanmälan</t>
        </is>
      </c>
      <c r="C3800" t="inlineStr">
        <is>
          <t>Föryngringsavverkning</t>
        </is>
      </c>
      <c r="D3800" s="1" t="n">
        <v>45394</v>
      </c>
      <c r="E3800" s="1" t="n">
        <v>46312</v>
      </c>
      <c r="F3800" t="inlineStr">
        <is>
          <t>SKÅNE LÄN</t>
        </is>
      </c>
      <c r="G3800" t="inlineStr">
        <is>
          <t>KRISTIANSTAD</t>
        </is>
      </c>
      <c r="I3800" t="n">
        <v>0.9</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14674-2024</t>
        </is>
      </c>
      <c r="B3801" t="inlineStr">
        <is>
          <t>avverkningsanmälan</t>
        </is>
      </c>
      <c r="C3801" t="inlineStr">
        <is>
          <t>Föryngringsavverkning</t>
        </is>
      </c>
      <c r="D3801" s="1" t="n">
        <v>45397</v>
      </c>
      <c r="E3801" s="1" t="n">
        <v>46312</v>
      </c>
      <c r="F3801" t="inlineStr">
        <is>
          <t>SKÅNE LÄN</t>
        </is>
      </c>
      <c r="G3801" t="inlineStr">
        <is>
          <t>BJUV</t>
        </is>
      </c>
      <c r="I3801" t="n">
        <v>4.8</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11555-2022</t>
        </is>
      </c>
      <c r="B3802" t="inlineStr">
        <is>
          <t>avverkningsanmälan</t>
        </is>
      </c>
      <c r="C3802" t="inlineStr">
        <is>
          <t>Föryngringsavverkning</t>
        </is>
      </c>
      <c r="D3802" s="1" t="n">
        <v>44631</v>
      </c>
      <c r="E3802" s="1" t="n">
        <v>46312</v>
      </c>
      <c r="F3802" t="inlineStr">
        <is>
          <t>SKÅNE LÄN</t>
        </is>
      </c>
      <c r="G3802" t="inlineStr">
        <is>
          <t>OSBY</t>
        </is>
      </c>
      <c r="H3802" t="inlineStr">
        <is>
          <t>Sveaskog</t>
        </is>
      </c>
      <c r="I3802" t="n">
        <v>1.1</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57017-2025</t>
        </is>
      </c>
      <c r="B3803" t="inlineStr">
        <is>
          <t>avverkningsanmälan</t>
        </is>
      </c>
      <c r="C3803" t="inlineStr">
        <is>
          <t>Föryngringsavverkning</t>
        </is>
      </c>
      <c r="D3803" s="1" t="n">
        <v>45978</v>
      </c>
      <c r="E3803" s="1" t="n">
        <v>46312</v>
      </c>
      <c r="F3803" t="inlineStr">
        <is>
          <t>SKÅNE LÄN</t>
        </is>
      </c>
      <c r="G3803" t="inlineStr">
        <is>
          <t>HÖRBY</t>
        </is>
      </c>
      <c r="I3803" t="n">
        <v>5.5</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61620-2022</t>
        </is>
      </c>
      <c r="B3804" t="inlineStr">
        <is>
          <t>avverkningsanmälan</t>
        </is>
      </c>
      <c r="C3804" t="inlineStr">
        <is>
          <t>Föryngringsavverkning</t>
        </is>
      </c>
      <c r="D3804" s="1" t="n">
        <v>44910</v>
      </c>
      <c r="E3804" s="1" t="n">
        <v>46312</v>
      </c>
      <c r="F3804" t="inlineStr">
        <is>
          <t>SKÅNE LÄN</t>
        </is>
      </c>
      <c r="G3804" t="inlineStr">
        <is>
          <t>SVALÖV</t>
        </is>
      </c>
      <c r="I3804" t="n">
        <v>1.5</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4487-2024</t>
        </is>
      </c>
      <c r="B3805" t="inlineStr">
        <is>
          <t>avverkningsanmälan</t>
        </is>
      </c>
      <c r="C3805" t="inlineStr">
        <is>
          <t>Föryngringsavverkning</t>
        </is>
      </c>
      <c r="D3805" s="1" t="n">
        <v>45327</v>
      </c>
      <c r="E3805" s="1" t="n">
        <v>46312</v>
      </c>
      <c r="F3805" t="inlineStr">
        <is>
          <t>SKÅNE LÄN</t>
        </is>
      </c>
      <c r="G3805" t="inlineStr">
        <is>
          <t>BÅSTAD</t>
        </is>
      </c>
      <c r="I3805" t="n">
        <v>1.9</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5190-2024</t>
        </is>
      </c>
      <c r="B3806" t="inlineStr">
        <is>
          <t>avverkningsanmälan</t>
        </is>
      </c>
      <c r="C3806" t="inlineStr">
        <is>
          <t>Föryngringsavverkning</t>
        </is>
      </c>
      <c r="D3806" s="1" t="n">
        <v>45330</v>
      </c>
      <c r="E3806" s="1" t="n">
        <v>46312</v>
      </c>
      <c r="F3806" t="inlineStr">
        <is>
          <t>SKÅNE LÄN</t>
        </is>
      </c>
      <c r="G3806" t="inlineStr">
        <is>
          <t>SVALÖV</t>
        </is>
      </c>
      <c r="I3806" t="n">
        <v>2.1</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28335-2024</t>
        </is>
      </c>
      <c r="B3807" t="inlineStr">
        <is>
          <t>avverkningsanmälan</t>
        </is>
      </c>
      <c r="C3807" t="inlineStr">
        <is>
          <t>Föryngringsavverkning</t>
        </is>
      </c>
      <c r="D3807" s="1" t="n">
        <v>45477</v>
      </c>
      <c r="E3807" s="1" t="n">
        <v>46312</v>
      </c>
      <c r="F3807" t="inlineStr">
        <is>
          <t>SKÅNE LÄN</t>
        </is>
      </c>
      <c r="G3807" t="inlineStr">
        <is>
          <t>HÖÖR</t>
        </is>
      </c>
      <c r="I3807" t="n">
        <v>3</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64224-2023</t>
        </is>
      </c>
      <c r="B3808" t="inlineStr">
        <is>
          <t>avverkningsanmälan</t>
        </is>
      </c>
      <c r="C3808" t="inlineStr">
        <is>
          <t>Föryngringsavverkning</t>
        </is>
      </c>
      <c r="D3808" s="1" t="n">
        <v>45279</v>
      </c>
      <c r="E3808" s="1" t="n">
        <v>46312</v>
      </c>
      <c r="F3808" t="inlineStr">
        <is>
          <t>SKÅNE LÄN</t>
        </is>
      </c>
      <c r="G3808" t="inlineStr">
        <is>
          <t>KLIPPAN</t>
        </is>
      </c>
      <c r="I3808" t="n">
        <v>0.9</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34514-2023</t>
        </is>
      </c>
      <c r="B3809" t="inlineStr">
        <is>
          <t>avverkningsanmälan</t>
        </is>
      </c>
      <c r="C3809" t="inlineStr">
        <is>
          <t>Föryngringsavverkning</t>
        </is>
      </c>
      <c r="D3809" s="1" t="n">
        <v>45140</v>
      </c>
      <c r="E3809" s="1" t="n">
        <v>46312</v>
      </c>
      <c r="F3809" t="inlineStr">
        <is>
          <t>SKÅNE LÄN</t>
        </is>
      </c>
      <c r="G3809" t="inlineStr">
        <is>
          <t>ÄNGELHOLM</t>
        </is>
      </c>
      <c r="I3809" t="n">
        <v>3.1</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42293-2023</t>
        </is>
      </c>
      <c r="B3810" t="inlineStr">
        <is>
          <t>avverkningsanmälan</t>
        </is>
      </c>
      <c r="C3810" t="inlineStr">
        <is>
          <t>Föryngringsavverkning</t>
        </is>
      </c>
      <c r="D3810" s="1" t="n">
        <v>45180</v>
      </c>
      <c r="E3810" s="1" t="n">
        <v>46312</v>
      </c>
      <c r="F3810" t="inlineStr">
        <is>
          <t>SKÅNE LÄN</t>
        </is>
      </c>
      <c r="G3810" t="inlineStr">
        <is>
          <t>KRISTIANSTAD</t>
        </is>
      </c>
      <c r="I3810" t="n">
        <v>0.6</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7955-2024</t>
        </is>
      </c>
      <c r="B3811" t="inlineStr">
        <is>
          <t>avverkningsanmälan</t>
        </is>
      </c>
      <c r="C3811" t="inlineStr">
        <is>
          <t>Föryngringsavverkning</t>
        </is>
      </c>
      <c r="D3811" s="1" t="n">
        <v>45350</v>
      </c>
      <c r="E3811" s="1" t="n">
        <v>46312</v>
      </c>
      <c r="F3811" t="inlineStr">
        <is>
          <t>SKÅNE LÄN</t>
        </is>
      </c>
      <c r="G3811" t="inlineStr">
        <is>
          <t>TOMELILLA</t>
        </is>
      </c>
      <c r="I3811" t="n">
        <v>2.2</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12404-2024</t>
        </is>
      </c>
      <c r="B3812" t="inlineStr">
        <is>
          <t>avverkningsanmälan</t>
        </is>
      </c>
      <c r="C3812" t="inlineStr">
        <is>
          <t>Föryngringsavverkning</t>
        </is>
      </c>
      <c r="D3812" s="1" t="n">
        <v>45379</v>
      </c>
      <c r="E3812" s="1" t="n">
        <v>46312</v>
      </c>
      <c r="F3812" t="inlineStr">
        <is>
          <t>SKÅNE LÄN</t>
        </is>
      </c>
      <c r="G3812" t="inlineStr">
        <is>
          <t>KRISTIANSTAD</t>
        </is>
      </c>
      <c r="I3812" t="n">
        <v>1.6</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6605-2024</t>
        </is>
      </c>
      <c r="B3813" t="inlineStr">
        <is>
          <t>avverkningsanmälan</t>
        </is>
      </c>
      <c r="C3813" t="inlineStr">
        <is>
          <t>Föryngringsavverkning</t>
        </is>
      </c>
      <c r="D3813" s="1" t="n">
        <v>45341</v>
      </c>
      <c r="E3813" s="1" t="n">
        <v>46312</v>
      </c>
      <c r="F3813" t="inlineStr">
        <is>
          <t>SKÅNE LÄN</t>
        </is>
      </c>
      <c r="G3813" t="inlineStr">
        <is>
          <t>OSBY</t>
        </is>
      </c>
      <c r="I3813" t="n">
        <v>2.4</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9801-2024</t>
        </is>
      </c>
      <c r="B3814" t="inlineStr">
        <is>
          <t>avverkningsanmälan</t>
        </is>
      </c>
      <c r="C3814" t="inlineStr">
        <is>
          <t>Föryngringsavverkning</t>
        </is>
      </c>
      <c r="D3814" s="1" t="n">
        <v>45362</v>
      </c>
      <c r="E3814" s="1" t="n">
        <v>46312</v>
      </c>
      <c r="F3814" t="inlineStr">
        <is>
          <t>SKÅNE LÄN</t>
        </is>
      </c>
      <c r="G3814" t="inlineStr">
        <is>
          <t>OSBY</t>
        </is>
      </c>
      <c r="H3814" t="inlineStr">
        <is>
          <t>Sveaskog</t>
        </is>
      </c>
      <c r="I3814" t="n">
        <v>0.8</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36902-2026</t>
        </is>
      </c>
      <c r="B3815" t="inlineStr">
        <is>
          <t>avverkningsanmälan</t>
        </is>
      </c>
      <c r="C3815" t="inlineStr">
        <is>
          <t>Föryngringsavverkning</t>
        </is>
      </c>
      <c r="D3815" s="1" t="n">
        <v>46273</v>
      </c>
      <c r="E3815" s="1" t="n">
        <v>46312</v>
      </c>
      <c r="F3815" t="inlineStr">
        <is>
          <t>SKÅNE LÄN</t>
        </is>
      </c>
      <c r="G3815" t="inlineStr">
        <is>
          <t>KRISTIANSTAD</t>
        </is>
      </c>
      <c r="I3815" t="n">
        <v>1.5</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3452-2023</t>
        </is>
      </c>
      <c r="B3816" t="inlineStr">
        <is>
          <t>avverkningsanmälan</t>
        </is>
      </c>
      <c r="C3816" t="inlineStr">
        <is>
          <t>Föryngringsavverkning</t>
        </is>
      </c>
      <c r="D3816" s="1" t="n">
        <v>44949</v>
      </c>
      <c r="E3816" s="1" t="n">
        <v>46312</v>
      </c>
      <c r="F3816" t="inlineStr">
        <is>
          <t>SKÅNE LÄN</t>
        </is>
      </c>
      <c r="G3816" t="inlineStr">
        <is>
          <t>HÄSSLEHOLM</t>
        </is>
      </c>
      <c r="I3816" t="n">
        <v>1.3</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50525-2024</t>
        </is>
      </c>
      <c r="B3817" t="inlineStr">
        <is>
          <t>avverkningsanmälan</t>
        </is>
      </c>
      <c r="C3817" t="inlineStr">
        <is>
          <t>Föryngringsavverkning</t>
        </is>
      </c>
      <c r="D3817" s="1" t="n">
        <v>45601</v>
      </c>
      <c r="E3817" s="1" t="n">
        <v>46312</v>
      </c>
      <c r="F3817" t="inlineStr">
        <is>
          <t>SKÅNE LÄN</t>
        </is>
      </c>
      <c r="G3817" t="inlineStr">
        <is>
          <t>HÄSSLEHOLM</t>
        </is>
      </c>
      <c r="I3817" t="n">
        <v>2.6</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260-2024</t>
        </is>
      </c>
      <c r="B3818" t="inlineStr">
        <is>
          <t>avverkningsanmälan</t>
        </is>
      </c>
      <c r="C3818" t="inlineStr">
        <is>
          <t>Föryngringsavverkning</t>
        </is>
      </c>
      <c r="D3818" s="1" t="n">
        <v>45294</v>
      </c>
      <c r="E3818" s="1" t="n">
        <v>46312</v>
      </c>
      <c r="F3818" t="inlineStr">
        <is>
          <t>SKÅNE LÄN</t>
        </is>
      </c>
      <c r="G3818" t="inlineStr">
        <is>
          <t>HÄSSLEHOLM</t>
        </is>
      </c>
      <c r="I3818" t="n">
        <v>0.2</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5016-2024</t>
        </is>
      </c>
      <c r="B3819" t="inlineStr">
        <is>
          <t>avverkningsanmälan</t>
        </is>
      </c>
      <c r="C3819" t="inlineStr">
        <is>
          <t>Föryngringsavverkning</t>
        </is>
      </c>
      <c r="D3819" s="1" t="n">
        <v>45329</v>
      </c>
      <c r="E3819" s="1" t="n">
        <v>46312</v>
      </c>
      <c r="F3819" t="inlineStr">
        <is>
          <t>SKÅNE LÄN</t>
        </is>
      </c>
      <c r="G3819" t="inlineStr">
        <is>
          <t>HÄSSLEHOLM</t>
        </is>
      </c>
      <c r="I3819" t="n">
        <v>3.2</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36633-2026</t>
        </is>
      </c>
      <c r="B3820" t="inlineStr">
        <is>
          <t>avverkningsanmälan</t>
        </is>
      </c>
      <c r="C3820" t="inlineStr">
        <is>
          <t>Föryngringsavverkning</t>
        </is>
      </c>
      <c r="D3820" s="1" t="n">
        <v>46271</v>
      </c>
      <c r="E3820" s="1" t="n">
        <v>46312</v>
      </c>
      <c r="F3820" t="inlineStr">
        <is>
          <t>SKÅNE LÄN</t>
        </is>
      </c>
      <c r="G3820" t="inlineStr">
        <is>
          <t>KRISTIANSTAD</t>
        </is>
      </c>
      <c r="H3820" t="inlineStr">
        <is>
          <t>Övriga Aktiebolag</t>
        </is>
      </c>
      <c r="I3820" t="n">
        <v>0.6</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11603-2025</t>
        </is>
      </c>
      <c r="B3821" t="inlineStr">
        <is>
          <t>avverkningsanmälan</t>
        </is>
      </c>
      <c r="C3821" t="inlineStr">
        <is>
          <t>Föryngringsavverkning</t>
        </is>
      </c>
      <c r="D3821" s="1" t="n">
        <v>45727</v>
      </c>
      <c r="E3821" s="1" t="n">
        <v>46312</v>
      </c>
      <c r="F3821" t="inlineStr">
        <is>
          <t>SKÅNE LÄN</t>
        </is>
      </c>
      <c r="G3821" t="inlineStr">
        <is>
          <t>HÄSSLEHOLM</t>
        </is>
      </c>
      <c r="I3821" t="n">
        <v>5.6</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11635-2025</t>
        </is>
      </c>
      <c r="B3822" t="inlineStr">
        <is>
          <t>avverkningsanmälan</t>
        </is>
      </c>
      <c r="C3822" t="inlineStr">
        <is>
          <t>Föryngringsavverkning</t>
        </is>
      </c>
      <c r="D3822" s="1" t="n">
        <v>45727</v>
      </c>
      <c r="E3822" s="1" t="n">
        <v>46312</v>
      </c>
      <c r="F3822" t="inlineStr">
        <is>
          <t>SKÅNE LÄN</t>
        </is>
      </c>
      <c r="G3822" t="inlineStr">
        <is>
          <t>ÖSTRA GÖINGE</t>
        </is>
      </c>
      <c r="I3822" t="n">
        <v>3.1</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34704-2024</t>
        </is>
      </c>
      <c r="B3823" t="inlineStr">
        <is>
          <t>avverkningsanmälan</t>
        </is>
      </c>
      <c r="C3823" t="inlineStr">
        <is>
          <t>Föryngringsavverkning</t>
        </is>
      </c>
      <c r="D3823" s="1" t="n">
        <v>45526</v>
      </c>
      <c r="E3823" s="1" t="n">
        <v>46312</v>
      </c>
      <c r="F3823" t="inlineStr">
        <is>
          <t>SKÅNE LÄN</t>
        </is>
      </c>
      <c r="G3823" t="inlineStr">
        <is>
          <t>HÖÖR</t>
        </is>
      </c>
      <c r="I3823" t="n">
        <v>0.4</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64844-2023</t>
        </is>
      </c>
      <c r="B3824" t="inlineStr">
        <is>
          <t>avverkningsanmälan</t>
        </is>
      </c>
      <c r="C3824" t="inlineStr">
        <is>
          <t>Föryngringsavverkning</t>
        </is>
      </c>
      <c r="D3824" s="1" t="n">
        <v>45282</v>
      </c>
      <c r="E3824" s="1" t="n">
        <v>46312</v>
      </c>
      <c r="F3824" t="inlineStr">
        <is>
          <t>SKÅNE LÄN</t>
        </is>
      </c>
      <c r="G3824" t="inlineStr">
        <is>
          <t>KRISTIANSTAD</t>
        </is>
      </c>
      <c r="I3824" t="n">
        <v>1.2</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31810-2026</t>
        </is>
      </c>
      <c r="B3825" t="inlineStr">
        <is>
          <t>avverkningsanmälan</t>
        </is>
      </c>
      <c r="C3825" t="inlineStr">
        <is>
          <t>Föryngringsavverkning</t>
        </is>
      </c>
      <c r="D3825" s="1" t="n">
        <v>46230</v>
      </c>
      <c r="E3825" s="1" t="n">
        <v>46312</v>
      </c>
      <c r="F3825" t="inlineStr">
        <is>
          <t>SKÅNE LÄN</t>
        </is>
      </c>
      <c r="G3825" t="inlineStr">
        <is>
          <t>BROMÖLLA</t>
        </is>
      </c>
      <c r="I3825" t="n">
        <v>0.8</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36628-2026</t>
        </is>
      </c>
      <c r="B3826" t="inlineStr">
        <is>
          <t>avverkningsanmälan</t>
        </is>
      </c>
      <c r="C3826" t="inlineStr">
        <is>
          <t>Föryngringsavverkning</t>
        </is>
      </c>
      <c r="D3826" s="1" t="n">
        <v>46271</v>
      </c>
      <c r="E3826" s="1" t="n">
        <v>46312</v>
      </c>
      <c r="F3826" t="inlineStr">
        <is>
          <t>SKÅNE LÄN</t>
        </is>
      </c>
      <c r="G3826" t="inlineStr">
        <is>
          <t>KRISTIANSTAD</t>
        </is>
      </c>
      <c r="H3826" t="inlineStr">
        <is>
          <t>Övriga Aktiebolag</t>
        </is>
      </c>
      <c r="I3826" t="n">
        <v>3.5</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25764-2024</t>
        </is>
      </c>
      <c r="B3827" t="inlineStr">
        <is>
          <t>avverkningsanmälan</t>
        </is>
      </c>
      <c r="C3827" t="inlineStr">
        <is>
          <t>Föryngringsavverkning</t>
        </is>
      </c>
      <c r="D3827" s="1" t="n">
        <v>45465</v>
      </c>
      <c r="E3827" s="1" t="n">
        <v>46312</v>
      </c>
      <c r="F3827" t="inlineStr">
        <is>
          <t>SKÅNE LÄN</t>
        </is>
      </c>
      <c r="G3827" t="inlineStr">
        <is>
          <t>KRISTIANSTAD</t>
        </is>
      </c>
      <c r="I3827" t="n">
        <v>9.800000000000001</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6698-2023</t>
        </is>
      </c>
      <c r="B3828" t="inlineStr">
        <is>
          <t>avverkningsanmälan</t>
        </is>
      </c>
      <c r="C3828" t="inlineStr">
        <is>
          <t>Föryngringsavverkning</t>
        </is>
      </c>
      <c r="D3828" s="1" t="n">
        <v>44966</v>
      </c>
      <c r="E3828" s="1" t="n">
        <v>46312</v>
      </c>
      <c r="F3828" t="inlineStr">
        <is>
          <t>SKÅNE LÄN</t>
        </is>
      </c>
      <c r="G3828" t="inlineStr">
        <is>
          <t>OSBY</t>
        </is>
      </c>
      <c r="I3828" t="n">
        <v>0.7</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41977-2023</t>
        </is>
      </c>
      <c r="B3829" t="inlineStr">
        <is>
          <t>avverkningsanmälan</t>
        </is>
      </c>
      <c r="C3829" t="inlineStr">
        <is>
          <t>Föryngringsavverkning</t>
        </is>
      </c>
      <c r="D3829" s="1" t="n">
        <v>45177</v>
      </c>
      <c r="E3829" s="1" t="n">
        <v>46312</v>
      </c>
      <c r="F3829" t="inlineStr">
        <is>
          <t>SKÅNE LÄN</t>
        </is>
      </c>
      <c r="G3829" t="inlineStr">
        <is>
          <t>OSBY</t>
        </is>
      </c>
      <c r="I3829" t="n">
        <v>1.2</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20002-2022</t>
        </is>
      </c>
      <c r="B3830" t="inlineStr">
        <is>
          <t>avverkningsanmälan</t>
        </is>
      </c>
      <c r="C3830" t="inlineStr">
        <is>
          <t>Föryngringsavverkning</t>
        </is>
      </c>
      <c r="D3830" s="1" t="n">
        <v>44697</v>
      </c>
      <c r="E3830" s="1" t="n">
        <v>46312</v>
      </c>
      <c r="F3830" t="inlineStr">
        <is>
          <t>SKÅNE LÄN</t>
        </is>
      </c>
      <c r="G3830" t="inlineStr">
        <is>
          <t>KLIPPAN</t>
        </is>
      </c>
      <c r="I3830" t="n">
        <v>0.9</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23990-2023</t>
        </is>
      </c>
      <c r="B3831" t="inlineStr">
        <is>
          <t>avverkningsanmälan</t>
        </is>
      </c>
      <c r="C3831" t="inlineStr">
        <is>
          <t>Föryngringsavverkning</t>
        </is>
      </c>
      <c r="D3831" s="1" t="n">
        <v>45078</v>
      </c>
      <c r="E3831" s="1" t="n">
        <v>46312</v>
      </c>
      <c r="F3831" t="inlineStr">
        <is>
          <t>SKÅNE LÄN</t>
        </is>
      </c>
      <c r="G3831" t="inlineStr">
        <is>
          <t>ÖRKELLJUNGA</t>
        </is>
      </c>
      <c r="I3831" t="n">
        <v>1</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25206-2023</t>
        </is>
      </c>
      <c r="B3832" t="inlineStr">
        <is>
          <t>avverkningsanmälan</t>
        </is>
      </c>
      <c r="C3832" t="inlineStr">
        <is>
          <t>Föryngringsavverkning</t>
        </is>
      </c>
      <c r="D3832" s="1" t="n">
        <v>45086</v>
      </c>
      <c r="E3832" s="1" t="n">
        <v>46312</v>
      </c>
      <c r="F3832" t="inlineStr">
        <is>
          <t>SKÅNE LÄN</t>
        </is>
      </c>
      <c r="G3832" t="inlineStr">
        <is>
          <t>HÄSSLEHOLM</t>
        </is>
      </c>
      <c r="I3832" t="n">
        <v>2.9</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25221-2023</t>
        </is>
      </c>
      <c r="B3833" t="inlineStr">
        <is>
          <t>avverkningsanmälan</t>
        </is>
      </c>
      <c r="C3833" t="inlineStr">
        <is>
          <t>Föryngringsavverkning</t>
        </is>
      </c>
      <c r="D3833" s="1" t="n">
        <v>45086</v>
      </c>
      <c r="E3833" s="1" t="n">
        <v>46312</v>
      </c>
      <c r="F3833" t="inlineStr">
        <is>
          <t>SKÅNE LÄN</t>
        </is>
      </c>
      <c r="G3833" t="inlineStr">
        <is>
          <t>HÄSSLEHOLM</t>
        </is>
      </c>
      <c r="I3833" t="n">
        <v>2.5</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57272-2023</t>
        </is>
      </c>
      <c r="B3834" t="inlineStr">
        <is>
          <t>avverkningsanmälan</t>
        </is>
      </c>
      <c r="C3834" t="inlineStr">
        <is>
          <t>Avverkning för annat ändamål</t>
        </is>
      </c>
      <c r="D3834" s="1" t="n">
        <v>45245</v>
      </c>
      <c r="E3834" s="1" t="n">
        <v>46312</v>
      </c>
      <c r="F3834" t="inlineStr">
        <is>
          <t>SKÅNE LÄN</t>
        </is>
      </c>
      <c r="G3834" t="inlineStr">
        <is>
          <t>HÄSSLEHOLM</t>
        </is>
      </c>
      <c r="I3834" t="n">
        <v>2.3</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12058-2024</t>
        </is>
      </c>
      <c r="B3835" t="inlineStr">
        <is>
          <t>avverkningsanmälan</t>
        </is>
      </c>
      <c r="C3835" t="inlineStr">
        <is>
          <t>Föryngringsavverkning</t>
        </is>
      </c>
      <c r="D3835" s="1" t="n">
        <v>45377</v>
      </c>
      <c r="E3835" s="1" t="n">
        <v>46312</v>
      </c>
      <c r="F3835" t="inlineStr">
        <is>
          <t>SKÅNE LÄN</t>
        </is>
      </c>
      <c r="G3835" t="inlineStr">
        <is>
          <t>OSBY</t>
        </is>
      </c>
      <c r="I3835" t="n">
        <v>0.9</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13856-2025</t>
        </is>
      </c>
      <c r="B3836" t="inlineStr">
        <is>
          <t>avverkningsanmälan</t>
        </is>
      </c>
      <c r="C3836" t="inlineStr">
        <is>
          <t>Föryngringsavverkning</t>
        </is>
      </c>
      <c r="D3836" s="1" t="n">
        <v>45737</v>
      </c>
      <c r="E3836" s="1" t="n">
        <v>46312</v>
      </c>
      <c r="F3836" t="inlineStr">
        <is>
          <t>SKÅNE LÄN</t>
        </is>
      </c>
      <c r="G3836" t="inlineStr">
        <is>
          <t>HÄSSLEHOLM</t>
        </is>
      </c>
      <c r="I3836" t="n">
        <v>0.6</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48408-2023</t>
        </is>
      </c>
      <c r="B3837" t="inlineStr">
        <is>
          <t>avverkningsanmälan</t>
        </is>
      </c>
      <c r="C3837" t="inlineStr">
        <is>
          <t>Föryngringsavverkning</t>
        </is>
      </c>
      <c r="D3837" s="1" t="n">
        <v>45205</v>
      </c>
      <c r="E3837" s="1" t="n">
        <v>46312</v>
      </c>
      <c r="F3837" t="inlineStr">
        <is>
          <t>SKÅNE LÄN</t>
        </is>
      </c>
      <c r="G3837" t="inlineStr">
        <is>
          <t>ÖSTRA GÖINGE</t>
        </is>
      </c>
      <c r="I3837" t="n">
        <v>1.2</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47856-2024</t>
        </is>
      </c>
      <c r="B3838" t="inlineStr">
        <is>
          <t>avverkningsanmälan</t>
        </is>
      </c>
      <c r="C3838" t="inlineStr">
        <is>
          <t>Föryngringsavverkning</t>
        </is>
      </c>
      <c r="D3838" s="1" t="n">
        <v>45588</v>
      </c>
      <c r="E3838" s="1" t="n">
        <v>46312</v>
      </c>
      <c r="F3838" t="inlineStr">
        <is>
          <t>SKÅNE LÄN</t>
        </is>
      </c>
      <c r="G3838" t="inlineStr">
        <is>
          <t>KLIPPAN</t>
        </is>
      </c>
      <c r="I3838" t="n">
        <v>0.5</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37057-2026</t>
        </is>
      </c>
      <c r="B3839" t="inlineStr">
        <is>
          <t>avverkningsanmälan</t>
        </is>
      </c>
      <c r="C3839" t="inlineStr">
        <is>
          <t>Föryngringsavverkning</t>
        </is>
      </c>
      <c r="D3839" s="1" t="n">
        <v>46273</v>
      </c>
      <c r="E3839" s="1" t="n">
        <v>46312</v>
      </c>
      <c r="F3839" t="inlineStr">
        <is>
          <t>SKÅNE LÄN</t>
        </is>
      </c>
      <c r="G3839" t="inlineStr">
        <is>
          <t>HÖÖR</t>
        </is>
      </c>
      <c r="I3839" t="n">
        <v>0.5</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59966-2024</t>
        </is>
      </c>
      <c r="B3840" t="inlineStr">
        <is>
          <t>avverkningsanmälan</t>
        </is>
      </c>
      <c r="C3840" t="inlineStr">
        <is>
          <t>Föryngringsavverkning</t>
        </is>
      </c>
      <c r="D3840" s="1" t="n">
        <v>45642</v>
      </c>
      <c r="E3840" s="1" t="n">
        <v>46312</v>
      </c>
      <c r="F3840" t="inlineStr">
        <is>
          <t>SKÅNE LÄN</t>
        </is>
      </c>
      <c r="G3840" t="inlineStr">
        <is>
          <t>OSBY</t>
        </is>
      </c>
      <c r="I3840" t="n">
        <v>1.8</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37983-2024</t>
        </is>
      </c>
      <c r="B3841" t="inlineStr">
        <is>
          <t>avverkningsanmälan</t>
        </is>
      </c>
      <c r="C3841" t="inlineStr">
        <is>
          <t>Avverkning för att bevara och utveckla /försöksver</t>
        </is>
      </c>
      <c r="D3841" s="1" t="n">
        <v>45544</v>
      </c>
      <c r="E3841" s="1" t="n">
        <v>46312</v>
      </c>
      <c r="F3841" t="inlineStr">
        <is>
          <t>SKÅNE LÄN</t>
        </is>
      </c>
      <c r="G3841" t="inlineStr">
        <is>
          <t>KRISTIANSTAD</t>
        </is>
      </c>
      <c r="I3841" t="n">
        <v>7.9</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32021-2023</t>
        </is>
      </c>
      <c r="B3842" t="inlineStr">
        <is>
          <t>avverkningsanmälan</t>
        </is>
      </c>
      <c r="C3842" t="inlineStr">
        <is>
          <t>Föryngringsavverkning</t>
        </is>
      </c>
      <c r="D3842" s="1" t="n">
        <v>45119</v>
      </c>
      <c r="E3842" s="1" t="n">
        <v>46312</v>
      </c>
      <c r="F3842" t="inlineStr">
        <is>
          <t>SKÅNE LÄN</t>
        </is>
      </c>
      <c r="G3842" t="inlineStr">
        <is>
          <t>KRISTIANSTAD</t>
        </is>
      </c>
      <c r="I3842" t="n">
        <v>3.2</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49686-2023</t>
        </is>
      </c>
      <c r="B3843" t="inlineStr">
        <is>
          <t>avverkningsanmälan</t>
        </is>
      </c>
      <c r="C3843" t="inlineStr">
        <is>
          <t>Föryngringsavverkning</t>
        </is>
      </c>
      <c r="D3843" s="1" t="n">
        <v>45212</v>
      </c>
      <c r="E3843" s="1" t="n">
        <v>46312</v>
      </c>
      <c r="F3843" t="inlineStr">
        <is>
          <t>SKÅNE LÄN</t>
        </is>
      </c>
      <c r="G3843" t="inlineStr">
        <is>
          <t>KLIPPAN</t>
        </is>
      </c>
      <c r="I3843" t="n">
        <v>1.3</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31815-2026</t>
        </is>
      </c>
      <c r="B3844" t="inlineStr">
        <is>
          <t>avverkningsanmälan</t>
        </is>
      </c>
      <c r="C3844" t="inlineStr">
        <is>
          <t>Föryngringsavverkning</t>
        </is>
      </c>
      <c r="D3844" s="1" t="n">
        <v>46230</v>
      </c>
      <c r="E3844" s="1" t="n">
        <v>46312</v>
      </c>
      <c r="F3844" t="inlineStr">
        <is>
          <t>SKÅNE LÄN</t>
        </is>
      </c>
      <c r="G3844" t="inlineStr">
        <is>
          <t>BROMÖLLA</t>
        </is>
      </c>
      <c r="I3844" t="n">
        <v>0.8</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36833-2026</t>
        </is>
      </c>
      <c r="B3845" t="inlineStr">
        <is>
          <t>avverkningsanmälan</t>
        </is>
      </c>
      <c r="C3845" t="inlineStr">
        <is>
          <t>Avverkning för annat ändamål</t>
        </is>
      </c>
      <c r="D3845" s="1" t="n">
        <v>46272</v>
      </c>
      <c r="E3845" s="1" t="n">
        <v>46312</v>
      </c>
      <c r="F3845" t="inlineStr">
        <is>
          <t>SKÅNE LÄN</t>
        </is>
      </c>
      <c r="G3845" t="inlineStr">
        <is>
          <t>KRISTIANSTAD</t>
        </is>
      </c>
      <c r="I3845" t="n">
        <v>1.5</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36836-2026</t>
        </is>
      </c>
      <c r="B3846" t="inlineStr">
        <is>
          <t>avverkningsanmälan</t>
        </is>
      </c>
      <c r="C3846" t="inlineStr">
        <is>
          <t>Föryngringsavverkning</t>
        </is>
      </c>
      <c r="D3846" s="1" t="n">
        <v>46272</v>
      </c>
      <c r="E3846" s="1" t="n">
        <v>46312</v>
      </c>
      <c r="F3846" t="inlineStr">
        <is>
          <t>SKÅNE LÄN</t>
        </is>
      </c>
      <c r="G3846" t="inlineStr">
        <is>
          <t>HÄSSLEHOLM</t>
        </is>
      </c>
      <c r="I3846" t="n">
        <v>4.7</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1098-2025</t>
        </is>
      </c>
      <c r="B3847" t="inlineStr">
        <is>
          <t>avverkningsanmälan</t>
        </is>
      </c>
      <c r="C3847" t="inlineStr">
        <is>
          <t>Föryngringsavverkning</t>
        </is>
      </c>
      <c r="D3847" s="1" t="n">
        <v>45666</v>
      </c>
      <c r="E3847" s="1" t="n">
        <v>46312</v>
      </c>
      <c r="F3847" t="inlineStr">
        <is>
          <t>SKÅNE LÄN</t>
        </is>
      </c>
      <c r="G3847" t="inlineStr">
        <is>
          <t>SJÖBO</t>
        </is>
      </c>
      <c r="I3847" t="n">
        <v>2.2</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27723-2026</t>
        </is>
      </c>
      <c r="B3848" t="inlineStr">
        <is>
          <t>avverkningsanmälan</t>
        </is>
      </c>
      <c r="C3848" t="inlineStr">
        <is>
          <t>Föryngringsavverkning</t>
        </is>
      </c>
      <c r="D3848" s="1" t="n">
        <v>46191</v>
      </c>
      <c r="E3848" s="1" t="n">
        <v>46312</v>
      </c>
      <c r="F3848" t="inlineStr">
        <is>
          <t>SKÅNE LÄN</t>
        </is>
      </c>
      <c r="G3848" t="inlineStr">
        <is>
          <t>HÖÖR</t>
        </is>
      </c>
      <c r="I3848" t="n">
        <v>3.5</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30140-2024</t>
        </is>
      </c>
      <c r="B3849" t="inlineStr">
        <is>
          <t>avverkningsanmälan</t>
        </is>
      </c>
      <c r="C3849" t="inlineStr">
        <is>
          <t>Föryngringsavverkning</t>
        </is>
      </c>
      <c r="D3849" s="1" t="n">
        <v>45489</v>
      </c>
      <c r="E3849" s="1" t="n">
        <v>46312</v>
      </c>
      <c r="F3849" t="inlineStr">
        <is>
          <t>SKÅNE LÄN</t>
        </is>
      </c>
      <c r="G3849" t="inlineStr">
        <is>
          <t>ÖSTRA GÖINGE</t>
        </is>
      </c>
      <c r="I3849" t="n">
        <v>8.1</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35802-2023</t>
        </is>
      </c>
      <c r="B3850" t="inlineStr">
        <is>
          <t>avverkningsanmälan</t>
        </is>
      </c>
      <c r="C3850" t="inlineStr">
        <is>
          <t>Föryngringsavverkning</t>
        </is>
      </c>
      <c r="D3850" s="1" t="n">
        <v>45148</v>
      </c>
      <c r="E3850" s="1" t="n">
        <v>46312</v>
      </c>
      <c r="F3850" t="inlineStr">
        <is>
          <t>SKÅNE LÄN</t>
        </is>
      </c>
      <c r="G3850" t="inlineStr">
        <is>
          <t>BROMÖLLA</t>
        </is>
      </c>
      <c r="I3850" t="n">
        <v>0.4</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48889-2024</t>
        </is>
      </c>
      <c r="B3851" t="inlineStr">
        <is>
          <t>avverkningsanmälan</t>
        </is>
      </c>
      <c r="C3851" t="inlineStr">
        <is>
          <t>Föryngringsavverkning</t>
        </is>
      </c>
      <c r="D3851" s="1" t="n">
        <v>45594</v>
      </c>
      <c r="E3851" s="1" t="n">
        <v>46312</v>
      </c>
      <c r="F3851" t="inlineStr">
        <is>
          <t>SKÅNE LÄN</t>
        </is>
      </c>
      <c r="G3851" t="inlineStr">
        <is>
          <t>HÄSSLEHOLM</t>
        </is>
      </c>
      <c r="I3851" t="n">
        <v>1.5</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68856-2021</t>
        </is>
      </c>
      <c r="B3852" t="inlineStr">
        <is>
          <t>avverkningsanmälan</t>
        </is>
      </c>
      <c r="C3852" t="inlineStr">
        <is>
          <t>Föryngringsavverkning</t>
        </is>
      </c>
      <c r="D3852" s="1" t="n">
        <v>44530</v>
      </c>
      <c r="E3852" s="1" t="n">
        <v>46312</v>
      </c>
      <c r="F3852" t="inlineStr">
        <is>
          <t>SKÅNE LÄN</t>
        </is>
      </c>
      <c r="G3852" t="inlineStr">
        <is>
          <t>KLIPPAN</t>
        </is>
      </c>
      <c r="I3852" t="n">
        <v>0.9</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19997-2026</t>
        </is>
      </c>
      <c r="B3853" t="inlineStr">
        <is>
          <t>avverkningsanmälan</t>
        </is>
      </c>
      <c r="C3853" t="inlineStr">
        <is>
          <t>Föryngringsavverkning</t>
        </is>
      </c>
      <c r="D3853" s="1" t="n">
        <v>46135</v>
      </c>
      <c r="E3853" s="1" t="n">
        <v>46312</v>
      </c>
      <c r="F3853" t="inlineStr">
        <is>
          <t>SKÅNE LÄN</t>
        </is>
      </c>
      <c r="G3853" t="inlineStr">
        <is>
          <t>KRISTIANSTAD</t>
        </is>
      </c>
      <c r="I3853" t="n">
        <v>3.7</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8263-2025</t>
        </is>
      </c>
      <c r="B3854" t="inlineStr">
        <is>
          <t>avverkningsanmälan</t>
        </is>
      </c>
      <c r="C3854" t="inlineStr">
        <is>
          <t>Föryngringsavverkning</t>
        </is>
      </c>
      <c r="D3854" s="1" t="n">
        <v>45708</v>
      </c>
      <c r="E3854" s="1" t="n">
        <v>46312</v>
      </c>
      <c r="F3854" t="inlineStr">
        <is>
          <t>SKÅNE LÄN</t>
        </is>
      </c>
      <c r="G3854" t="inlineStr">
        <is>
          <t>HÄSSLEHOLM</t>
        </is>
      </c>
      <c r="I3854" t="n">
        <v>2.9</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35692-2024</t>
        </is>
      </c>
      <c r="B3855" t="inlineStr">
        <is>
          <t>avverkningsanmälan</t>
        </is>
      </c>
      <c r="C3855" t="inlineStr">
        <is>
          <t>Föryngringsavverkning</t>
        </is>
      </c>
      <c r="D3855" s="1" t="n">
        <v>45532</v>
      </c>
      <c r="E3855" s="1" t="n">
        <v>46312</v>
      </c>
      <c r="F3855" t="inlineStr">
        <is>
          <t>SKÅNE LÄN</t>
        </is>
      </c>
      <c r="G3855" t="inlineStr">
        <is>
          <t>SIMRISHAMN</t>
        </is>
      </c>
      <c r="I3855" t="n">
        <v>0</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40395-2024</t>
        </is>
      </c>
      <c r="B3856" t="inlineStr">
        <is>
          <t>avverkningsanmälan</t>
        </is>
      </c>
      <c r="C3856" t="inlineStr">
        <is>
          <t>Föryngringsavverkning</t>
        </is>
      </c>
      <c r="D3856" s="1" t="n">
        <v>45555</v>
      </c>
      <c r="E3856" s="1" t="n">
        <v>46312</v>
      </c>
      <c r="F3856" t="inlineStr">
        <is>
          <t>SKÅNE LÄN</t>
        </is>
      </c>
      <c r="G3856" t="inlineStr">
        <is>
          <t>OSBY</t>
        </is>
      </c>
      <c r="I3856" t="n">
        <v>3.1</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29275-2023</t>
        </is>
      </c>
      <c r="B3857" t="inlineStr">
        <is>
          <t>avverkningsanmälan</t>
        </is>
      </c>
      <c r="C3857" t="inlineStr">
        <is>
          <t>Föryngringsavverkning</t>
        </is>
      </c>
      <c r="D3857" s="1" t="n">
        <v>45105</v>
      </c>
      <c r="E3857" s="1" t="n">
        <v>46312</v>
      </c>
      <c r="F3857" t="inlineStr">
        <is>
          <t>SKÅNE LÄN</t>
        </is>
      </c>
      <c r="G3857" t="inlineStr">
        <is>
          <t>HÄSSLEHOLM</t>
        </is>
      </c>
      <c r="I3857" t="n">
        <v>2.1</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29285-2023</t>
        </is>
      </c>
      <c r="B3858" t="inlineStr">
        <is>
          <t>avverkningsanmälan</t>
        </is>
      </c>
      <c r="C3858" t="inlineStr">
        <is>
          <t>Föryngringsavverkning</t>
        </is>
      </c>
      <c r="D3858" s="1" t="n">
        <v>45105</v>
      </c>
      <c r="E3858" s="1" t="n">
        <v>46312</v>
      </c>
      <c r="F3858" t="inlineStr">
        <is>
          <t>SKÅNE LÄN</t>
        </is>
      </c>
      <c r="G3858" t="inlineStr">
        <is>
          <t>ÖSTRA GÖINGE</t>
        </is>
      </c>
      <c r="I3858" t="n">
        <v>3.4</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37496-2026</t>
        </is>
      </c>
      <c r="B3859" t="inlineStr">
        <is>
          <t>avverkningsanmälan</t>
        </is>
      </c>
      <c r="C3859" t="inlineStr">
        <is>
          <t>Föryngringsavverkning</t>
        </is>
      </c>
      <c r="D3859" s="1" t="n">
        <v>46275</v>
      </c>
      <c r="E3859" s="1" t="n">
        <v>46312</v>
      </c>
      <c r="F3859" t="inlineStr">
        <is>
          <t>SKÅNE LÄN</t>
        </is>
      </c>
      <c r="G3859" t="inlineStr">
        <is>
          <t>HÄSSLEHOLM</t>
        </is>
      </c>
      <c r="I3859" t="n">
        <v>0.6</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23299-2024</t>
        </is>
      </c>
      <c r="B3860" t="inlineStr">
        <is>
          <t>avverkningsanmälan</t>
        </is>
      </c>
      <c r="C3860" t="inlineStr">
        <is>
          <t>Föryngringsavverkning</t>
        </is>
      </c>
      <c r="D3860" s="1" t="n">
        <v>45453</v>
      </c>
      <c r="E3860" s="1" t="n">
        <v>46312</v>
      </c>
      <c r="F3860" t="inlineStr">
        <is>
          <t>SKÅNE LÄN</t>
        </is>
      </c>
      <c r="G3860" t="inlineStr">
        <is>
          <t>OSBY</t>
        </is>
      </c>
      <c r="I3860" t="n">
        <v>2.4</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119-2023</t>
        </is>
      </c>
      <c r="B3861" t="inlineStr">
        <is>
          <t>avverkningsanmälan</t>
        </is>
      </c>
      <c r="C3861" t="inlineStr">
        <is>
          <t>Föryngringsavverkning</t>
        </is>
      </c>
      <c r="D3861" s="1" t="n">
        <v>44928</v>
      </c>
      <c r="E3861" s="1" t="n">
        <v>46312</v>
      </c>
      <c r="F3861" t="inlineStr">
        <is>
          <t>SKÅNE LÄN</t>
        </is>
      </c>
      <c r="G3861" t="inlineStr">
        <is>
          <t>HÖRBY</t>
        </is>
      </c>
      <c r="I3861" t="n">
        <v>0.8</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3604-2024</t>
        </is>
      </c>
      <c r="B3862" t="inlineStr">
        <is>
          <t>avverkningsanmälan</t>
        </is>
      </c>
      <c r="C3862" t="inlineStr">
        <is>
          <t>Föryngringsavverkning</t>
        </is>
      </c>
      <c r="D3862" s="1" t="n">
        <v>45320</v>
      </c>
      <c r="E3862" s="1" t="n">
        <v>46312</v>
      </c>
      <c r="F3862" t="inlineStr">
        <is>
          <t>SKÅNE LÄN</t>
        </is>
      </c>
      <c r="G3862" t="inlineStr">
        <is>
          <t>SIMRISHAMN</t>
        </is>
      </c>
      <c r="I3862" t="n">
        <v>4.1</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37426-2026</t>
        </is>
      </c>
      <c r="B3863" t="inlineStr">
        <is>
          <t>avverkningsanmälan</t>
        </is>
      </c>
      <c r="C3863" t="inlineStr">
        <is>
          <t>Föryngringsavverkning</t>
        </is>
      </c>
      <c r="D3863" s="1" t="n">
        <v>46275</v>
      </c>
      <c r="E3863" s="1" t="n">
        <v>46312</v>
      </c>
      <c r="F3863" t="inlineStr">
        <is>
          <t>SKÅNE LÄN</t>
        </is>
      </c>
      <c r="G3863" t="inlineStr">
        <is>
          <t>ÖSTRA GÖINGE</t>
        </is>
      </c>
      <c r="I3863" t="n">
        <v>8.9</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50715-2024</t>
        </is>
      </c>
      <c r="B3864" t="inlineStr">
        <is>
          <t>avverkningsanmälan</t>
        </is>
      </c>
      <c r="C3864" t="inlineStr">
        <is>
          <t>Föryngringsavverkning</t>
        </is>
      </c>
      <c r="D3864" s="1" t="n">
        <v>45602</v>
      </c>
      <c r="E3864" s="1" t="n">
        <v>46312</v>
      </c>
      <c r="F3864" t="inlineStr">
        <is>
          <t>SKÅNE LÄN</t>
        </is>
      </c>
      <c r="G3864" t="inlineStr">
        <is>
          <t>HÖRBY</t>
        </is>
      </c>
      <c r="I3864" t="n">
        <v>0.4</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27007-2024</t>
        </is>
      </c>
      <c r="B3865" t="inlineStr">
        <is>
          <t>avverkningsanmälan</t>
        </is>
      </c>
      <c r="C3865" t="inlineStr">
        <is>
          <t>Föryngringsavverkning</t>
        </is>
      </c>
      <c r="D3865" s="1" t="n">
        <v>45471</v>
      </c>
      <c r="E3865" s="1" t="n">
        <v>46312</v>
      </c>
      <c r="F3865" t="inlineStr">
        <is>
          <t>SKÅNE LÄN</t>
        </is>
      </c>
      <c r="G3865" t="inlineStr">
        <is>
          <t>OSBY</t>
        </is>
      </c>
      <c r="I3865" t="n">
        <v>1.8</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7055-2024</t>
        </is>
      </c>
      <c r="B3866" t="inlineStr">
        <is>
          <t>avverkningsanmälan</t>
        </is>
      </c>
      <c r="C3866" t="inlineStr">
        <is>
          <t>Föryngringsavverkning</t>
        </is>
      </c>
      <c r="D3866" s="1" t="n">
        <v>45343</v>
      </c>
      <c r="E3866" s="1" t="n">
        <v>46312</v>
      </c>
      <c r="F3866" t="inlineStr">
        <is>
          <t>SKÅNE LÄN</t>
        </is>
      </c>
      <c r="G3866" t="inlineStr">
        <is>
          <t>KRISTIANSTAD</t>
        </is>
      </c>
      <c r="H3866" t="inlineStr">
        <is>
          <t>Sveaskog</t>
        </is>
      </c>
      <c r="I3866" t="n">
        <v>2.2</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15577-2024</t>
        </is>
      </c>
      <c r="B3867" t="inlineStr">
        <is>
          <t>avverkningsanmälan</t>
        </is>
      </c>
      <c r="C3867" t="inlineStr">
        <is>
          <t>Föryngringsavverkning</t>
        </is>
      </c>
      <c r="D3867" s="1" t="n">
        <v>45401</v>
      </c>
      <c r="E3867" s="1" t="n">
        <v>46312</v>
      </c>
      <c r="F3867" t="inlineStr">
        <is>
          <t>SKÅNE LÄN</t>
        </is>
      </c>
      <c r="G3867" t="inlineStr">
        <is>
          <t>SVEDALA</t>
        </is>
      </c>
      <c r="I3867" t="n">
        <v>1.9</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11631-2024</t>
        </is>
      </c>
      <c r="B3868" t="inlineStr">
        <is>
          <t>avverkningsanmälan</t>
        </is>
      </c>
      <c r="C3868" t="inlineStr">
        <is>
          <t>Föryngringsavverkning</t>
        </is>
      </c>
      <c r="D3868" s="1" t="n">
        <v>45373</v>
      </c>
      <c r="E3868" s="1" t="n">
        <v>46312</v>
      </c>
      <c r="F3868" t="inlineStr">
        <is>
          <t>SKÅNE LÄN</t>
        </is>
      </c>
      <c r="G3868" t="inlineStr">
        <is>
          <t>ÖSTRA GÖINGE</t>
        </is>
      </c>
      <c r="I3868" t="n">
        <v>0.7</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37501-2026</t>
        </is>
      </c>
      <c r="B3869" t="inlineStr">
        <is>
          <t>avverkningsanmälan</t>
        </is>
      </c>
      <c r="C3869" t="inlineStr">
        <is>
          <t>Föryngringsavverkning</t>
        </is>
      </c>
      <c r="D3869" s="1" t="n">
        <v>46275</v>
      </c>
      <c r="E3869" s="1" t="n">
        <v>46312</v>
      </c>
      <c r="F3869" t="inlineStr">
        <is>
          <t>SKÅNE LÄN</t>
        </is>
      </c>
      <c r="G3869" t="inlineStr">
        <is>
          <t>OSBY</t>
        </is>
      </c>
      <c r="H3869" t="inlineStr">
        <is>
          <t>Sveaskog</t>
        </is>
      </c>
      <c r="I3869" t="n">
        <v>0.8</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37471-2026</t>
        </is>
      </c>
      <c r="B3870" t="inlineStr">
        <is>
          <t>avverkningsanmälan</t>
        </is>
      </c>
      <c r="C3870" t="inlineStr">
        <is>
          <t>Föryngringsavverkning</t>
        </is>
      </c>
      <c r="D3870" s="1" t="n">
        <v>46275</v>
      </c>
      <c r="E3870" s="1" t="n">
        <v>46312</v>
      </c>
      <c r="F3870" t="inlineStr">
        <is>
          <t>SKÅNE LÄN</t>
        </is>
      </c>
      <c r="G3870" t="inlineStr">
        <is>
          <t>ÖSTRA GÖINGE</t>
        </is>
      </c>
      <c r="I3870" t="n">
        <v>0.7</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21774-2024</t>
        </is>
      </c>
      <c r="B3871" t="inlineStr">
        <is>
          <t>avverkningsanmälan</t>
        </is>
      </c>
      <c r="C3871" t="inlineStr">
        <is>
          <t>Föryngringsavverkning</t>
        </is>
      </c>
      <c r="D3871" s="1" t="n">
        <v>45442</v>
      </c>
      <c r="E3871" s="1" t="n">
        <v>46312</v>
      </c>
      <c r="F3871" t="inlineStr">
        <is>
          <t>SKÅNE LÄN</t>
        </is>
      </c>
      <c r="G3871" t="inlineStr">
        <is>
          <t>SVALÖV</t>
        </is>
      </c>
      <c r="I3871" t="n">
        <v>0.6</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22595-2024</t>
        </is>
      </c>
      <c r="B3872" t="inlineStr">
        <is>
          <t>avverkningsanmälan</t>
        </is>
      </c>
      <c r="C3872" t="inlineStr">
        <is>
          <t>Föryngringsavverkning</t>
        </is>
      </c>
      <c r="D3872" s="1" t="n">
        <v>45447</v>
      </c>
      <c r="E3872" s="1" t="n">
        <v>46312</v>
      </c>
      <c r="F3872" t="inlineStr">
        <is>
          <t>SKÅNE LÄN</t>
        </is>
      </c>
      <c r="G3872" t="inlineStr">
        <is>
          <t>HÄSSLEHOLM</t>
        </is>
      </c>
      <c r="I3872" t="n">
        <v>0.9</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46835-2023</t>
        </is>
      </c>
      <c r="B3873" t="inlineStr">
        <is>
          <t>avverkningsanmälan</t>
        </is>
      </c>
      <c r="C3873" t="inlineStr">
        <is>
          <t>Föryngringsavverkning</t>
        </is>
      </c>
      <c r="D3873" s="1" t="n">
        <v>45199</v>
      </c>
      <c r="E3873" s="1" t="n">
        <v>46312</v>
      </c>
      <c r="F3873" t="inlineStr">
        <is>
          <t>SKÅNE LÄN</t>
        </is>
      </c>
      <c r="G3873" t="inlineStr">
        <is>
          <t>KLIPPAN</t>
        </is>
      </c>
      <c r="I3873" t="n">
        <v>0.5</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55676-2022</t>
        </is>
      </c>
      <c r="B3874" t="inlineStr">
        <is>
          <t>avverkningsanmälan</t>
        </is>
      </c>
      <c r="C3874" t="inlineStr">
        <is>
          <t>Föryngringsavverkning</t>
        </is>
      </c>
      <c r="D3874" s="1" t="n">
        <v>44888</v>
      </c>
      <c r="E3874" s="1" t="n">
        <v>46312</v>
      </c>
      <c r="F3874" t="inlineStr">
        <is>
          <t>SKÅNE LÄN</t>
        </is>
      </c>
      <c r="G3874" t="inlineStr">
        <is>
          <t>TOMELILLA</t>
        </is>
      </c>
      <c r="I3874" t="n">
        <v>1</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50738-2023</t>
        </is>
      </c>
      <c r="B3875" t="inlineStr">
        <is>
          <t>avverkningsanmälan</t>
        </is>
      </c>
      <c r="C3875" t="inlineStr">
        <is>
          <t>Föryngringsavverkning</t>
        </is>
      </c>
      <c r="D3875" s="1" t="n">
        <v>45217</v>
      </c>
      <c r="E3875" s="1" t="n">
        <v>46312</v>
      </c>
      <c r="F3875" t="inlineStr">
        <is>
          <t>SKÅNE LÄN</t>
        </is>
      </c>
      <c r="G3875" t="inlineStr">
        <is>
          <t>OSBY</t>
        </is>
      </c>
      <c r="I3875" t="n">
        <v>1.9</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50798-2023</t>
        </is>
      </c>
      <c r="B3876" t="inlineStr">
        <is>
          <t>avverkningsanmälan</t>
        </is>
      </c>
      <c r="C3876" t="inlineStr">
        <is>
          <t>Avverkning för annat ändamål</t>
        </is>
      </c>
      <c r="D3876" s="1" t="n">
        <v>45217</v>
      </c>
      <c r="E3876" s="1" t="n">
        <v>46312</v>
      </c>
      <c r="F3876" t="inlineStr">
        <is>
          <t>SKÅNE LÄN</t>
        </is>
      </c>
      <c r="G3876" t="inlineStr">
        <is>
          <t>SJÖBO</t>
        </is>
      </c>
      <c r="I3876" t="n">
        <v>1.5</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12833-2023</t>
        </is>
      </c>
      <c r="B3877" t="inlineStr">
        <is>
          <t>avverkningsanmälan</t>
        </is>
      </c>
      <c r="C3877" t="inlineStr">
        <is>
          <t>Föryngringsavverkning</t>
        </is>
      </c>
      <c r="D3877" s="1" t="n">
        <v>45001</v>
      </c>
      <c r="E3877" s="1" t="n">
        <v>46312</v>
      </c>
      <c r="F3877" t="inlineStr">
        <is>
          <t>SKÅNE LÄN</t>
        </is>
      </c>
      <c r="G3877" t="inlineStr">
        <is>
          <t>HÖÖR</t>
        </is>
      </c>
      <c r="I3877" t="n">
        <v>1.6</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46200-2022</t>
        </is>
      </c>
      <c r="B3878" t="inlineStr">
        <is>
          <t>avverkningsanmälan</t>
        </is>
      </c>
      <c r="C3878" t="inlineStr">
        <is>
          <t>Föryngringsavverkning</t>
        </is>
      </c>
      <c r="D3878" s="1" t="n">
        <v>44845</v>
      </c>
      <c r="E3878" s="1" t="n">
        <v>46312</v>
      </c>
      <c r="F3878" t="inlineStr">
        <is>
          <t>SKÅNE LÄN</t>
        </is>
      </c>
      <c r="G3878" t="inlineStr">
        <is>
          <t>PERSTORP</t>
        </is>
      </c>
      <c r="I3878" t="n">
        <v>0.7</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47232-2024</t>
        </is>
      </c>
      <c r="B3879" t="inlineStr">
        <is>
          <t>avverkningsanmälan</t>
        </is>
      </c>
      <c r="C3879" t="inlineStr">
        <is>
          <t>Föryngringsavverkning</t>
        </is>
      </c>
      <c r="D3879" s="1" t="n">
        <v>45586</v>
      </c>
      <c r="E3879" s="1" t="n">
        <v>46312</v>
      </c>
      <c r="F3879" t="inlineStr">
        <is>
          <t>SKÅNE LÄN</t>
        </is>
      </c>
      <c r="G3879" t="inlineStr">
        <is>
          <t>KRISTIANSTAD</t>
        </is>
      </c>
      <c r="H3879" t="inlineStr">
        <is>
          <t>Övriga Aktiebolag</t>
        </is>
      </c>
      <c r="I3879" t="n">
        <v>2.3</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27322-2022</t>
        </is>
      </c>
      <c r="B3880" t="inlineStr">
        <is>
          <t>avverkningsanmälan</t>
        </is>
      </c>
      <c r="C3880" t="inlineStr">
        <is>
          <t>Föryngringsavverkning</t>
        </is>
      </c>
      <c r="D3880" s="1" t="n">
        <v>44742</v>
      </c>
      <c r="E3880" s="1" t="n">
        <v>46312</v>
      </c>
      <c r="F3880" t="inlineStr">
        <is>
          <t>SKÅNE LÄN</t>
        </is>
      </c>
      <c r="G3880" t="inlineStr">
        <is>
          <t>ÖSTRA GÖINGE</t>
        </is>
      </c>
      <c r="I3880" t="n">
        <v>4.6</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10941-2024</t>
        </is>
      </c>
      <c r="B3881" t="inlineStr">
        <is>
          <t>avverkningsanmälan</t>
        </is>
      </c>
      <c r="C3881" t="inlineStr">
        <is>
          <t>Föryngringsavverkning</t>
        </is>
      </c>
      <c r="D3881" s="1" t="n">
        <v>45370</v>
      </c>
      <c r="E3881" s="1" t="n">
        <v>46312</v>
      </c>
      <c r="F3881" t="inlineStr">
        <is>
          <t>SKÅNE LÄN</t>
        </is>
      </c>
      <c r="G3881" t="inlineStr">
        <is>
          <t>PERSTORP</t>
        </is>
      </c>
      <c r="H3881" t="inlineStr">
        <is>
          <t>Övriga Aktiebolag</t>
        </is>
      </c>
      <c r="I3881" t="n">
        <v>0.7</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37724-2022</t>
        </is>
      </c>
      <c r="B3882" t="inlineStr">
        <is>
          <t>avverkningsanmälan</t>
        </is>
      </c>
      <c r="C3882" t="inlineStr">
        <is>
          <t>Föryngringsavverkning</t>
        </is>
      </c>
      <c r="D3882" s="1" t="n">
        <v>44810</v>
      </c>
      <c r="E3882" s="1" t="n">
        <v>46312</v>
      </c>
      <c r="F3882" t="inlineStr">
        <is>
          <t>SKÅNE LÄN</t>
        </is>
      </c>
      <c r="G3882" t="inlineStr">
        <is>
          <t>HÖRBY</t>
        </is>
      </c>
      <c r="I3882" t="n">
        <v>1.2</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37728-2022</t>
        </is>
      </c>
      <c r="B3883" t="inlineStr">
        <is>
          <t>avverkningsanmälan</t>
        </is>
      </c>
      <c r="C3883" t="inlineStr">
        <is>
          <t>Föryngringsavverkning</t>
        </is>
      </c>
      <c r="D3883" s="1" t="n">
        <v>44810</v>
      </c>
      <c r="E3883" s="1" t="n">
        <v>46312</v>
      </c>
      <c r="F3883" t="inlineStr">
        <is>
          <t>SKÅNE LÄN</t>
        </is>
      </c>
      <c r="G3883" t="inlineStr">
        <is>
          <t>HÖRBY</t>
        </is>
      </c>
      <c r="I3883" t="n">
        <v>1</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62296-2022</t>
        </is>
      </c>
      <c r="B3884" t="inlineStr">
        <is>
          <t>avverkningsanmälan</t>
        </is>
      </c>
      <c r="C3884" t="inlineStr">
        <is>
          <t>Föryngringsavverkning</t>
        </is>
      </c>
      <c r="D3884" s="1" t="n">
        <v>44923</v>
      </c>
      <c r="E3884" s="1" t="n">
        <v>46312</v>
      </c>
      <c r="F3884" t="inlineStr">
        <is>
          <t>SKÅNE LÄN</t>
        </is>
      </c>
      <c r="G3884" t="inlineStr">
        <is>
          <t>PERSTORP</t>
        </is>
      </c>
      <c r="I3884" t="n">
        <v>1.2</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62403-2022</t>
        </is>
      </c>
      <c r="B3885" t="inlineStr">
        <is>
          <t>avverkningsanmälan</t>
        </is>
      </c>
      <c r="C3885" t="inlineStr">
        <is>
          <t>Föryngringsavverkning</t>
        </is>
      </c>
      <c r="D3885" s="1" t="n">
        <v>44923</v>
      </c>
      <c r="E3885" s="1" t="n">
        <v>46312</v>
      </c>
      <c r="F3885" t="inlineStr">
        <is>
          <t>SKÅNE LÄN</t>
        </is>
      </c>
      <c r="G3885" t="inlineStr">
        <is>
          <t>SVALÖV</t>
        </is>
      </c>
      <c r="I3885" t="n">
        <v>2.2</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62413-2022</t>
        </is>
      </c>
      <c r="B3886" t="inlineStr">
        <is>
          <t>avverkningsanmälan</t>
        </is>
      </c>
      <c r="C3886" t="inlineStr">
        <is>
          <t>Föryngringsavverkning</t>
        </is>
      </c>
      <c r="D3886" s="1" t="n">
        <v>44923</v>
      </c>
      <c r="E3886" s="1" t="n">
        <v>46312</v>
      </c>
      <c r="F3886" t="inlineStr">
        <is>
          <t>SKÅNE LÄN</t>
        </is>
      </c>
      <c r="G3886" t="inlineStr">
        <is>
          <t>SIMRISHAMN</t>
        </is>
      </c>
      <c r="I3886" t="n">
        <v>2</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47592-2023</t>
        </is>
      </c>
      <c r="B3887" t="inlineStr">
        <is>
          <t>avverkningsanmälan</t>
        </is>
      </c>
      <c r="C3887" t="inlineStr">
        <is>
          <t>Föryngringsavverkning</t>
        </is>
      </c>
      <c r="D3887" s="1" t="n">
        <v>45203</v>
      </c>
      <c r="E3887" s="1" t="n">
        <v>46312</v>
      </c>
      <c r="F3887" t="inlineStr">
        <is>
          <t>SKÅNE LÄN</t>
        </is>
      </c>
      <c r="G3887" t="inlineStr">
        <is>
          <t>ÖSTRA GÖINGE</t>
        </is>
      </c>
      <c r="I3887" t="n">
        <v>0.6</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47637-2023</t>
        </is>
      </c>
      <c r="B3888" t="inlineStr">
        <is>
          <t>avverkningsanmälan</t>
        </is>
      </c>
      <c r="C3888" t="inlineStr">
        <is>
          <t>Föryngringsavverkning</t>
        </is>
      </c>
      <c r="D3888" s="1" t="n">
        <v>45203</v>
      </c>
      <c r="E3888" s="1" t="n">
        <v>46312</v>
      </c>
      <c r="F3888" t="inlineStr">
        <is>
          <t>SKÅNE LÄN</t>
        </is>
      </c>
      <c r="G3888" t="inlineStr">
        <is>
          <t>HÖRBY</t>
        </is>
      </c>
      <c r="I3888" t="n">
        <v>2</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55489-2022</t>
        </is>
      </c>
      <c r="B3889" t="inlineStr">
        <is>
          <t>avverkningsanmälan</t>
        </is>
      </c>
      <c r="C3889" t="inlineStr">
        <is>
          <t>Föryngringsavverkning</t>
        </is>
      </c>
      <c r="D3889" s="1" t="n">
        <v>44887</v>
      </c>
      <c r="E3889" s="1" t="n">
        <v>46312</v>
      </c>
      <c r="F3889" t="inlineStr">
        <is>
          <t>SKÅNE LÄN</t>
        </is>
      </c>
      <c r="G3889" t="inlineStr">
        <is>
          <t>ÖSTRA GÖINGE</t>
        </is>
      </c>
      <c r="I3889" t="n">
        <v>0.9</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37147-2026</t>
        </is>
      </c>
      <c r="B3890" t="inlineStr">
        <is>
          <t>avverkningsanmälan</t>
        </is>
      </c>
      <c r="C3890" t="inlineStr">
        <is>
          <t>Föryngringsavverkning</t>
        </is>
      </c>
      <c r="D3890" s="1" t="n">
        <v>46274</v>
      </c>
      <c r="E3890" s="1" t="n">
        <v>46312</v>
      </c>
      <c r="F3890" t="inlineStr">
        <is>
          <t>SKÅNE LÄN</t>
        </is>
      </c>
      <c r="G3890" t="inlineStr">
        <is>
          <t>ÖSTRA GÖINGE</t>
        </is>
      </c>
      <c r="I3890" t="n">
        <v>0.5</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17856-2025</t>
        </is>
      </c>
      <c r="B3891" t="inlineStr">
        <is>
          <t>avverkningsanmälan</t>
        </is>
      </c>
      <c r="C3891" t="inlineStr">
        <is>
          <t>Föryngringsavverkning</t>
        </is>
      </c>
      <c r="D3891" s="1" t="n">
        <v>45758</v>
      </c>
      <c r="E3891" s="1" t="n">
        <v>46312</v>
      </c>
      <c r="F3891" t="inlineStr">
        <is>
          <t>SKÅNE LÄN</t>
        </is>
      </c>
      <c r="G3891" t="inlineStr">
        <is>
          <t>ÖSTRA GÖINGE</t>
        </is>
      </c>
      <c r="H3891" t="inlineStr">
        <is>
          <t>Sveaskog</t>
        </is>
      </c>
      <c r="I3891" t="n">
        <v>1.3</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20536-2026</t>
        </is>
      </c>
      <c r="B3892" t="inlineStr">
        <is>
          <t>avverkningsanmälan</t>
        </is>
      </c>
      <c r="C3892" t="inlineStr">
        <is>
          <t>Föryngringsavverkning</t>
        </is>
      </c>
      <c r="D3892" s="1" t="n">
        <v>46140</v>
      </c>
      <c r="E3892" s="1" t="n">
        <v>46312</v>
      </c>
      <c r="F3892" t="inlineStr">
        <is>
          <t>SKÅNE LÄN</t>
        </is>
      </c>
      <c r="G3892" t="inlineStr">
        <is>
          <t>ÅSTORP</t>
        </is>
      </c>
      <c r="I3892" t="n">
        <v>1</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37517-2026</t>
        </is>
      </c>
      <c r="B3893" t="inlineStr">
        <is>
          <t>avverkningsanmälan</t>
        </is>
      </c>
      <c r="C3893" t="inlineStr">
        <is>
          <t>Föryngringsavverkning</t>
        </is>
      </c>
      <c r="D3893" s="1" t="n">
        <v>46276</v>
      </c>
      <c r="E3893" s="1" t="n">
        <v>46312</v>
      </c>
      <c r="F3893" t="inlineStr">
        <is>
          <t>SKÅNE LÄN</t>
        </is>
      </c>
      <c r="G3893" t="inlineStr">
        <is>
          <t>ÖRKELLJUNGA</t>
        </is>
      </c>
      <c r="I3893" t="n">
        <v>2.1</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4496-2025</t>
        </is>
      </c>
      <c r="B3894" t="inlineStr">
        <is>
          <t>avverkningsanmälan</t>
        </is>
      </c>
      <c r="C3894" t="inlineStr">
        <is>
          <t>Föryngringsavverkning</t>
        </is>
      </c>
      <c r="D3894" s="1" t="n">
        <v>45686</v>
      </c>
      <c r="E3894" s="1" t="n">
        <v>46312</v>
      </c>
      <c r="F3894" t="inlineStr">
        <is>
          <t>SKÅNE LÄN</t>
        </is>
      </c>
      <c r="G3894" t="inlineStr">
        <is>
          <t>OSBY</t>
        </is>
      </c>
      <c r="I3894" t="n">
        <v>1.3</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4574-2025</t>
        </is>
      </c>
      <c r="B3895" t="inlineStr">
        <is>
          <t>avverkningsanmälan</t>
        </is>
      </c>
      <c r="C3895" t="inlineStr">
        <is>
          <t>Föryngringsavverkning</t>
        </is>
      </c>
      <c r="D3895" s="1" t="n">
        <v>45687</v>
      </c>
      <c r="E3895" s="1" t="n">
        <v>46312</v>
      </c>
      <c r="F3895" t="inlineStr">
        <is>
          <t>SKÅNE LÄN</t>
        </is>
      </c>
      <c r="G3895" t="inlineStr">
        <is>
          <t>BJUV</t>
        </is>
      </c>
      <c r="H3895" t="inlineStr">
        <is>
          <t>Kyrkan</t>
        </is>
      </c>
      <c r="I3895" t="n">
        <v>6.2</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4579-2025</t>
        </is>
      </c>
      <c r="B3896" t="inlineStr">
        <is>
          <t>avverkningsanmälan</t>
        </is>
      </c>
      <c r="C3896" t="inlineStr">
        <is>
          <t>Föryngringsavverkning</t>
        </is>
      </c>
      <c r="D3896" s="1" t="n">
        <v>45687</v>
      </c>
      <c r="E3896" s="1" t="n">
        <v>46312</v>
      </c>
      <c r="F3896" t="inlineStr">
        <is>
          <t>SKÅNE LÄN</t>
        </is>
      </c>
      <c r="G3896" t="inlineStr">
        <is>
          <t>HÄSSLEHOLM</t>
        </is>
      </c>
      <c r="I3896" t="n">
        <v>2.8</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21141-2024</t>
        </is>
      </c>
      <c r="B3897" t="inlineStr">
        <is>
          <t>avverkningsanmälan</t>
        </is>
      </c>
      <c r="C3897" t="inlineStr">
        <is>
          <t>Föryngringsavverkning</t>
        </is>
      </c>
      <c r="D3897" s="1" t="n">
        <v>45440</v>
      </c>
      <c r="E3897" s="1" t="n">
        <v>46312</v>
      </c>
      <c r="F3897" t="inlineStr">
        <is>
          <t>SKÅNE LÄN</t>
        </is>
      </c>
      <c r="G3897" t="inlineStr">
        <is>
          <t>HÄSSLEHOLM</t>
        </is>
      </c>
      <c r="I3897" t="n">
        <v>1.3</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37625-2026</t>
        </is>
      </c>
      <c r="B3898" t="inlineStr">
        <is>
          <t>avverkningsanmälan</t>
        </is>
      </c>
      <c r="C3898" t="inlineStr">
        <is>
          <t>Föryngringsavverkning</t>
        </is>
      </c>
      <c r="D3898" s="1" t="n">
        <v>46276</v>
      </c>
      <c r="E3898" s="1" t="n">
        <v>46312</v>
      </c>
      <c r="F3898" t="inlineStr">
        <is>
          <t>SKÅNE LÄN</t>
        </is>
      </c>
      <c r="G3898" t="inlineStr">
        <is>
          <t>OSBY</t>
        </is>
      </c>
      <c r="H3898" t="inlineStr">
        <is>
          <t>Sveaskog</t>
        </is>
      </c>
      <c r="I3898" t="n">
        <v>2.2</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33873-2024</t>
        </is>
      </c>
      <c r="B3899" t="inlineStr">
        <is>
          <t>avverkningsanmälan</t>
        </is>
      </c>
      <c r="C3899" t="inlineStr">
        <is>
          <t>Föryngringsavverkning</t>
        </is>
      </c>
      <c r="D3899" s="1" t="n">
        <v>45521</v>
      </c>
      <c r="E3899" s="1" t="n">
        <v>46312</v>
      </c>
      <c r="F3899" t="inlineStr">
        <is>
          <t>SKÅNE LÄN</t>
        </is>
      </c>
      <c r="G3899" t="inlineStr">
        <is>
          <t>HÖRBY</t>
        </is>
      </c>
      <c r="I3899" t="n">
        <v>3.5</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37740-2026</t>
        </is>
      </c>
      <c r="B3900" t="inlineStr">
        <is>
          <t>avverkningsanmälan</t>
        </is>
      </c>
      <c r="C3900" t="inlineStr">
        <is>
          <t>Föryngringsavverkning</t>
        </is>
      </c>
      <c r="D3900" s="1" t="n">
        <v>46277</v>
      </c>
      <c r="E3900" s="1" t="n">
        <v>46312</v>
      </c>
      <c r="F3900" t="inlineStr">
        <is>
          <t>SKÅNE LÄN</t>
        </is>
      </c>
      <c r="G3900" t="inlineStr">
        <is>
          <t>HÄSSLEHOLM</t>
        </is>
      </c>
      <c r="I3900" t="n">
        <v>1.1</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37628-2026</t>
        </is>
      </c>
      <c r="B3901" t="inlineStr">
        <is>
          <t>avverkningsanmälan</t>
        </is>
      </c>
      <c r="C3901" t="inlineStr">
        <is>
          <t>Föryngringsavverkning</t>
        </is>
      </c>
      <c r="D3901" s="1" t="n">
        <v>46276</v>
      </c>
      <c r="E3901" s="1" t="n">
        <v>46312</v>
      </c>
      <c r="F3901" t="inlineStr">
        <is>
          <t>SKÅNE LÄN</t>
        </is>
      </c>
      <c r="G3901" t="inlineStr">
        <is>
          <t>ÄNGELHOLM</t>
        </is>
      </c>
      <c r="H3901" t="inlineStr">
        <is>
          <t>Kommuner</t>
        </is>
      </c>
      <c r="I3901" t="n">
        <v>4.5</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37571-2026</t>
        </is>
      </c>
      <c r="B3902" t="inlineStr">
        <is>
          <t>avverkningsanmälan</t>
        </is>
      </c>
      <c r="C3902" t="inlineStr">
        <is>
          <t>Föryngringsavverkning</t>
        </is>
      </c>
      <c r="D3902" s="1" t="n">
        <v>46276</v>
      </c>
      <c r="E3902" s="1" t="n">
        <v>46312</v>
      </c>
      <c r="F3902" t="inlineStr">
        <is>
          <t>SKÅNE LÄN</t>
        </is>
      </c>
      <c r="G3902" t="inlineStr">
        <is>
          <t>KRISTIANSTAD</t>
        </is>
      </c>
      <c r="H3902" t="inlineStr">
        <is>
          <t>Sveaskog</t>
        </is>
      </c>
      <c r="I3902" t="n">
        <v>1.9</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5557-2022</t>
        </is>
      </c>
      <c r="B3903" t="inlineStr">
        <is>
          <t>avverkningsanmälan</t>
        </is>
      </c>
      <c r="C3903" t="inlineStr">
        <is>
          <t>Föryngringsavverkning</t>
        </is>
      </c>
      <c r="D3903" s="1" t="n">
        <v>44593</v>
      </c>
      <c r="E3903" s="1" t="n">
        <v>46312</v>
      </c>
      <c r="F3903" t="inlineStr">
        <is>
          <t>SKÅNE LÄN</t>
        </is>
      </c>
      <c r="G3903" t="inlineStr">
        <is>
          <t>KLIPPAN</t>
        </is>
      </c>
      <c r="I3903" t="n">
        <v>2.4</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19268-2024</t>
        </is>
      </c>
      <c r="B3904" t="inlineStr">
        <is>
          <t>avverkningsanmälan</t>
        </is>
      </c>
      <c r="C3904" t="inlineStr">
        <is>
          <t>Föryngringsavverkning</t>
        </is>
      </c>
      <c r="D3904" s="1" t="n">
        <v>45428</v>
      </c>
      <c r="E3904" s="1" t="n">
        <v>46312</v>
      </c>
      <c r="F3904" t="inlineStr">
        <is>
          <t>SKÅNE LÄN</t>
        </is>
      </c>
      <c r="G3904" t="inlineStr">
        <is>
          <t>SVEDALA</t>
        </is>
      </c>
      <c r="I3904" t="n">
        <v>0.5</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37532-2026</t>
        </is>
      </c>
      <c r="B3905" t="inlineStr">
        <is>
          <t>avverkningsanmälan</t>
        </is>
      </c>
      <c r="C3905" t="inlineStr">
        <is>
          <t>Föryngringsavverkning</t>
        </is>
      </c>
      <c r="D3905" s="1" t="n">
        <v>46276</v>
      </c>
      <c r="E3905" s="1" t="n">
        <v>46312</v>
      </c>
      <c r="F3905" t="inlineStr">
        <is>
          <t>SKÅNE LÄN</t>
        </is>
      </c>
      <c r="G3905" t="inlineStr">
        <is>
          <t>KRISTIANSTAD</t>
        </is>
      </c>
      <c r="I3905" t="n">
        <v>1.1</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1935-2024</t>
        </is>
      </c>
      <c r="B3906" t="inlineStr">
        <is>
          <t>avverkningsanmälan</t>
        </is>
      </c>
      <c r="C3906" t="inlineStr">
        <is>
          <t>Föryngringsavverkning</t>
        </is>
      </c>
      <c r="D3906" s="1" t="n">
        <v>45308</v>
      </c>
      <c r="E3906" s="1" t="n">
        <v>46312</v>
      </c>
      <c r="F3906" t="inlineStr">
        <is>
          <t>SKÅNE LÄN</t>
        </is>
      </c>
      <c r="G3906" t="inlineStr">
        <is>
          <t>ÖRKELLJUNGA</t>
        </is>
      </c>
      <c r="I3906" t="n">
        <v>0.2</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62397-2022</t>
        </is>
      </c>
      <c r="B3907" t="inlineStr">
        <is>
          <t>avverkningsanmälan</t>
        </is>
      </c>
      <c r="C3907" t="inlineStr">
        <is>
          <t>Föryngringsavverkning</t>
        </is>
      </c>
      <c r="D3907" s="1" t="n">
        <v>44923</v>
      </c>
      <c r="E3907" s="1" t="n">
        <v>46312</v>
      </c>
      <c r="F3907" t="inlineStr">
        <is>
          <t>SKÅNE LÄN</t>
        </is>
      </c>
      <c r="G3907" t="inlineStr">
        <is>
          <t>KRISTIANSTAD</t>
        </is>
      </c>
      <c r="I3907" t="n">
        <v>12.6</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37525-2026</t>
        </is>
      </c>
      <c r="B3908" t="inlineStr">
        <is>
          <t>avverkningsanmälan</t>
        </is>
      </c>
      <c r="C3908" t="inlineStr">
        <is>
          <t>Föryngringsavverkning</t>
        </is>
      </c>
      <c r="D3908" s="1" t="n">
        <v>46276</v>
      </c>
      <c r="E3908" s="1" t="n">
        <v>46312</v>
      </c>
      <c r="F3908" t="inlineStr">
        <is>
          <t>SKÅNE LÄN</t>
        </is>
      </c>
      <c r="G3908" t="inlineStr">
        <is>
          <t>KRISTIANSTAD</t>
        </is>
      </c>
      <c r="I3908" t="n">
        <v>7</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32263-2026</t>
        </is>
      </c>
      <c r="B3909" t="inlineStr">
        <is>
          <t>avverkningsanmälan</t>
        </is>
      </c>
      <c r="C3909" t="inlineStr">
        <is>
          <t>Föryngringsavverkning</t>
        </is>
      </c>
      <c r="D3909" s="1" t="n">
        <v>46237</v>
      </c>
      <c r="E3909" s="1" t="n">
        <v>46312</v>
      </c>
      <c r="F3909" t="inlineStr">
        <is>
          <t>SKÅNE LÄN</t>
        </is>
      </c>
      <c r="G3909" t="inlineStr">
        <is>
          <t>KRISTIANSTAD</t>
        </is>
      </c>
      <c r="I3909" t="n">
        <v>0.7</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12469-2023</t>
        </is>
      </c>
      <c r="B3910" t="inlineStr">
        <is>
          <t>avverkningsanmälan</t>
        </is>
      </c>
      <c r="C3910" t="inlineStr">
        <is>
          <t>Föryngringsavverkning</t>
        </is>
      </c>
      <c r="D3910" s="1" t="n">
        <v>44999</v>
      </c>
      <c r="E3910" s="1" t="n">
        <v>46312</v>
      </c>
      <c r="F3910" t="inlineStr">
        <is>
          <t>SKÅNE LÄN</t>
        </is>
      </c>
      <c r="G3910" t="inlineStr">
        <is>
          <t>HÄSSLEHOLM</t>
        </is>
      </c>
      <c r="I3910" t="n">
        <v>2.6</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17371-2024</t>
        </is>
      </c>
      <c r="B3911" t="inlineStr">
        <is>
          <t>avverkningsanmälan</t>
        </is>
      </c>
      <c r="C3911" t="inlineStr">
        <is>
          <t>Föryngringsavverkning</t>
        </is>
      </c>
      <c r="D3911" s="1" t="n">
        <v>45414</v>
      </c>
      <c r="E3911" s="1" t="n">
        <v>46312</v>
      </c>
      <c r="F3911" t="inlineStr">
        <is>
          <t>SKÅNE LÄN</t>
        </is>
      </c>
      <c r="G3911" t="inlineStr">
        <is>
          <t>KRISTIANSTAD</t>
        </is>
      </c>
      <c r="I3911" t="n">
        <v>1.9</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37514-2026</t>
        </is>
      </c>
      <c r="B3912" t="inlineStr">
        <is>
          <t>avverkningsanmälan</t>
        </is>
      </c>
      <c r="C3912" t="inlineStr">
        <is>
          <t>Föryngringsavverkning</t>
        </is>
      </c>
      <c r="D3912" s="1" t="n">
        <v>46276</v>
      </c>
      <c r="E3912" s="1" t="n">
        <v>46312</v>
      </c>
      <c r="F3912" t="inlineStr">
        <is>
          <t>SKÅNE LÄN</t>
        </is>
      </c>
      <c r="G3912" t="inlineStr">
        <is>
          <t>BJUV</t>
        </is>
      </c>
      <c r="I3912" t="n">
        <v>3.8</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29083-2023</t>
        </is>
      </c>
      <c r="B3913" t="inlineStr">
        <is>
          <t>avverkningsanmälan</t>
        </is>
      </c>
      <c r="C3913" t="inlineStr">
        <is>
          <t>Föryngringsavverkning</t>
        </is>
      </c>
      <c r="D3913" s="1" t="n">
        <v>45105</v>
      </c>
      <c r="E3913" s="1" t="n">
        <v>46312</v>
      </c>
      <c r="F3913" t="inlineStr">
        <is>
          <t>SKÅNE LÄN</t>
        </is>
      </c>
      <c r="G3913" t="inlineStr">
        <is>
          <t>LUND</t>
        </is>
      </c>
      <c r="I3913" t="n">
        <v>0.5</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46613-2024</t>
        </is>
      </c>
      <c r="B3914" t="inlineStr">
        <is>
          <t>avverkningsanmälan</t>
        </is>
      </c>
      <c r="C3914" t="inlineStr">
        <is>
          <t>Föryngringsavverkning</t>
        </is>
      </c>
      <c r="D3914" s="1" t="n">
        <v>45583</v>
      </c>
      <c r="E3914" s="1" t="n">
        <v>46312</v>
      </c>
      <c r="F3914" t="inlineStr">
        <is>
          <t>SKÅNE LÄN</t>
        </is>
      </c>
      <c r="G3914" t="inlineStr">
        <is>
          <t>ÄNGELHOLM</t>
        </is>
      </c>
      <c r="I3914" t="n">
        <v>6.2</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10940-2024</t>
        </is>
      </c>
      <c r="B3915" t="inlineStr">
        <is>
          <t>avverkningsanmälan</t>
        </is>
      </c>
      <c r="C3915" t="inlineStr">
        <is>
          <t>Föryngringsavverkning</t>
        </is>
      </c>
      <c r="D3915" s="1" t="n">
        <v>45370</v>
      </c>
      <c r="E3915" s="1" t="n">
        <v>46312</v>
      </c>
      <c r="F3915" t="inlineStr">
        <is>
          <t>SKÅNE LÄN</t>
        </is>
      </c>
      <c r="G3915" t="inlineStr">
        <is>
          <t>ESLÖV</t>
        </is>
      </c>
      <c r="I3915" t="n">
        <v>0.5</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10967-2024</t>
        </is>
      </c>
      <c r="B3916" t="inlineStr">
        <is>
          <t>avverkningsanmälan</t>
        </is>
      </c>
      <c r="C3916" t="inlineStr">
        <is>
          <t>Föryngringsavverkning</t>
        </is>
      </c>
      <c r="D3916" s="1" t="n">
        <v>45370</v>
      </c>
      <c r="E3916" s="1" t="n">
        <v>46312</v>
      </c>
      <c r="F3916" t="inlineStr">
        <is>
          <t>SKÅNE LÄN</t>
        </is>
      </c>
      <c r="G3916" t="inlineStr">
        <is>
          <t>OSBY</t>
        </is>
      </c>
      <c r="I3916" t="n">
        <v>0.6</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56998-2024</t>
        </is>
      </c>
      <c r="B3917" t="inlineStr">
        <is>
          <t>avverkningsanmälan</t>
        </is>
      </c>
      <c r="C3917" t="inlineStr">
        <is>
          <t>Föryngringsavverkning</t>
        </is>
      </c>
      <c r="D3917" s="1" t="n">
        <v>45628</v>
      </c>
      <c r="E3917" s="1" t="n">
        <v>46312</v>
      </c>
      <c r="F3917" t="inlineStr">
        <is>
          <t>SKÅNE LÄN</t>
        </is>
      </c>
      <c r="G3917" t="inlineStr">
        <is>
          <t>OSBY</t>
        </is>
      </c>
      <c r="I3917" t="n">
        <v>0.7</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20096-2024</t>
        </is>
      </c>
      <c r="B3918" t="inlineStr">
        <is>
          <t>avverkningsanmälan</t>
        </is>
      </c>
      <c r="C3918" t="inlineStr">
        <is>
          <t>Föryngringsavverkning</t>
        </is>
      </c>
      <c r="D3918" s="1" t="n">
        <v>45434</v>
      </c>
      <c r="E3918" s="1" t="n">
        <v>46312</v>
      </c>
      <c r="F3918" t="inlineStr">
        <is>
          <t>SKÅNE LÄN</t>
        </is>
      </c>
      <c r="G3918" t="inlineStr">
        <is>
          <t>SIMRISHAMN</t>
        </is>
      </c>
      <c r="I3918" t="n">
        <v>0.8</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5623-2024</t>
        </is>
      </c>
      <c r="B3919" t="inlineStr">
        <is>
          <t>avverkningsanmälan</t>
        </is>
      </c>
      <c r="C3919" t="inlineStr">
        <is>
          <t>Föryngringsavverkning</t>
        </is>
      </c>
      <c r="D3919" s="1" t="n">
        <v>45334</v>
      </c>
      <c r="E3919" s="1" t="n">
        <v>46312</v>
      </c>
      <c r="F3919" t="inlineStr">
        <is>
          <t>SKÅNE LÄN</t>
        </is>
      </c>
      <c r="G3919" t="inlineStr">
        <is>
          <t>KRISTIANSTAD</t>
        </is>
      </c>
      <c r="I3919" t="n">
        <v>1.3</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37723-2026</t>
        </is>
      </c>
      <c r="B3920" t="inlineStr">
        <is>
          <t>avverkningsanmälan</t>
        </is>
      </c>
      <c r="C3920" t="inlineStr">
        <is>
          <t>Föryngringsavverkning</t>
        </is>
      </c>
      <c r="D3920" s="1" t="n">
        <v>46277</v>
      </c>
      <c r="E3920" s="1" t="n">
        <v>46312</v>
      </c>
      <c r="F3920" t="inlineStr">
        <is>
          <t>SKÅNE LÄN</t>
        </is>
      </c>
      <c r="G3920" t="inlineStr">
        <is>
          <t>HÄSSLEHOLM</t>
        </is>
      </c>
      <c r="I3920" t="n">
        <v>1.8</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45400-2022</t>
        </is>
      </c>
      <c r="B3921" t="inlineStr">
        <is>
          <t>avverkningsanmälan</t>
        </is>
      </c>
      <c r="C3921" t="inlineStr">
        <is>
          <t>Föryngringsavverkning</t>
        </is>
      </c>
      <c r="D3921" s="1" t="n">
        <v>44844</v>
      </c>
      <c r="E3921" s="1" t="n">
        <v>46312</v>
      </c>
      <c r="F3921" t="inlineStr">
        <is>
          <t>SKÅNE LÄN</t>
        </is>
      </c>
      <c r="G3921" t="inlineStr">
        <is>
          <t>HÄSSLEHOLM</t>
        </is>
      </c>
      <c r="I3921" t="n">
        <v>1.6</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37623-2026</t>
        </is>
      </c>
      <c r="B3922" t="inlineStr">
        <is>
          <t>avverkningsanmälan</t>
        </is>
      </c>
      <c r="C3922" t="inlineStr">
        <is>
          <t>Föryngringsavverkning</t>
        </is>
      </c>
      <c r="D3922" s="1" t="n">
        <v>46276</v>
      </c>
      <c r="E3922" s="1" t="n">
        <v>46312</v>
      </c>
      <c r="F3922" t="inlineStr">
        <is>
          <t>SKÅNE LÄN</t>
        </is>
      </c>
      <c r="G3922" t="inlineStr">
        <is>
          <t>OSBY</t>
        </is>
      </c>
      <c r="H3922" t="inlineStr">
        <is>
          <t>Sveaskog</t>
        </is>
      </c>
      <c r="I3922" t="n">
        <v>2.2</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61348-2024</t>
        </is>
      </c>
      <c r="B3923" t="inlineStr">
        <is>
          <t>avverkningsanmälan</t>
        </is>
      </c>
      <c r="C3923" t="inlineStr">
        <is>
          <t>Föryngringsavverkning</t>
        </is>
      </c>
      <c r="D3923" s="1" t="n">
        <v>45646</v>
      </c>
      <c r="E3923" s="1" t="n">
        <v>46312</v>
      </c>
      <c r="F3923" t="inlineStr">
        <is>
          <t>SKÅNE LÄN</t>
        </is>
      </c>
      <c r="G3923" t="inlineStr">
        <is>
          <t>KRISTIANSTAD</t>
        </is>
      </c>
      <c r="I3923" t="n">
        <v>1.1</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5622-2024</t>
        </is>
      </c>
      <c r="B3924" t="inlineStr">
        <is>
          <t>avverkningsanmälan</t>
        </is>
      </c>
      <c r="C3924" t="inlineStr">
        <is>
          <t>Föryngringsavverkning</t>
        </is>
      </c>
      <c r="D3924" s="1" t="n">
        <v>45334</v>
      </c>
      <c r="E3924" s="1" t="n">
        <v>46312</v>
      </c>
      <c r="F3924" t="inlineStr">
        <is>
          <t>SKÅNE LÄN</t>
        </is>
      </c>
      <c r="G3924" t="inlineStr">
        <is>
          <t>KRISTIANSTAD</t>
        </is>
      </c>
      <c r="I3924" t="n">
        <v>1.2</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74050-2021</t>
        </is>
      </c>
      <c r="B3925" t="inlineStr">
        <is>
          <t>avverkningsanmälan</t>
        </is>
      </c>
      <c r="C3925" t="inlineStr">
        <is>
          <t>Föryngringsavverkning</t>
        </is>
      </c>
      <c r="D3925" s="1" t="n">
        <v>44557</v>
      </c>
      <c r="E3925" s="1" t="n">
        <v>46312</v>
      </c>
      <c r="F3925" t="inlineStr">
        <is>
          <t>SKÅNE LÄN</t>
        </is>
      </c>
      <c r="G3925" t="inlineStr">
        <is>
          <t>OSBY</t>
        </is>
      </c>
      <c r="I3925" t="n">
        <v>2.2</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11221-2024</t>
        </is>
      </c>
      <c r="B3926" t="inlineStr">
        <is>
          <t>avverkningsanmälan</t>
        </is>
      </c>
      <c r="C3926" t="inlineStr">
        <is>
          <t>Föryngringsavverkning</t>
        </is>
      </c>
      <c r="D3926" s="1" t="n">
        <v>45371</v>
      </c>
      <c r="E3926" s="1" t="n">
        <v>46312</v>
      </c>
      <c r="F3926" t="inlineStr">
        <is>
          <t>SKÅNE LÄN</t>
        </is>
      </c>
      <c r="G3926" t="inlineStr">
        <is>
          <t>ESLÖV</t>
        </is>
      </c>
      <c r="I3926" t="n">
        <v>0.3</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37729-2026</t>
        </is>
      </c>
      <c r="B3927" t="inlineStr">
        <is>
          <t>avverkningsanmälan</t>
        </is>
      </c>
      <c r="C3927" t="inlineStr">
        <is>
          <t>Föryngringsavverkning</t>
        </is>
      </c>
      <c r="D3927" s="1" t="n">
        <v>46277</v>
      </c>
      <c r="E3927" s="1" t="n">
        <v>46312</v>
      </c>
      <c r="F3927" t="inlineStr">
        <is>
          <t>SKÅNE LÄN</t>
        </is>
      </c>
      <c r="G3927" t="inlineStr">
        <is>
          <t>HÄSSLEHOLM</t>
        </is>
      </c>
      <c r="I3927" t="n">
        <v>1.4</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37522-2026</t>
        </is>
      </c>
      <c r="B3928" t="inlineStr">
        <is>
          <t>avverkningsanmälan</t>
        </is>
      </c>
      <c r="C3928" t="inlineStr">
        <is>
          <t>Föryngringsavverkning</t>
        </is>
      </c>
      <c r="D3928" s="1" t="n">
        <v>46276</v>
      </c>
      <c r="E3928" s="1" t="n">
        <v>46312</v>
      </c>
      <c r="F3928" t="inlineStr">
        <is>
          <t>SKÅNE LÄN</t>
        </is>
      </c>
      <c r="G3928" t="inlineStr">
        <is>
          <t>KRISTIANSTAD</t>
        </is>
      </c>
      <c r="I3928" t="n">
        <v>1.8</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29854-2026</t>
        </is>
      </c>
      <c r="B3929" t="inlineStr">
        <is>
          <t>avverkningsanmälan</t>
        </is>
      </c>
      <c r="C3929" t="inlineStr">
        <is>
          <t>Föryngringsavverkning</t>
        </is>
      </c>
      <c r="D3929" s="1" t="n">
        <v>46205</v>
      </c>
      <c r="E3929" s="1" t="n">
        <v>46312</v>
      </c>
      <c r="F3929" t="inlineStr">
        <is>
          <t>SKÅNE LÄN</t>
        </is>
      </c>
      <c r="G3929" t="inlineStr">
        <is>
          <t>KRISTIANSTAD</t>
        </is>
      </c>
      <c r="I3929" t="n">
        <v>3</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37554-2024</t>
        </is>
      </c>
      <c r="B3930" t="inlineStr">
        <is>
          <t>avverkningsanmälan</t>
        </is>
      </c>
      <c r="C3930" t="inlineStr">
        <is>
          <t>Föryngringsavverkning</t>
        </is>
      </c>
      <c r="D3930" s="1" t="n">
        <v>45541</v>
      </c>
      <c r="E3930" s="1" t="n">
        <v>46312</v>
      </c>
      <c r="F3930" t="inlineStr">
        <is>
          <t>SKÅNE LÄN</t>
        </is>
      </c>
      <c r="G3930" t="inlineStr">
        <is>
          <t>ÖSTRA GÖINGE</t>
        </is>
      </c>
      <c r="I3930" t="n">
        <v>0.8</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37558-2024</t>
        </is>
      </c>
      <c r="B3931" t="inlineStr">
        <is>
          <t>avverkningsanmälan</t>
        </is>
      </c>
      <c r="C3931" t="inlineStr">
        <is>
          <t>Föryngringsavverkning</t>
        </is>
      </c>
      <c r="D3931" s="1" t="n">
        <v>45541</v>
      </c>
      <c r="E3931" s="1" t="n">
        <v>46312</v>
      </c>
      <c r="F3931" t="inlineStr">
        <is>
          <t>SKÅNE LÄN</t>
        </is>
      </c>
      <c r="G3931" t="inlineStr">
        <is>
          <t>ÖSTRA GÖINGE</t>
        </is>
      </c>
      <c r="I3931" t="n">
        <v>2.3</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45420-2023</t>
        </is>
      </c>
      <c r="B3932" t="inlineStr">
        <is>
          <t>avverkningsanmälan</t>
        </is>
      </c>
      <c r="C3932" t="inlineStr">
        <is>
          <t>Föryngringsavverkning</t>
        </is>
      </c>
      <c r="D3932" s="1" t="n">
        <v>45194</v>
      </c>
      <c r="E3932" s="1" t="n">
        <v>46312</v>
      </c>
      <c r="F3932" t="inlineStr">
        <is>
          <t>SKÅNE LÄN</t>
        </is>
      </c>
      <c r="G3932" t="inlineStr">
        <is>
          <t>OSBY</t>
        </is>
      </c>
      <c r="I3932" t="n">
        <v>0.8</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37735-2026</t>
        </is>
      </c>
      <c r="B3933" t="inlineStr">
        <is>
          <t>avverkningsanmälan</t>
        </is>
      </c>
      <c r="C3933" t="inlineStr">
        <is>
          <t>Föryngringsavverkning</t>
        </is>
      </c>
      <c r="D3933" s="1" t="n">
        <v>46277</v>
      </c>
      <c r="E3933" s="1" t="n">
        <v>46312</v>
      </c>
      <c r="F3933" t="inlineStr">
        <is>
          <t>SKÅNE LÄN</t>
        </is>
      </c>
      <c r="G3933" t="inlineStr">
        <is>
          <t>HÄSSLEHOLM</t>
        </is>
      </c>
      <c r="I3933" t="n">
        <v>2.3</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37570-2026</t>
        </is>
      </c>
      <c r="B3934" t="inlineStr">
        <is>
          <t>avverkningsanmälan</t>
        </is>
      </c>
      <c r="C3934" t="inlineStr">
        <is>
          <t>Föryngringsavverkning</t>
        </is>
      </c>
      <c r="D3934" s="1" t="n">
        <v>46276</v>
      </c>
      <c r="E3934" s="1" t="n">
        <v>46312</v>
      </c>
      <c r="F3934" t="inlineStr">
        <is>
          <t>SKÅNE LÄN</t>
        </is>
      </c>
      <c r="G3934" t="inlineStr">
        <is>
          <t>KRISTIANSTAD</t>
        </is>
      </c>
      <c r="H3934" t="inlineStr">
        <is>
          <t>Sveaskog</t>
        </is>
      </c>
      <c r="I3934" t="n">
        <v>0.9</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43808-2024</t>
        </is>
      </c>
      <c r="B3935" t="inlineStr">
        <is>
          <t>avverkningsanmälan</t>
        </is>
      </c>
      <c r="C3935" t="inlineStr">
        <is>
          <t>Avverkning för annat ändamål</t>
        </is>
      </c>
      <c r="D3935" s="1" t="n">
        <v>45571</v>
      </c>
      <c r="E3935" s="1" t="n">
        <v>46312</v>
      </c>
      <c r="F3935" t="inlineStr">
        <is>
          <t>SKÅNE LÄN</t>
        </is>
      </c>
      <c r="G3935" t="inlineStr">
        <is>
          <t>ESLÖV</t>
        </is>
      </c>
      <c r="I3935" t="n">
        <v>1.5</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13961-2023</t>
        </is>
      </c>
      <c r="B3936" t="inlineStr">
        <is>
          <t>avverkningsanmälan</t>
        </is>
      </c>
      <c r="C3936" t="inlineStr">
        <is>
          <t>Föryngringsavverkning</t>
        </is>
      </c>
      <c r="D3936" s="1" t="n">
        <v>45008</v>
      </c>
      <c r="E3936" s="1" t="n">
        <v>46312</v>
      </c>
      <c r="F3936" t="inlineStr">
        <is>
          <t>SKÅNE LÄN</t>
        </is>
      </c>
      <c r="G3936" t="inlineStr">
        <is>
          <t>HÄSSLEHOLM</t>
        </is>
      </c>
      <c r="I3936" t="n">
        <v>3.8</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43736-2023</t>
        </is>
      </c>
      <c r="B3937" t="inlineStr">
        <is>
          <t>avverkningsanmälan</t>
        </is>
      </c>
      <c r="C3937" t="inlineStr">
        <is>
          <t>Föryngringsavverkning</t>
        </is>
      </c>
      <c r="D3937" s="1" t="n">
        <v>45182</v>
      </c>
      <c r="E3937" s="1" t="n">
        <v>46312</v>
      </c>
      <c r="F3937" t="inlineStr">
        <is>
          <t>SKÅNE LÄN</t>
        </is>
      </c>
      <c r="G3937" t="inlineStr">
        <is>
          <t>SVALÖV</t>
        </is>
      </c>
      <c r="I3937" t="n">
        <v>1.2</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38072-2026</t>
        </is>
      </c>
      <c r="B3938" t="inlineStr">
        <is>
          <t>avverkningsanmälan</t>
        </is>
      </c>
      <c r="C3938" t="inlineStr">
        <is>
          <t>Föryngringsavverkning</t>
        </is>
      </c>
      <c r="D3938" s="1" t="n">
        <v>46280</v>
      </c>
      <c r="E3938" s="1" t="n">
        <v>46312</v>
      </c>
      <c r="F3938" t="inlineStr">
        <is>
          <t>SKÅNE LÄN</t>
        </is>
      </c>
      <c r="G3938" t="inlineStr">
        <is>
          <t>KRISTIANSTAD</t>
        </is>
      </c>
      <c r="I3938" t="n">
        <v>1.4</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7565-2023</t>
        </is>
      </c>
      <c r="B3939" t="inlineStr">
        <is>
          <t>avverkningsanmälan</t>
        </is>
      </c>
      <c r="C3939" t="inlineStr">
        <is>
          <t>Föryngringsavverkning</t>
        </is>
      </c>
      <c r="D3939" s="1" t="n">
        <v>44972</v>
      </c>
      <c r="E3939" s="1" t="n">
        <v>46312</v>
      </c>
      <c r="F3939" t="inlineStr">
        <is>
          <t>SKÅNE LÄN</t>
        </is>
      </c>
      <c r="G3939" t="inlineStr">
        <is>
          <t>KRISTIANSTAD</t>
        </is>
      </c>
      <c r="I3939" t="n">
        <v>0.5</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42588-2023</t>
        </is>
      </c>
      <c r="B3940" t="inlineStr">
        <is>
          <t>avverkningsanmälan</t>
        </is>
      </c>
      <c r="C3940" t="inlineStr">
        <is>
          <t>Föryngringsavverkning</t>
        </is>
      </c>
      <c r="D3940" s="1" t="n">
        <v>45176</v>
      </c>
      <c r="E3940" s="1" t="n">
        <v>46312</v>
      </c>
      <c r="F3940" t="inlineStr">
        <is>
          <t>SKÅNE LÄN</t>
        </is>
      </c>
      <c r="G3940" t="inlineStr">
        <is>
          <t>SVALÖV</t>
        </is>
      </c>
      <c r="I3940" t="n">
        <v>1.1</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7581-2023</t>
        </is>
      </c>
      <c r="B3941" t="inlineStr">
        <is>
          <t>avverkningsanmälan</t>
        </is>
      </c>
      <c r="C3941" t="inlineStr">
        <is>
          <t>Föryngringsavverkning</t>
        </is>
      </c>
      <c r="D3941" s="1" t="n">
        <v>44972</v>
      </c>
      <c r="E3941" s="1" t="n">
        <v>46312</v>
      </c>
      <c r="F3941" t="inlineStr">
        <is>
          <t>SKÅNE LÄN</t>
        </is>
      </c>
      <c r="G3941" t="inlineStr">
        <is>
          <t>HÄSSLEHOLM</t>
        </is>
      </c>
      <c r="I3941" t="n">
        <v>0.8</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1421-2024</t>
        </is>
      </c>
      <c r="B3942" t="inlineStr">
        <is>
          <t>avverkningsanmälan</t>
        </is>
      </c>
      <c r="C3942" t="inlineStr">
        <is>
          <t>Föryngringsavverkning</t>
        </is>
      </c>
      <c r="D3942" s="1" t="n">
        <v>45303</v>
      </c>
      <c r="E3942" s="1" t="n">
        <v>46312</v>
      </c>
      <c r="F3942" t="inlineStr">
        <is>
          <t>SKÅNE LÄN</t>
        </is>
      </c>
      <c r="G3942" t="inlineStr">
        <is>
          <t>KRISTIANSTAD</t>
        </is>
      </c>
      <c r="H3942" t="inlineStr">
        <is>
          <t>Övriga Aktiebolag</t>
        </is>
      </c>
      <c r="I3942" t="n">
        <v>19.7</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23976-2024</t>
        </is>
      </c>
      <c r="B3943" t="inlineStr">
        <is>
          <t>avverkningsanmälan</t>
        </is>
      </c>
      <c r="C3943" t="inlineStr">
        <is>
          <t>Föryngringsavverkning</t>
        </is>
      </c>
      <c r="D3943" s="1" t="n">
        <v>45456</v>
      </c>
      <c r="E3943" s="1" t="n">
        <v>46312</v>
      </c>
      <c r="F3943" t="inlineStr">
        <is>
          <t>SKÅNE LÄN</t>
        </is>
      </c>
      <c r="G3943" t="inlineStr">
        <is>
          <t>ÄNGELHOLM</t>
        </is>
      </c>
      <c r="I3943" t="n">
        <v>0.6</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29874-2023</t>
        </is>
      </c>
      <c r="B3944" t="inlineStr">
        <is>
          <t>avverkningsanmälan</t>
        </is>
      </c>
      <c r="C3944" t="inlineStr">
        <is>
          <t>Föryngringsavverkning</t>
        </is>
      </c>
      <c r="D3944" s="1" t="n">
        <v>45107</v>
      </c>
      <c r="E3944" s="1" t="n">
        <v>46312</v>
      </c>
      <c r="F3944" t="inlineStr">
        <is>
          <t>SKÅNE LÄN</t>
        </is>
      </c>
      <c r="G3944" t="inlineStr">
        <is>
          <t>PERSTORP</t>
        </is>
      </c>
      <c r="I3944" t="n">
        <v>3.1</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22406-2024</t>
        </is>
      </c>
      <c r="B3945" t="inlineStr">
        <is>
          <t>avverkningsanmälan</t>
        </is>
      </c>
      <c r="C3945" t="inlineStr">
        <is>
          <t>Föryngringsavverkning</t>
        </is>
      </c>
      <c r="D3945" s="1" t="n">
        <v>45446</v>
      </c>
      <c r="E3945" s="1" t="n">
        <v>46312</v>
      </c>
      <c r="F3945" t="inlineStr">
        <is>
          <t>SKÅNE LÄN</t>
        </is>
      </c>
      <c r="G3945" t="inlineStr">
        <is>
          <t>ÖRKELLJUNGA</t>
        </is>
      </c>
      <c r="I3945" t="n">
        <v>0.7</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26179-2023</t>
        </is>
      </c>
      <c r="B3946" t="inlineStr">
        <is>
          <t>avverkningsanmälan</t>
        </is>
      </c>
      <c r="C3946" t="inlineStr">
        <is>
          <t>Föryngringsavverkning</t>
        </is>
      </c>
      <c r="D3946" s="1" t="n">
        <v>45091</v>
      </c>
      <c r="E3946" s="1" t="n">
        <v>46312</v>
      </c>
      <c r="F3946" t="inlineStr">
        <is>
          <t>SKÅNE LÄN</t>
        </is>
      </c>
      <c r="G3946" t="inlineStr">
        <is>
          <t>ÖRKELLJUNGA</t>
        </is>
      </c>
      <c r="I3946" t="n">
        <v>0.7</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5282-2023</t>
        </is>
      </c>
      <c r="B3947" t="inlineStr">
        <is>
          <t>avverkningsanmälan</t>
        </is>
      </c>
      <c r="C3947" t="inlineStr">
        <is>
          <t>Föryngringsavverkning</t>
        </is>
      </c>
      <c r="D3947" s="1" t="n">
        <v>44959</v>
      </c>
      <c r="E3947" s="1" t="n">
        <v>46312</v>
      </c>
      <c r="F3947" t="inlineStr">
        <is>
          <t>SKÅNE LÄN</t>
        </is>
      </c>
      <c r="G3947" t="inlineStr">
        <is>
          <t>HÄSSLEHOLM</t>
        </is>
      </c>
      <c r="I3947" t="n">
        <v>0.9</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37082-2024</t>
        </is>
      </c>
      <c r="B3948" t="inlineStr">
        <is>
          <t>avverkningsanmälan</t>
        </is>
      </c>
      <c r="C3948" t="inlineStr">
        <is>
          <t>Föryngringsavverkning</t>
        </is>
      </c>
      <c r="D3948" s="1" t="n">
        <v>45539</v>
      </c>
      <c r="E3948" s="1" t="n">
        <v>46312</v>
      </c>
      <c r="F3948" t="inlineStr">
        <is>
          <t>SKÅNE LÄN</t>
        </is>
      </c>
      <c r="G3948" t="inlineStr">
        <is>
          <t>HÖÖR</t>
        </is>
      </c>
      <c r="I3948" t="n">
        <v>0.8</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15157-2023</t>
        </is>
      </c>
      <c r="B3949" t="inlineStr">
        <is>
          <t>avverkningsanmälan</t>
        </is>
      </c>
      <c r="C3949" t="inlineStr">
        <is>
          <t>Föryngringsavverkning</t>
        </is>
      </c>
      <c r="D3949" s="1" t="n">
        <v>45016</v>
      </c>
      <c r="E3949" s="1" t="n">
        <v>46312</v>
      </c>
      <c r="F3949" t="inlineStr">
        <is>
          <t>SKÅNE LÄN</t>
        </is>
      </c>
      <c r="G3949" t="inlineStr">
        <is>
          <t>SVALÖV</t>
        </is>
      </c>
      <c r="I3949" t="n">
        <v>2</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13791-2026</t>
        </is>
      </c>
      <c r="B3950" t="inlineStr">
        <is>
          <t>avverkningsanmälan</t>
        </is>
      </c>
      <c r="C3950" t="inlineStr">
        <is>
          <t>Föryngringsavverkning</t>
        </is>
      </c>
      <c r="D3950" s="1" t="n">
        <v>46097</v>
      </c>
      <c r="E3950" s="1" t="n">
        <v>46312</v>
      </c>
      <c r="F3950" t="inlineStr">
        <is>
          <t>SKÅNE LÄN</t>
        </is>
      </c>
      <c r="G3950" t="inlineStr">
        <is>
          <t>SVALÖV</t>
        </is>
      </c>
      <c r="I3950" t="n">
        <v>1</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52548-2023</t>
        </is>
      </c>
      <c r="B3951" t="inlineStr">
        <is>
          <t>avverkningsanmälan</t>
        </is>
      </c>
      <c r="C3951" t="inlineStr">
        <is>
          <t>Föryngringsavverkning</t>
        </is>
      </c>
      <c r="D3951" s="1" t="n">
        <v>45218</v>
      </c>
      <c r="E3951" s="1" t="n">
        <v>46312</v>
      </c>
      <c r="F3951" t="inlineStr">
        <is>
          <t>SKÅNE LÄN</t>
        </is>
      </c>
      <c r="G3951" t="inlineStr">
        <is>
          <t>HÄSSLEHOLM</t>
        </is>
      </c>
      <c r="I3951" t="n">
        <v>0.8</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52575-2023</t>
        </is>
      </c>
      <c r="B3952" t="inlineStr">
        <is>
          <t>avverkningsanmälan</t>
        </is>
      </c>
      <c r="C3952" t="inlineStr">
        <is>
          <t>Föryngringsavverkning</t>
        </is>
      </c>
      <c r="D3952" s="1" t="n">
        <v>45219</v>
      </c>
      <c r="E3952" s="1" t="n">
        <v>46312</v>
      </c>
      <c r="F3952" t="inlineStr">
        <is>
          <t>SKÅNE LÄN</t>
        </is>
      </c>
      <c r="G3952" t="inlineStr">
        <is>
          <t>PERSTORP</t>
        </is>
      </c>
      <c r="H3952" t="inlineStr">
        <is>
          <t>Övriga Aktiebolag</t>
        </is>
      </c>
      <c r="I3952" t="n">
        <v>10.2</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52583-2023</t>
        </is>
      </c>
      <c r="B3953" t="inlineStr">
        <is>
          <t>avverkningsanmälan</t>
        </is>
      </c>
      <c r="C3953" t="inlineStr">
        <is>
          <t>Föryngringsavverkning</t>
        </is>
      </c>
      <c r="D3953" s="1" t="n">
        <v>45219</v>
      </c>
      <c r="E3953" s="1" t="n">
        <v>46312</v>
      </c>
      <c r="F3953" t="inlineStr">
        <is>
          <t>SKÅNE LÄN</t>
        </is>
      </c>
      <c r="G3953" t="inlineStr">
        <is>
          <t>PERSTORP</t>
        </is>
      </c>
      <c r="H3953" t="inlineStr">
        <is>
          <t>Övriga Aktiebolag</t>
        </is>
      </c>
      <c r="I3953" t="n">
        <v>1.3</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27113-2022</t>
        </is>
      </c>
      <c r="B3954" t="inlineStr">
        <is>
          <t>avverkningsanmälan</t>
        </is>
      </c>
      <c r="C3954" t="inlineStr">
        <is>
          <t>Föryngringsavverkning</t>
        </is>
      </c>
      <c r="D3954" s="1" t="n">
        <v>44741</v>
      </c>
      <c r="E3954" s="1" t="n">
        <v>46312</v>
      </c>
      <c r="F3954" t="inlineStr">
        <is>
          <t>SKÅNE LÄN</t>
        </is>
      </c>
      <c r="G3954" t="inlineStr">
        <is>
          <t>SVEDALA</t>
        </is>
      </c>
      <c r="I3954" t="n">
        <v>8.9</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12503-2022</t>
        </is>
      </c>
      <c r="B3955" t="inlineStr">
        <is>
          <t>avverkningsanmälan</t>
        </is>
      </c>
      <c r="C3955" t="inlineStr">
        <is>
          <t>Föryngringsavverkning</t>
        </is>
      </c>
      <c r="D3955" s="1" t="n">
        <v>44638</v>
      </c>
      <c r="E3955" s="1" t="n">
        <v>46312</v>
      </c>
      <c r="F3955" t="inlineStr">
        <is>
          <t>SKÅNE LÄN</t>
        </is>
      </c>
      <c r="G3955" t="inlineStr">
        <is>
          <t>HÄSSLEHOLM</t>
        </is>
      </c>
      <c r="I3955" t="n">
        <v>1.3</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13787-2026</t>
        </is>
      </c>
      <c r="B3956" t="inlineStr">
        <is>
          <t>avverkningsanmälan</t>
        </is>
      </c>
      <c r="C3956" t="inlineStr">
        <is>
          <t>Föryngringsavverkning</t>
        </is>
      </c>
      <c r="D3956" s="1" t="n">
        <v>46097</v>
      </c>
      <c r="E3956" s="1" t="n">
        <v>46312</v>
      </c>
      <c r="F3956" t="inlineStr">
        <is>
          <t>SKÅNE LÄN</t>
        </is>
      </c>
      <c r="G3956" t="inlineStr">
        <is>
          <t>SVALÖV</t>
        </is>
      </c>
      <c r="I3956" t="n">
        <v>3.7</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20082-2026</t>
        </is>
      </c>
      <c r="B3957" t="inlineStr">
        <is>
          <t>avverkningsanmälan</t>
        </is>
      </c>
      <c r="C3957" t="inlineStr">
        <is>
          <t>Föryngringsavverkning</t>
        </is>
      </c>
      <c r="D3957" s="1" t="n">
        <v>46136</v>
      </c>
      <c r="E3957" s="1" t="n">
        <v>46312</v>
      </c>
      <c r="F3957" t="inlineStr">
        <is>
          <t>SKÅNE LÄN</t>
        </is>
      </c>
      <c r="G3957" t="inlineStr">
        <is>
          <t>KLIPPAN</t>
        </is>
      </c>
      <c r="H3957" t="inlineStr">
        <is>
          <t>Sveaskog</t>
        </is>
      </c>
      <c r="I3957" t="n">
        <v>5.6</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3542-2025</t>
        </is>
      </c>
      <c r="B3958" t="inlineStr">
        <is>
          <t>avverkningsanmälan</t>
        </is>
      </c>
      <c r="C3958" t="inlineStr">
        <is>
          <t>Föryngringsavverkning</t>
        </is>
      </c>
      <c r="D3958" s="1" t="n">
        <v>45680</v>
      </c>
      <c r="E3958" s="1" t="n">
        <v>46312</v>
      </c>
      <c r="F3958" t="inlineStr">
        <is>
          <t>SKÅNE LÄN</t>
        </is>
      </c>
      <c r="G3958" t="inlineStr">
        <is>
          <t>HÖRBY</t>
        </is>
      </c>
      <c r="H3958" t="inlineStr">
        <is>
          <t>Kyrkan</t>
        </is>
      </c>
      <c r="I3958" t="n">
        <v>1.4</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13228-2024</t>
        </is>
      </c>
      <c r="B3959" t="inlineStr">
        <is>
          <t>avverkningsanmälan</t>
        </is>
      </c>
      <c r="C3959" t="inlineStr">
        <is>
          <t>Föryngringsavverkning</t>
        </is>
      </c>
      <c r="D3959" s="1" t="n">
        <v>45386</v>
      </c>
      <c r="E3959" s="1" t="n">
        <v>46312</v>
      </c>
      <c r="F3959" t="inlineStr">
        <is>
          <t>SKÅNE LÄN</t>
        </is>
      </c>
      <c r="G3959" t="inlineStr">
        <is>
          <t>HÖRBY</t>
        </is>
      </c>
      <c r="I3959" t="n">
        <v>0.7</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17673-2023</t>
        </is>
      </c>
      <c r="B3960" t="inlineStr">
        <is>
          <t>avverkningsanmälan</t>
        </is>
      </c>
      <c r="C3960" t="inlineStr">
        <is>
          <t>Föryngringsavverkning</t>
        </is>
      </c>
      <c r="D3960" s="1" t="n">
        <v>45035</v>
      </c>
      <c r="E3960" s="1" t="n">
        <v>46312</v>
      </c>
      <c r="F3960" t="inlineStr">
        <is>
          <t>SKÅNE LÄN</t>
        </is>
      </c>
      <c r="G3960" t="inlineStr">
        <is>
          <t>OSBY</t>
        </is>
      </c>
      <c r="I3960" t="n">
        <v>3.8</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50370-2024</t>
        </is>
      </c>
      <c r="B3961" t="inlineStr">
        <is>
          <t>avverkningsanmälan</t>
        </is>
      </c>
      <c r="C3961" t="inlineStr">
        <is>
          <t>Föryngringsavverkning</t>
        </is>
      </c>
      <c r="D3961" s="1" t="n">
        <v>45601</v>
      </c>
      <c r="E3961" s="1" t="n">
        <v>46312</v>
      </c>
      <c r="F3961" t="inlineStr">
        <is>
          <t>SKÅNE LÄN</t>
        </is>
      </c>
      <c r="G3961" t="inlineStr">
        <is>
          <t>ÖSTRA GÖINGE</t>
        </is>
      </c>
      <c r="I3961" t="n">
        <v>1.1</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40278-2023</t>
        </is>
      </c>
      <c r="B3962" t="inlineStr">
        <is>
          <t>avverkningsanmälan</t>
        </is>
      </c>
      <c r="C3962" t="inlineStr">
        <is>
          <t>Föryngringsavverkning</t>
        </is>
      </c>
      <c r="D3962" s="1" t="n">
        <v>45169</v>
      </c>
      <c r="E3962" s="1" t="n">
        <v>46312</v>
      </c>
      <c r="F3962" t="inlineStr">
        <is>
          <t>SKÅNE LÄN</t>
        </is>
      </c>
      <c r="G3962" t="inlineStr">
        <is>
          <t>ÄNGELHOLM</t>
        </is>
      </c>
      <c r="I3962" t="n">
        <v>1.1</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26986-2026</t>
        </is>
      </c>
      <c r="B3963" t="inlineStr">
        <is>
          <t>avverkningsanmälan</t>
        </is>
      </c>
      <c r="C3963" t="inlineStr">
        <is>
          <t>Föryngringsavverkning</t>
        </is>
      </c>
      <c r="D3963" s="1" t="n">
        <v>46185</v>
      </c>
      <c r="E3963" s="1" t="n">
        <v>46312</v>
      </c>
      <c r="F3963" t="inlineStr">
        <is>
          <t>SKÅNE LÄN</t>
        </is>
      </c>
      <c r="G3963" t="inlineStr">
        <is>
          <t>ÄNGELHOLM</t>
        </is>
      </c>
      <c r="I3963" t="n">
        <v>3.5</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38073-2026</t>
        </is>
      </c>
      <c r="B3964" t="inlineStr">
        <is>
          <t>avverkningsanmälan</t>
        </is>
      </c>
      <c r="C3964" t="inlineStr">
        <is>
          <t>Föryngringsavverkning</t>
        </is>
      </c>
      <c r="D3964" s="1" t="n">
        <v>46280</v>
      </c>
      <c r="E3964" s="1" t="n">
        <v>46312</v>
      </c>
      <c r="F3964" t="inlineStr">
        <is>
          <t>SKÅNE LÄN</t>
        </is>
      </c>
      <c r="G3964" t="inlineStr">
        <is>
          <t>HÖRBY</t>
        </is>
      </c>
      <c r="I3964" t="n">
        <v>2.3</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25559-2026</t>
        </is>
      </c>
      <c r="B3965" t="inlineStr">
        <is>
          <t>avverkningsanmälan</t>
        </is>
      </c>
      <c r="C3965" t="inlineStr">
        <is>
          <t>Föryngringsavverkning</t>
        </is>
      </c>
      <c r="D3965" s="1" t="n">
        <v>46177</v>
      </c>
      <c r="E3965" s="1" t="n">
        <v>46312</v>
      </c>
      <c r="F3965" t="inlineStr">
        <is>
          <t>SKÅNE LÄN</t>
        </is>
      </c>
      <c r="G3965" t="inlineStr">
        <is>
          <t>HÖÖR</t>
        </is>
      </c>
      <c r="I3965" t="n">
        <v>3.9</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38132-2026</t>
        </is>
      </c>
      <c r="B3966" t="inlineStr">
        <is>
          <t>avverkningsanmälan</t>
        </is>
      </c>
      <c r="C3966" t="inlineStr">
        <is>
          <t>Föryngringsavverkning</t>
        </is>
      </c>
      <c r="D3966" s="1" t="n">
        <v>46281</v>
      </c>
      <c r="E3966" s="1" t="n">
        <v>46312</v>
      </c>
      <c r="F3966" t="inlineStr">
        <is>
          <t>SKÅNE LÄN</t>
        </is>
      </c>
      <c r="G3966" t="inlineStr">
        <is>
          <t>HÄSSLEHOLM</t>
        </is>
      </c>
      <c r="I3966" t="n">
        <v>2.8</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55292-2023</t>
        </is>
      </c>
      <c r="B3967" t="inlineStr">
        <is>
          <t>avverkningsanmälan</t>
        </is>
      </c>
      <c r="C3967" t="inlineStr">
        <is>
          <t>Föryngringsavverkning</t>
        </is>
      </c>
      <c r="D3967" s="1" t="n">
        <v>45237</v>
      </c>
      <c r="E3967" s="1" t="n">
        <v>46312</v>
      </c>
      <c r="F3967" t="inlineStr">
        <is>
          <t>SKÅNE LÄN</t>
        </is>
      </c>
      <c r="G3967" t="inlineStr">
        <is>
          <t>OSBY</t>
        </is>
      </c>
      <c r="I3967" t="n">
        <v>8.300000000000001</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9484-2023</t>
        </is>
      </c>
      <c r="B3968" t="inlineStr">
        <is>
          <t>avverkningsanmälan</t>
        </is>
      </c>
      <c r="C3968" t="inlineStr">
        <is>
          <t>Föryngringsavverkning</t>
        </is>
      </c>
      <c r="D3968" s="1" t="n">
        <v>44981</v>
      </c>
      <c r="E3968" s="1" t="n">
        <v>46312</v>
      </c>
      <c r="F3968" t="inlineStr">
        <is>
          <t>SKÅNE LÄN</t>
        </is>
      </c>
      <c r="G3968" t="inlineStr">
        <is>
          <t>ESLÖV</t>
        </is>
      </c>
      <c r="I3968" t="n">
        <v>1.4</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9485-2023</t>
        </is>
      </c>
      <c r="B3969" t="inlineStr">
        <is>
          <t>avverkningsanmälan</t>
        </is>
      </c>
      <c r="C3969" t="inlineStr">
        <is>
          <t>Föryngringsavverkning</t>
        </is>
      </c>
      <c r="D3969" s="1" t="n">
        <v>44981</v>
      </c>
      <c r="E3969" s="1" t="n">
        <v>46312</v>
      </c>
      <c r="F3969" t="inlineStr">
        <is>
          <t>SKÅNE LÄN</t>
        </is>
      </c>
      <c r="G3969" t="inlineStr">
        <is>
          <t>HÄSSLEHOLM</t>
        </is>
      </c>
      <c r="I3969" t="n">
        <v>0.7</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27967-2024</t>
        </is>
      </c>
      <c r="B3970" t="inlineStr">
        <is>
          <t>avverkningsanmälan</t>
        </is>
      </c>
      <c r="C3970" t="inlineStr">
        <is>
          <t>Föryngringsavverkning</t>
        </is>
      </c>
      <c r="D3970" s="1" t="n">
        <v>45476</v>
      </c>
      <c r="E3970" s="1" t="n">
        <v>46312</v>
      </c>
      <c r="F3970" t="inlineStr">
        <is>
          <t>SKÅNE LÄN</t>
        </is>
      </c>
      <c r="G3970" t="inlineStr">
        <is>
          <t>ÖRKELLJUNGA</t>
        </is>
      </c>
      <c r="I3970" t="n">
        <v>0.4</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27979-2024</t>
        </is>
      </c>
      <c r="B3971" t="inlineStr">
        <is>
          <t>avverkningsanmälan</t>
        </is>
      </c>
      <c r="C3971" t="inlineStr">
        <is>
          <t>Föryngringsavverkning</t>
        </is>
      </c>
      <c r="D3971" s="1" t="n">
        <v>45476</v>
      </c>
      <c r="E3971" s="1" t="n">
        <v>46312</v>
      </c>
      <c r="F3971" t="inlineStr">
        <is>
          <t>SKÅNE LÄN</t>
        </is>
      </c>
      <c r="G3971" t="inlineStr">
        <is>
          <t>KRISTIANSTAD</t>
        </is>
      </c>
      <c r="I3971" t="n">
        <v>0.5</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54777-2022</t>
        </is>
      </c>
      <c r="B3972" t="inlineStr">
        <is>
          <t>avverkningsanmälan</t>
        </is>
      </c>
      <c r="C3972" t="inlineStr">
        <is>
          <t>Föryngringsavverkning</t>
        </is>
      </c>
      <c r="D3972" s="1" t="n">
        <v>44883</v>
      </c>
      <c r="E3972" s="1" t="n">
        <v>46312</v>
      </c>
      <c r="F3972" t="inlineStr">
        <is>
          <t>SKÅNE LÄN</t>
        </is>
      </c>
      <c r="G3972" t="inlineStr">
        <is>
          <t>HÄSSLEHOLM</t>
        </is>
      </c>
      <c r="I3972" t="n">
        <v>1.7</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15998-2024</t>
        </is>
      </c>
      <c r="B3973" t="inlineStr">
        <is>
          <t>avverkningsanmälan</t>
        </is>
      </c>
      <c r="C3973" t="inlineStr">
        <is>
          <t>Föryngringsavverkning</t>
        </is>
      </c>
      <c r="D3973" s="1" t="n">
        <v>45405</v>
      </c>
      <c r="E3973" s="1" t="n">
        <v>46312</v>
      </c>
      <c r="F3973" t="inlineStr">
        <is>
          <t>SKÅNE LÄN</t>
        </is>
      </c>
      <c r="G3973" t="inlineStr">
        <is>
          <t>HÖRBY</t>
        </is>
      </c>
      <c r="I3973" t="n">
        <v>0.4</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16001-2024</t>
        </is>
      </c>
      <c r="B3974" t="inlineStr">
        <is>
          <t>avverkningsanmälan</t>
        </is>
      </c>
      <c r="C3974" t="inlineStr">
        <is>
          <t>Föryngringsavverkning</t>
        </is>
      </c>
      <c r="D3974" s="1" t="n">
        <v>45405</v>
      </c>
      <c r="E3974" s="1" t="n">
        <v>46312</v>
      </c>
      <c r="F3974" t="inlineStr">
        <is>
          <t>SKÅNE LÄN</t>
        </is>
      </c>
      <c r="G3974" t="inlineStr">
        <is>
          <t>HÖRBY</t>
        </is>
      </c>
      <c r="I3974" t="n">
        <v>0.2</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13555-2025</t>
        </is>
      </c>
      <c r="B3975" t="inlineStr">
        <is>
          <t>avverkningsanmälan</t>
        </is>
      </c>
      <c r="C3975" t="inlineStr">
        <is>
          <t>Föryngringsavverkning</t>
        </is>
      </c>
      <c r="D3975" s="1" t="n">
        <v>45736</v>
      </c>
      <c r="E3975" s="1" t="n">
        <v>46312</v>
      </c>
      <c r="F3975" t="inlineStr">
        <is>
          <t>SKÅNE LÄN</t>
        </is>
      </c>
      <c r="G3975" t="inlineStr">
        <is>
          <t>HÄSSLEHOLM</t>
        </is>
      </c>
      <c r="I3975" t="n">
        <v>1.1</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31114-2024</t>
        </is>
      </c>
      <c r="B3976" t="inlineStr">
        <is>
          <t>avverkningsanmälan</t>
        </is>
      </c>
      <c r="C3976" t="inlineStr">
        <is>
          <t>Föryngringsavverkning</t>
        </is>
      </c>
      <c r="D3976" s="1" t="n">
        <v>45502</v>
      </c>
      <c r="E3976" s="1" t="n">
        <v>46312</v>
      </c>
      <c r="F3976" t="inlineStr">
        <is>
          <t>SKÅNE LÄN</t>
        </is>
      </c>
      <c r="G3976" t="inlineStr">
        <is>
          <t>HÖRBY</t>
        </is>
      </c>
      <c r="I3976" t="n">
        <v>0.6</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13804-2024</t>
        </is>
      </c>
      <c r="B3977" t="inlineStr">
        <is>
          <t>avverkningsanmälan</t>
        </is>
      </c>
      <c r="C3977" t="inlineStr">
        <is>
          <t>Föryngringsavverkning</t>
        </is>
      </c>
      <c r="D3977" s="1" t="n">
        <v>45391</v>
      </c>
      <c r="E3977" s="1" t="n">
        <v>46312</v>
      </c>
      <c r="F3977" t="inlineStr">
        <is>
          <t>SKÅNE LÄN</t>
        </is>
      </c>
      <c r="G3977" t="inlineStr">
        <is>
          <t>HÖRBY</t>
        </is>
      </c>
      <c r="I3977" t="n">
        <v>0.5</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26837-2022</t>
        </is>
      </c>
      <c r="B3978" t="inlineStr">
        <is>
          <t>avverkningsanmälan</t>
        </is>
      </c>
      <c r="C3978" t="inlineStr">
        <is>
          <t>Föryngringsavverkning</t>
        </is>
      </c>
      <c r="D3978" s="1" t="n">
        <v>44740</v>
      </c>
      <c r="E3978" s="1" t="n">
        <v>46312</v>
      </c>
      <c r="F3978" t="inlineStr">
        <is>
          <t>SKÅNE LÄN</t>
        </is>
      </c>
      <c r="G3978" t="inlineStr">
        <is>
          <t>ÖRKELLJUNGA</t>
        </is>
      </c>
      <c r="I3978" t="n">
        <v>1.7</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32346-2026</t>
        </is>
      </c>
      <c r="B3979" t="inlineStr">
        <is>
          <t>avverkningsanmälan</t>
        </is>
      </c>
      <c r="C3979" t="inlineStr">
        <is>
          <t>Föryngringsavverkning</t>
        </is>
      </c>
      <c r="D3979" s="1" t="n">
        <v>46238</v>
      </c>
      <c r="E3979" s="1" t="n">
        <v>46312</v>
      </c>
      <c r="F3979" t="inlineStr">
        <is>
          <t>SKÅNE LÄN</t>
        </is>
      </c>
      <c r="G3979" t="inlineStr">
        <is>
          <t>HÄSSLEHOLM</t>
        </is>
      </c>
      <c r="I3979" t="n">
        <v>4.8</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46253-2024</t>
        </is>
      </c>
      <c r="B3980" t="inlineStr">
        <is>
          <t>avverkningsanmälan</t>
        </is>
      </c>
      <c r="C3980" t="inlineStr">
        <is>
          <t>Föryngringsavverkning</t>
        </is>
      </c>
      <c r="D3980" s="1" t="n">
        <v>45581</v>
      </c>
      <c r="E3980" s="1" t="n">
        <v>46312</v>
      </c>
      <c r="F3980" t="inlineStr">
        <is>
          <t>SKÅNE LÄN</t>
        </is>
      </c>
      <c r="G3980" t="inlineStr">
        <is>
          <t>KLIPPAN</t>
        </is>
      </c>
      <c r="H3980" t="inlineStr">
        <is>
          <t>Sveaskog</t>
        </is>
      </c>
      <c r="I3980" t="n">
        <v>9.300000000000001</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38074-2026</t>
        </is>
      </c>
      <c r="B3981" t="inlineStr">
        <is>
          <t>avverkningsanmälan</t>
        </is>
      </c>
      <c r="C3981" t="inlineStr">
        <is>
          <t>Föryngringsavverkning</t>
        </is>
      </c>
      <c r="D3981" s="1" t="n">
        <v>46280</v>
      </c>
      <c r="E3981" s="1" t="n">
        <v>46312</v>
      </c>
      <c r="F3981" t="inlineStr">
        <is>
          <t>SKÅNE LÄN</t>
        </is>
      </c>
      <c r="G3981" t="inlineStr">
        <is>
          <t>TOMELILLA</t>
        </is>
      </c>
      <c r="I3981" t="n">
        <v>4.6</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49297-2023</t>
        </is>
      </c>
      <c r="B3982" t="inlineStr">
        <is>
          <t>avverkningsanmälan</t>
        </is>
      </c>
      <c r="C3982" t="inlineStr">
        <is>
          <t>Föryngringsavverkning</t>
        </is>
      </c>
      <c r="D3982" s="1" t="n">
        <v>45210</v>
      </c>
      <c r="E3982" s="1" t="n">
        <v>46312</v>
      </c>
      <c r="F3982" t="inlineStr">
        <is>
          <t>SKÅNE LÄN</t>
        </is>
      </c>
      <c r="G3982" t="inlineStr">
        <is>
          <t>LUND</t>
        </is>
      </c>
      <c r="I3982" t="n">
        <v>1</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49298-2023</t>
        </is>
      </c>
      <c r="B3983" t="inlineStr">
        <is>
          <t>avverkningsanmälan</t>
        </is>
      </c>
      <c r="C3983" t="inlineStr">
        <is>
          <t>Föryngringsavverkning</t>
        </is>
      </c>
      <c r="D3983" s="1" t="n">
        <v>45210</v>
      </c>
      <c r="E3983" s="1" t="n">
        <v>46312</v>
      </c>
      <c r="F3983" t="inlineStr">
        <is>
          <t>SKÅNE LÄN</t>
        </is>
      </c>
      <c r="G3983" t="inlineStr">
        <is>
          <t>SJÖBO</t>
        </is>
      </c>
      <c r="I3983" t="n">
        <v>0.1</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44940-2023</t>
        </is>
      </c>
      <c r="B3984" t="inlineStr">
        <is>
          <t>avverkningsanmälan</t>
        </is>
      </c>
      <c r="C3984" t="inlineStr">
        <is>
          <t>Föryngringsavverkning</t>
        </is>
      </c>
      <c r="D3984" s="1" t="n">
        <v>45190</v>
      </c>
      <c r="E3984" s="1" t="n">
        <v>46312</v>
      </c>
      <c r="F3984" t="inlineStr">
        <is>
          <t>SKÅNE LÄN</t>
        </is>
      </c>
      <c r="G3984" t="inlineStr">
        <is>
          <t>HÄSSLEHOLM</t>
        </is>
      </c>
      <c r="I3984" t="n">
        <v>1.5</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38234-2026</t>
        </is>
      </c>
      <c r="B3985" t="inlineStr">
        <is>
          <t>avverkningsanmälan</t>
        </is>
      </c>
      <c r="C3985" t="inlineStr">
        <is>
          <t>Föryngringsavverkning</t>
        </is>
      </c>
      <c r="D3985" s="1" t="n">
        <v>46281</v>
      </c>
      <c r="E3985" s="1" t="n">
        <v>46312</v>
      </c>
      <c r="F3985" t="inlineStr">
        <is>
          <t>SKÅNE LÄN</t>
        </is>
      </c>
      <c r="G3985" t="inlineStr">
        <is>
          <t>KLIPPAN</t>
        </is>
      </c>
      <c r="I3985" t="n">
        <v>0.2</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38003-2026</t>
        </is>
      </c>
      <c r="B3986" t="inlineStr">
        <is>
          <t>avverkningsanmälan</t>
        </is>
      </c>
      <c r="C3986" t="inlineStr">
        <is>
          <t>Föryngringsavverkning</t>
        </is>
      </c>
      <c r="D3986" s="1" t="n">
        <v>46280</v>
      </c>
      <c r="E3986" s="1" t="n">
        <v>46312</v>
      </c>
      <c r="F3986" t="inlineStr">
        <is>
          <t>SKÅNE LÄN</t>
        </is>
      </c>
      <c r="G3986" t="inlineStr">
        <is>
          <t>HÖÖR</t>
        </is>
      </c>
      <c r="I3986" t="n">
        <v>3.6</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38010-2026</t>
        </is>
      </c>
      <c r="B3987" t="inlineStr">
        <is>
          <t>avverkningsanmälan</t>
        </is>
      </c>
      <c r="C3987" t="inlineStr">
        <is>
          <t>Föryngringsavverkning</t>
        </is>
      </c>
      <c r="D3987" s="1" t="n">
        <v>46280</v>
      </c>
      <c r="E3987" s="1" t="n">
        <v>46312</v>
      </c>
      <c r="F3987" t="inlineStr">
        <is>
          <t>SKÅNE LÄN</t>
        </is>
      </c>
      <c r="G3987" t="inlineStr">
        <is>
          <t>SKURUP</t>
        </is>
      </c>
      <c r="I3987" t="n">
        <v>9</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52857-2022</t>
        </is>
      </c>
      <c r="B3988" t="inlineStr">
        <is>
          <t>avverkningsanmälan</t>
        </is>
      </c>
      <c r="C3988" t="inlineStr">
        <is>
          <t>Avverkning för annat ändamål</t>
        </is>
      </c>
      <c r="D3988" s="1" t="n">
        <v>44872</v>
      </c>
      <c r="E3988" s="1" t="n">
        <v>46312</v>
      </c>
      <c r="F3988" t="inlineStr">
        <is>
          <t>SKÅNE LÄN</t>
        </is>
      </c>
      <c r="G3988" t="inlineStr">
        <is>
          <t>OSBY</t>
        </is>
      </c>
      <c r="H3988" t="inlineStr">
        <is>
          <t>Sveaskog</t>
        </is>
      </c>
      <c r="I3988" t="n">
        <v>0.8</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39530-2023</t>
        </is>
      </c>
      <c r="B3989" t="inlineStr">
        <is>
          <t>avverkningsanmälan</t>
        </is>
      </c>
      <c r="C3989" t="inlineStr">
        <is>
          <t>Föryngringsavverkning</t>
        </is>
      </c>
      <c r="D3989" s="1" t="n">
        <v>45167</v>
      </c>
      <c r="E3989" s="1" t="n">
        <v>46312</v>
      </c>
      <c r="F3989" t="inlineStr">
        <is>
          <t>SKÅNE LÄN</t>
        </is>
      </c>
      <c r="G3989" t="inlineStr">
        <is>
          <t>KLIPPAN</t>
        </is>
      </c>
      <c r="I3989" t="n">
        <v>2.9</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25967-2023</t>
        </is>
      </c>
      <c r="B3990" t="inlineStr">
        <is>
          <t>avverkningsanmälan</t>
        </is>
      </c>
      <c r="C3990" t="inlineStr">
        <is>
          <t>Föryngringsavverkning</t>
        </is>
      </c>
      <c r="D3990" s="1" t="n">
        <v>45090</v>
      </c>
      <c r="E3990" s="1" t="n">
        <v>46312</v>
      </c>
      <c r="F3990" t="inlineStr">
        <is>
          <t>SKÅNE LÄN</t>
        </is>
      </c>
      <c r="G3990" t="inlineStr">
        <is>
          <t>ÖRKELLJUNGA</t>
        </is>
      </c>
      <c r="I3990" t="n">
        <v>4.9</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34348-2024</t>
        </is>
      </c>
      <c r="B3991" t="inlineStr">
        <is>
          <t>avverkningsanmälan</t>
        </is>
      </c>
      <c r="C3991" t="inlineStr">
        <is>
          <t>Föryngringsavverkning</t>
        </is>
      </c>
      <c r="D3991" s="1" t="n">
        <v>45525</v>
      </c>
      <c r="E3991" s="1" t="n">
        <v>46312</v>
      </c>
      <c r="F3991" t="inlineStr">
        <is>
          <t>SKÅNE LÄN</t>
        </is>
      </c>
      <c r="G3991" t="inlineStr">
        <is>
          <t>KRISTIANSTAD</t>
        </is>
      </c>
      <c r="I3991" t="n">
        <v>6</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26978-2026</t>
        </is>
      </c>
      <c r="B3992" t="inlineStr">
        <is>
          <t>avverkningsanmälan</t>
        </is>
      </c>
      <c r="C3992" t="inlineStr">
        <is>
          <t>Föryngringsavverkning</t>
        </is>
      </c>
      <c r="D3992" s="1" t="n">
        <v>46185</v>
      </c>
      <c r="E3992" s="1" t="n">
        <v>46312</v>
      </c>
      <c r="F3992" t="inlineStr">
        <is>
          <t>SKÅNE LÄN</t>
        </is>
      </c>
      <c r="G3992" t="inlineStr">
        <is>
          <t>ÄNGELHOLM</t>
        </is>
      </c>
      <c r="I3992" t="n">
        <v>7.7</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9899-2025</t>
        </is>
      </c>
      <c r="B3993" t="inlineStr">
        <is>
          <t>avverkningsanmälan</t>
        </is>
      </c>
      <c r="C3993" t="inlineStr">
        <is>
          <t>Föryngringsavverkning</t>
        </is>
      </c>
      <c r="D3993" s="1" t="n">
        <v>45716</v>
      </c>
      <c r="E3993" s="1" t="n">
        <v>46312</v>
      </c>
      <c r="F3993" t="inlineStr">
        <is>
          <t>SKÅNE LÄN</t>
        </is>
      </c>
      <c r="G3993" t="inlineStr">
        <is>
          <t>KRISTIANSTAD</t>
        </is>
      </c>
      <c r="I3993" t="n">
        <v>1</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22636-2023</t>
        </is>
      </c>
      <c r="B3994" t="inlineStr">
        <is>
          <t>avverkningsanmälan</t>
        </is>
      </c>
      <c r="C3994" t="inlineStr">
        <is>
          <t>Föryngringsavverkning</t>
        </is>
      </c>
      <c r="D3994" s="1" t="n">
        <v>45071</v>
      </c>
      <c r="E3994" s="1" t="n">
        <v>46312</v>
      </c>
      <c r="F3994" t="inlineStr">
        <is>
          <t>SKÅNE LÄN</t>
        </is>
      </c>
      <c r="G3994" t="inlineStr">
        <is>
          <t>OSBY</t>
        </is>
      </c>
      <c r="I3994" t="n">
        <v>5.5</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22696-2023</t>
        </is>
      </c>
      <c r="B3995" t="inlineStr">
        <is>
          <t>avverkningsanmälan</t>
        </is>
      </c>
      <c r="C3995" t="inlineStr">
        <is>
          <t>Föryngringsavverkning</t>
        </is>
      </c>
      <c r="D3995" s="1" t="n">
        <v>45071</v>
      </c>
      <c r="E3995" s="1" t="n">
        <v>46312</v>
      </c>
      <c r="F3995" t="inlineStr">
        <is>
          <t>SKÅNE LÄN</t>
        </is>
      </c>
      <c r="G3995" t="inlineStr">
        <is>
          <t>HÄSSLEHOLM</t>
        </is>
      </c>
      <c r="I3995" t="n">
        <v>0.8</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52337-2023</t>
        </is>
      </c>
      <c r="B3996" t="inlineStr">
        <is>
          <t>avverkningsanmälan</t>
        </is>
      </c>
      <c r="C3996" t="inlineStr">
        <is>
          <t>Föryngringsavverkning</t>
        </is>
      </c>
      <c r="D3996" s="1" t="n">
        <v>45224</v>
      </c>
      <c r="E3996" s="1" t="n">
        <v>46312</v>
      </c>
      <c r="F3996" t="inlineStr">
        <is>
          <t>SKÅNE LÄN</t>
        </is>
      </c>
      <c r="G3996" t="inlineStr">
        <is>
          <t>HÄSSLEHOLM</t>
        </is>
      </c>
      <c r="I3996" t="n">
        <v>0.6</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22976-2023</t>
        </is>
      </c>
      <c r="B3997" t="inlineStr">
        <is>
          <t>avverkningsanmälan</t>
        </is>
      </c>
      <c r="C3997" t="inlineStr">
        <is>
          <t>Föryngringsavverkning</t>
        </is>
      </c>
      <c r="D3997" s="1" t="n">
        <v>45072</v>
      </c>
      <c r="E3997" s="1" t="n">
        <v>46312</v>
      </c>
      <c r="F3997" t="inlineStr">
        <is>
          <t>SKÅNE LÄN</t>
        </is>
      </c>
      <c r="G3997" t="inlineStr">
        <is>
          <t>KLIPPAN</t>
        </is>
      </c>
      <c r="I3997" t="n">
        <v>3</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23955-2023</t>
        </is>
      </c>
      <c r="B3998" t="inlineStr">
        <is>
          <t>avverkningsanmälan</t>
        </is>
      </c>
      <c r="C3998" t="inlineStr">
        <is>
          <t>Föryngringsavverkning</t>
        </is>
      </c>
      <c r="D3998" s="1" t="n">
        <v>45078</v>
      </c>
      <c r="E3998" s="1" t="n">
        <v>46312</v>
      </c>
      <c r="F3998" t="inlineStr">
        <is>
          <t>SKÅNE LÄN</t>
        </is>
      </c>
      <c r="G3998" t="inlineStr">
        <is>
          <t>HÄSSLEHOLM</t>
        </is>
      </c>
      <c r="I3998" t="n">
        <v>1.4</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28288-2023</t>
        </is>
      </c>
      <c r="B3999" t="inlineStr">
        <is>
          <t>avverkningsanmälan</t>
        </is>
      </c>
      <c r="C3999" t="inlineStr">
        <is>
          <t>Föryngringsavverkning</t>
        </is>
      </c>
      <c r="D3999" s="1" t="n">
        <v>45099</v>
      </c>
      <c r="E3999" s="1" t="n">
        <v>46312</v>
      </c>
      <c r="F3999" t="inlineStr">
        <is>
          <t>SKÅNE LÄN</t>
        </is>
      </c>
      <c r="G3999" t="inlineStr">
        <is>
          <t>HELSINGBORG</t>
        </is>
      </c>
      <c r="I3999" t="n">
        <v>0.5</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18752-2023</t>
        </is>
      </c>
      <c r="B4000" t="inlineStr">
        <is>
          <t>avverkningsanmälan</t>
        </is>
      </c>
      <c r="C4000" t="inlineStr">
        <is>
          <t>Föryngringsavverkning</t>
        </is>
      </c>
      <c r="D4000" s="1" t="n">
        <v>45043</v>
      </c>
      <c r="E4000" s="1" t="n">
        <v>46312</v>
      </c>
      <c r="F4000" t="inlineStr">
        <is>
          <t>SKÅNE LÄN</t>
        </is>
      </c>
      <c r="G4000" t="inlineStr">
        <is>
          <t>KRISTIANSTAD</t>
        </is>
      </c>
      <c r="I4000" t="n">
        <v>0.7</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10897-2023</t>
        </is>
      </c>
      <c r="B4001" t="inlineStr">
        <is>
          <t>avverkningsanmälan</t>
        </is>
      </c>
      <c r="C4001" t="inlineStr">
        <is>
          <t>Avverkning för annat ändamål</t>
        </is>
      </c>
      <c r="D4001" s="1" t="n">
        <v>44985</v>
      </c>
      <c r="E4001" s="1" t="n">
        <v>46312</v>
      </c>
      <c r="F4001" t="inlineStr">
        <is>
          <t>SKÅNE LÄN</t>
        </is>
      </c>
      <c r="G4001" t="inlineStr">
        <is>
          <t>HÄSSLEHOLM</t>
        </is>
      </c>
      <c r="I4001" t="n">
        <v>0.7</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50571-2023</t>
        </is>
      </c>
      <c r="B4002" t="inlineStr">
        <is>
          <t>avverkningsanmälan</t>
        </is>
      </c>
      <c r="C4002" t="inlineStr">
        <is>
          <t>Föryngringsavverkning</t>
        </is>
      </c>
      <c r="D4002" s="1" t="n">
        <v>45217</v>
      </c>
      <c r="E4002" s="1" t="n">
        <v>46312</v>
      </c>
      <c r="F4002" t="inlineStr">
        <is>
          <t>SKÅNE LÄN</t>
        </is>
      </c>
      <c r="G4002" t="inlineStr">
        <is>
          <t>HÄSSLEHOLM</t>
        </is>
      </c>
      <c r="I4002" t="n">
        <v>0.5</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50611-2023</t>
        </is>
      </c>
      <c r="B4003" t="inlineStr">
        <is>
          <t>avverkningsanmälan</t>
        </is>
      </c>
      <c r="C4003" t="inlineStr">
        <is>
          <t>Föryngringsavverkning</t>
        </is>
      </c>
      <c r="D4003" s="1" t="n">
        <v>45217</v>
      </c>
      <c r="E4003" s="1" t="n">
        <v>46312</v>
      </c>
      <c r="F4003" t="inlineStr">
        <is>
          <t>SKÅNE LÄN</t>
        </is>
      </c>
      <c r="G4003" t="inlineStr">
        <is>
          <t>OSBY</t>
        </is>
      </c>
      <c r="I4003" t="n">
        <v>4.3</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16199-2024</t>
        </is>
      </c>
      <c r="B4004" t="inlineStr">
        <is>
          <t>avverkningsanmälan</t>
        </is>
      </c>
      <c r="C4004" t="inlineStr">
        <is>
          <t>Föryngringsavverkning</t>
        </is>
      </c>
      <c r="D4004" s="1" t="n">
        <v>45406</v>
      </c>
      <c r="E4004" s="1" t="n">
        <v>46312</v>
      </c>
      <c r="F4004" t="inlineStr">
        <is>
          <t>SKÅNE LÄN</t>
        </is>
      </c>
      <c r="G4004" t="inlineStr">
        <is>
          <t>SVEDALA</t>
        </is>
      </c>
      <c r="I4004" t="n">
        <v>13.5</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18908-2023</t>
        </is>
      </c>
      <c r="B4005" t="inlineStr">
        <is>
          <t>avverkningsanmälan</t>
        </is>
      </c>
      <c r="C4005" t="inlineStr">
        <is>
          <t>Föryngringsavverkning</t>
        </is>
      </c>
      <c r="D4005" s="1" t="n">
        <v>45044</v>
      </c>
      <c r="E4005" s="1" t="n">
        <v>46312</v>
      </c>
      <c r="F4005" t="inlineStr">
        <is>
          <t>SKÅNE LÄN</t>
        </is>
      </c>
      <c r="G4005" t="inlineStr">
        <is>
          <t>HÄSSLEHOLM</t>
        </is>
      </c>
      <c r="I4005" t="n">
        <v>0.9</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38392-2026</t>
        </is>
      </c>
      <c r="B4006" t="inlineStr">
        <is>
          <t>avverkningsanmälan</t>
        </is>
      </c>
      <c r="C4006" t="inlineStr">
        <is>
          <t>Föryngringsavverkning</t>
        </is>
      </c>
      <c r="D4006" s="1" t="n">
        <v>46282</v>
      </c>
      <c r="E4006" s="1" t="n">
        <v>46312</v>
      </c>
      <c r="F4006" t="inlineStr">
        <is>
          <t>SKÅNE LÄN</t>
        </is>
      </c>
      <c r="G4006" t="inlineStr">
        <is>
          <t>HÖÖR</t>
        </is>
      </c>
      <c r="I4006" t="n">
        <v>0.5</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10028-2024</t>
        </is>
      </c>
      <c r="B4007" t="inlineStr">
        <is>
          <t>avverkningsanmälan</t>
        </is>
      </c>
      <c r="C4007" t="inlineStr">
        <is>
          <t>Föryngringsavverkning</t>
        </is>
      </c>
      <c r="D4007" s="1" t="n">
        <v>45363</v>
      </c>
      <c r="E4007" s="1" t="n">
        <v>46312</v>
      </c>
      <c r="F4007" t="inlineStr">
        <is>
          <t>SKÅNE LÄN</t>
        </is>
      </c>
      <c r="G4007" t="inlineStr">
        <is>
          <t>HÄSSLEHOLM</t>
        </is>
      </c>
      <c r="I4007" t="n">
        <v>1.8</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13084-2025</t>
        </is>
      </c>
      <c r="B4008" t="inlineStr">
        <is>
          <t>avverkningsanmälan</t>
        </is>
      </c>
      <c r="C4008" t="inlineStr">
        <is>
          <t>Föryngringsavverkning</t>
        </is>
      </c>
      <c r="D4008" s="1" t="n">
        <v>45734</v>
      </c>
      <c r="E4008" s="1" t="n">
        <v>46312</v>
      </c>
      <c r="F4008" t="inlineStr">
        <is>
          <t>SKÅNE LÄN</t>
        </is>
      </c>
      <c r="G4008" t="inlineStr">
        <is>
          <t>HÄSSLEHOLM</t>
        </is>
      </c>
      <c r="I4008" t="n">
        <v>2.3</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29334-2022</t>
        </is>
      </c>
      <c r="B4009" t="inlineStr">
        <is>
          <t>avverkningsanmälan</t>
        </is>
      </c>
      <c r="C4009" t="inlineStr">
        <is>
          <t>Föryngringsavverkning</t>
        </is>
      </c>
      <c r="D4009" s="1" t="n">
        <v>44752</v>
      </c>
      <c r="E4009" s="1" t="n">
        <v>46312</v>
      </c>
      <c r="F4009" t="inlineStr">
        <is>
          <t>SKÅNE LÄN</t>
        </is>
      </c>
      <c r="G4009" t="inlineStr">
        <is>
          <t>ÖRKELLJUNGA</t>
        </is>
      </c>
      <c r="H4009" t="inlineStr">
        <is>
          <t>Kommuner</t>
        </is>
      </c>
      <c r="I4009" t="n">
        <v>2.8</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58337-2021</t>
        </is>
      </c>
      <c r="B4010" t="inlineStr">
        <is>
          <t>avverkningsanmälan</t>
        </is>
      </c>
      <c r="C4010" t="inlineStr">
        <is>
          <t>Föryngringsavverkning</t>
        </is>
      </c>
      <c r="D4010" s="1" t="n">
        <v>44487</v>
      </c>
      <c r="E4010" s="1" t="n">
        <v>46312</v>
      </c>
      <c r="F4010" t="inlineStr">
        <is>
          <t>SKÅNE LÄN</t>
        </is>
      </c>
      <c r="G4010" t="inlineStr">
        <is>
          <t>OSBY</t>
        </is>
      </c>
      <c r="I4010" t="n">
        <v>1.2</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59949-2021</t>
        </is>
      </c>
      <c r="B4011" t="inlineStr">
        <is>
          <t>avverkningsanmälan</t>
        </is>
      </c>
      <c r="C4011" t="inlineStr">
        <is>
          <t>Föryngringsavverkning</t>
        </is>
      </c>
      <c r="D4011" s="1" t="n">
        <v>44494</v>
      </c>
      <c r="E4011" s="1" t="n">
        <v>46312</v>
      </c>
      <c r="F4011" t="inlineStr">
        <is>
          <t>SKÅNE LÄN</t>
        </is>
      </c>
      <c r="G4011" t="inlineStr">
        <is>
          <t>BROMÖLLA</t>
        </is>
      </c>
      <c r="I4011" t="n">
        <v>2.9</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5817-2025</t>
        </is>
      </c>
      <c r="B4012" t="inlineStr">
        <is>
          <t>avverkningsanmälan</t>
        </is>
      </c>
      <c r="C4012" t="inlineStr">
        <is>
          <t>Avverkning för att bevara och utveckla /försöksver</t>
        </is>
      </c>
      <c r="D4012" s="1" t="n">
        <v>45694</v>
      </c>
      <c r="E4012" s="1" t="n">
        <v>46312</v>
      </c>
      <c r="F4012" t="inlineStr">
        <is>
          <t>SKÅNE LÄN</t>
        </is>
      </c>
      <c r="G4012" t="inlineStr">
        <is>
          <t>BÅSTAD</t>
        </is>
      </c>
      <c r="I4012" t="n">
        <v>1.2</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5941-2025</t>
        </is>
      </c>
      <c r="B4013" t="inlineStr">
        <is>
          <t>avverkningsanmälan</t>
        </is>
      </c>
      <c r="C4013" t="inlineStr">
        <is>
          <t>Föryngringsavverkning</t>
        </is>
      </c>
      <c r="D4013" s="1" t="n">
        <v>45695</v>
      </c>
      <c r="E4013" s="1" t="n">
        <v>46312</v>
      </c>
      <c r="F4013" t="inlineStr">
        <is>
          <t>SKÅNE LÄN</t>
        </is>
      </c>
      <c r="G4013" t="inlineStr">
        <is>
          <t>ÖRKELLJUNGA</t>
        </is>
      </c>
      <c r="I4013" t="n">
        <v>0.6</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23978-2022</t>
        </is>
      </c>
      <c r="B4014" t="inlineStr">
        <is>
          <t>avverkningsanmälan</t>
        </is>
      </c>
      <c r="C4014" t="inlineStr">
        <is>
          <t>Föryngringsavverkning</t>
        </is>
      </c>
      <c r="D4014" s="1" t="n">
        <v>44722</v>
      </c>
      <c r="E4014" s="1" t="n">
        <v>46312</v>
      </c>
      <c r="F4014" t="inlineStr">
        <is>
          <t>SKÅNE LÄN</t>
        </is>
      </c>
      <c r="G4014" t="inlineStr">
        <is>
          <t>KLIPPAN</t>
        </is>
      </c>
      <c r="I4014" t="n">
        <v>9.699999999999999</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46523-2023</t>
        </is>
      </c>
      <c r="B4015" t="inlineStr">
        <is>
          <t>avverkningsanmälan</t>
        </is>
      </c>
      <c r="C4015" t="inlineStr">
        <is>
          <t>Föryngringsavverkning</t>
        </is>
      </c>
      <c r="D4015" s="1" t="n">
        <v>45197</v>
      </c>
      <c r="E4015" s="1" t="n">
        <v>46312</v>
      </c>
      <c r="F4015" t="inlineStr">
        <is>
          <t>SKÅNE LÄN</t>
        </is>
      </c>
      <c r="G4015" t="inlineStr">
        <is>
          <t>KRISTIANSTAD</t>
        </is>
      </c>
      <c r="I4015" t="n">
        <v>2</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32982-2026</t>
        </is>
      </c>
      <c r="B4016" t="inlineStr">
        <is>
          <t>avverkningsanmälan</t>
        </is>
      </c>
      <c r="C4016" t="inlineStr">
        <is>
          <t>Föryngringsavverkning</t>
        </is>
      </c>
      <c r="D4016" s="1" t="n">
        <v>46241</v>
      </c>
      <c r="E4016" s="1" t="n">
        <v>46312</v>
      </c>
      <c r="F4016" t="inlineStr">
        <is>
          <t>SKÅNE LÄN</t>
        </is>
      </c>
      <c r="G4016" t="inlineStr">
        <is>
          <t>ÖSTRA GÖINGE</t>
        </is>
      </c>
      <c r="I4016" t="n">
        <v>1</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3451-2023</t>
        </is>
      </c>
      <c r="B4017" t="inlineStr">
        <is>
          <t>avverkningsanmälan</t>
        </is>
      </c>
      <c r="C4017" t="inlineStr">
        <is>
          <t>Föryngringsavverkning</t>
        </is>
      </c>
      <c r="D4017" s="1" t="n">
        <v>44949</v>
      </c>
      <c r="E4017" s="1" t="n">
        <v>46312</v>
      </c>
      <c r="F4017" t="inlineStr">
        <is>
          <t>SKÅNE LÄN</t>
        </is>
      </c>
      <c r="G4017" t="inlineStr">
        <is>
          <t>OSBY</t>
        </is>
      </c>
      <c r="I4017" t="n">
        <v>2.2</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28223-2026</t>
        </is>
      </c>
      <c r="B4018" t="inlineStr">
        <is>
          <t>avverkningsanmälan</t>
        </is>
      </c>
      <c r="C4018" t="inlineStr">
        <is>
          <t>Föryngringsavverkning</t>
        </is>
      </c>
      <c r="D4018" s="1" t="n">
        <v>46196</v>
      </c>
      <c r="E4018" s="1" t="n">
        <v>46312</v>
      </c>
      <c r="F4018" t="inlineStr">
        <is>
          <t>SKÅNE LÄN</t>
        </is>
      </c>
      <c r="G4018" t="inlineStr">
        <is>
          <t>HÖÖR</t>
        </is>
      </c>
      <c r="I4018" t="n">
        <v>4</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4767-2023</t>
        </is>
      </c>
      <c r="B4019" t="inlineStr">
        <is>
          <t>avverkningsanmälan</t>
        </is>
      </c>
      <c r="C4019" t="inlineStr">
        <is>
          <t>Föryngringsavverkning</t>
        </is>
      </c>
      <c r="D4019" s="1" t="n">
        <v>44957</v>
      </c>
      <c r="E4019" s="1" t="n">
        <v>46312</v>
      </c>
      <c r="F4019" t="inlineStr">
        <is>
          <t>SKÅNE LÄN</t>
        </is>
      </c>
      <c r="G4019" t="inlineStr">
        <is>
          <t>OSBY</t>
        </is>
      </c>
      <c r="I4019" t="n">
        <v>3.4</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15812-2024</t>
        </is>
      </c>
      <c r="B4020" t="inlineStr">
        <is>
          <t>avverkningsanmälan</t>
        </is>
      </c>
      <c r="C4020" t="inlineStr">
        <is>
          <t>Föryngringsavverkning</t>
        </is>
      </c>
      <c r="D4020" s="1" t="n">
        <v>45404</v>
      </c>
      <c r="E4020" s="1" t="n">
        <v>46312</v>
      </c>
      <c r="F4020" t="inlineStr">
        <is>
          <t>SKÅNE LÄN</t>
        </is>
      </c>
      <c r="G4020" t="inlineStr">
        <is>
          <t>KLIPPAN</t>
        </is>
      </c>
      <c r="H4020" t="inlineStr">
        <is>
          <t>Sveaskog</t>
        </is>
      </c>
      <c r="I4020" t="n">
        <v>2.8</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8455-2024</t>
        </is>
      </c>
      <c r="B4021" t="inlineStr">
        <is>
          <t>avverkningsanmälan</t>
        </is>
      </c>
      <c r="C4021" t="inlineStr">
        <is>
          <t>Föryngringsavverkning</t>
        </is>
      </c>
      <c r="D4021" s="1" t="n">
        <v>45354</v>
      </c>
      <c r="E4021" s="1" t="n">
        <v>46312</v>
      </c>
      <c r="F4021" t="inlineStr">
        <is>
          <t>SKÅNE LÄN</t>
        </is>
      </c>
      <c r="G4021" t="inlineStr">
        <is>
          <t>TOMELILLA</t>
        </is>
      </c>
      <c r="H4021" t="inlineStr">
        <is>
          <t>Övriga Aktiebolag</t>
        </is>
      </c>
      <c r="I4021" t="n">
        <v>5.1</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55716-2024</t>
        </is>
      </c>
      <c r="B4022" t="inlineStr">
        <is>
          <t>avverkningsanmälan</t>
        </is>
      </c>
      <c r="C4022" t="inlineStr">
        <is>
          <t>Avverkning för att bevara och utveckla /försöksver</t>
        </is>
      </c>
      <c r="D4022" s="1" t="n">
        <v>45622</v>
      </c>
      <c r="E4022" s="1" t="n">
        <v>46312</v>
      </c>
      <c r="F4022" t="inlineStr">
        <is>
          <t>SKÅNE LÄN</t>
        </is>
      </c>
      <c r="G4022" t="inlineStr">
        <is>
          <t>ÖSTRA GÖINGE</t>
        </is>
      </c>
      <c r="H4022" t="inlineStr">
        <is>
          <t>Sveaskog</t>
        </is>
      </c>
      <c r="I4022" t="n">
        <v>0.6</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4009-2024</t>
        </is>
      </c>
      <c r="B4023" t="inlineStr">
        <is>
          <t>avverkningsanmälan</t>
        </is>
      </c>
      <c r="C4023" t="inlineStr">
        <is>
          <t>Avverkning för annat ändamål</t>
        </is>
      </c>
      <c r="D4023" s="1" t="n">
        <v>45323</v>
      </c>
      <c r="E4023" s="1" t="n">
        <v>46312</v>
      </c>
      <c r="F4023" t="inlineStr">
        <is>
          <t>SKÅNE LÄN</t>
        </is>
      </c>
      <c r="G4023" t="inlineStr">
        <is>
          <t>HÄSSLEHOLM</t>
        </is>
      </c>
      <c r="I4023" t="n">
        <v>2.4</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10928-2024</t>
        </is>
      </c>
      <c r="B4024" t="inlineStr">
        <is>
          <t>avverkningsanmälan</t>
        </is>
      </c>
      <c r="C4024" t="inlineStr">
        <is>
          <t>Föryngringsavverkning</t>
        </is>
      </c>
      <c r="D4024" s="1" t="n">
        <v>45370</v>
      </c>
      <c r="E4024" s="1" t="n">
        <v>46312</v>
      </c>
      <c r="F4024" t="inlineStr">
        <is>
          <t>SKÅNE LÄN</t>
        </is>
      </c>
      <c r="G4024" t="inlineStr">
        <is>
          <t>HÄSSLEHOLM</t>
        </is>
      </c>
      <c r="H4024" t="inlineStr">
        <is>
          <t>Övriga Aktiebolag</t>
        </is>
      </c>
      <c r="I4024" t="n">
        <v>0.5</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10944-2024</t>
        </is>
      </c>
      <c r="B4025" t="inlineStr">
        <is>
          <t>avverkningsanmälan</t>
        </is>
      </c>
      <c r="C4025" t="inlineStr">
        <is>
          <t>Föryngringsavverkning</t>
        </is>
      </c>
      <c r="D4025" s="1" t="n">
        <v>45370</v>
      </c>
      <c r="E4025" s="1" t="n">
        <v>46312</v>
      </c>
      <c r="F4025" t="inlineStr">
        <is>
          <t>SKÅNE LÄN</t>
        </is>
      </c>
      <c r="G4025" t="inlineStr">
        <is>
          <t>HÄSSLEHOLM</t>
        </is>
      </c>
      <c r="H4025" t="inlineStr">
        <is>
          <t>Övriga Aktiebolag</t>
        </is>
      </c>
      <c r="I4025" t="n">
        <v>2.6</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44496-2023</t>
        </is>
      </c>
      <c r="B4026" t="inlineStr">
        <is>
          <t>avverkningsanmälan</t>
        </is>
      </c>
      <c r="C4026" t="inlineStr">
        <is>
          <t>Föryngringsavverkning</t>
        </is>
      </c>
      <c r="D4026" s="1" t="n">
        <v>45189</v>
      </c>
      <c r="E4026" s="1" t="n">
        <v>46312</v>
      </c>
      <c r="F4026" t="inlineStr">
        <is>
          <t>SKÅNE LÄN</t>
        </is>
      </c>
      <c r="G4026" t="inlineStr">
        <is>
          <t>ESLÖV</t>
        </is>
      </c>
      <c r="I4026" t="n">
        <v>0.5</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19633-2023</t>
        </is>
      </c>
      <c r="B4027" t="inlineStr">
        <is>
          <t>avverkningsanmälan</t>
        </is>
      </c>
      <c r="C4027" t="inlineStr">
        <is>
          <t>Föryngringsavverkning</t>
        </is>
      </c>
      <c r="D4027" s="1" t="n">
        <v>45051</v>
      </c>
      <c r="E4027" s="1" t="n">
        <v>46312</v>
      </c>
      <c r="F4027" t="inlineStr">
        <is>
          <t>SKÅNE LÄN</t>
        </is>
      </c>
      <c r="G4027" t="inlineStr">
        <is>
          <t>HÖÖR</t>
        </is>
      </c>
      <c r="H4027" t="inlineStr">
        <is>
          <t>Sveaskog</t>
        </is>
      </c>
      <c r="I4027" t="n">
        <v>0.5</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38936-2023</t>
        </is>
      </c>
      <c r="B4028" t="inlineStr">
        <is>
          <t>avverkningsanmälan</t>
        </is>
      </c>
      <c r="C4028" t="inlineStr">
        <is>
          <t>Föryngringsavverkning</t>
        </is>
      </c>
      <c r="D4028" s="1" t="n">
        <v>45163</v>
      </c>
      <c r="E4028" s="1" t="n">
        <v>46312</v>
      </c>
      <c r="F4028" t="inlineStr">
        <is>
          <t>SKÅNE LÄN</t>
        </is>
      </c>
      <c r="G4028" t="inlineStr">
        <is>
          <t>PERSTORP</t>
        </is>
      </c>
      <c r="I4028" t="n">
        <v>2.4</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38945-2023</t>
        </is>
      </c>
      <c r="B4029" t="inlineStr">
        <is>
          <t>avverkningsanmälan</t>
        </is>
      </c>
      <c r="C4029" t="inlineStr">
        <is>
          <t>Föryngringsavverkning</t>
        </is>
      </c>
      <c r="D4029" s="1" t="n">
        <v>45163</v>
      </c>
      <c r="E4029" s="1" t="n">
        <v>46312</v>
      </c>
      <c r="F4029" t="inlineStr">
        <is>
          <t>SKÅNE LÄN</t>
        </is>
      </c>
      <c r="G4029" t="inlineStr">
        <is>
          <t>KLIPPAN</t>
        </is>
      </c>
      <c r="I4029" t="n">
        <v>0.9</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19777-2023</t>
        </is>
      </c>
      <c r="B4030" t="inlineStr">
        <is>
          <t>avverkningsanmälan</t>
        </is>
      </c>
      <c r="C4030" t="inlineStr">
        <is>
          <t>Föryngringsavverkning</t>
        </is>
      </c>
      <c r="D4030" s="1" t="n">
        <v>45051</v>
      </c>
      <c r="E4030" s="1" t="n">
        <v>46312</v>
      </c>
      <c r="F4030" t="inlineStr">
        <is>
          <t>SKÅNE LÄN</t>
        </is>
      </c>
      <c r="G4030" t="inlineStr">
        <is>
          <t>HÖRBY</t>
        </is>
      </c>
      <c r="I4030" t="n">
        <v>4.3</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33865-2024</t>
        </is>
      </c>
      <c r="B4031" t="inlineStr">
        <is>
          <t>avverkningsanmälan</t>
        </is>
      </c>
      <c r="C4031" t="inlineStr">
        <is>
          <t>Föryngringsavverkning</t>
        </is>
      </c>
      <c r="D4031" s="1" t="n">
        <v>45520</v>
      </c>
      <c r="E4031" s="1" t="n">
        <v>46312</v>
      </c>
      <c r="F4031" t="inlineStr">
        <is>
          <t>SKÅNE LÄN</t>
        </is>
      </c>
      <c r="G4031" t="inlineStr">
        <is>
          <t>ESLÖV</t>
        </is>
      </c>
      <c r="I4031" t="n">
        <v>1.3</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29335-2022</t>
        </is>
      </c>
      <c r="B4032" t="inlineStr">
        <is>
          <t>avverkningsanmälan</t>
        </is>
      </c>
      <c r="C4032" t="inlineStr">
        <is>
          <t>Föryngringsavverkning</t>
        </is>
      </c>
      <c r="D4032" s="1" t="n">
        <v>44752</v>
      </c>
      <c r="E4032" s="1" t="n">
        <v>46312</v>
      </c>
      <c r="F4032" t="inlineStr">
        <is>
          <t>SKÅNE LÄN</t>
        </is>
      </c>
      <c r="G4032" t="inlineStr">
        <is>
          <t>ÖRKELLJUNGA</t>
        </is>
      </c>
      <c r="H4032" t="inlineStr">
        <is>
          <t>Kommuner</t>
        </is>
      </c>
      <c r="I4032" t="n">
        <v>1.2</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38493-2026</t>
        </is>
      </c>
      <c r="B4033" t="inlineStr">
        <is>
          <t>avverkningsanmälan</t>
        </is>
      </c>
      <c r="C4033" t="inlineStr">
        <is>
          <t>Föryngringsavverkning</t>
        </is>
      </c>
      <c r="D4033" s="1" t="n">
        <v>46282</v>
      </c>
      <c r="E4033" s="1" t="n">
        <v>46312</v>
      </c>
      <c r="F4033" t="inlineStr">
        <is>
          <t>SKÅNE LÄN</t>
        </is>
      </c>
      <c r="G4033" t="inlineStr">
        <is>
          <t>OSBY</t>
        </is>
      </c>
      <c r="I4033" t="n">
        <v>0.7</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9430-2025</t>
        </is>
      </c>
      <c r="B4034" t="inlineStr">
        <is>
          <t>avverkningsanmälan</t>
        </is>
      </c>
      <c r="C4034" t="inlineStr">
        <is>
          <t>Föryngringsavverkning</t>
        </is>
      </c>
      <c r="D4034" s="1" t="n">
        <v>45715</v>
      </c>
      <c r="E4034" s="1" t="n">
        <v>46312</v>
      </c>
      <c r="F4034" t="inlineStr">
        <is>
          <t>SKÅNE LÄN</t>
        </is>
      </c>
      <c r="G4034" t="inlineStr">
        <is>
          <t>OSBY</t>
        </is>
      </c>
      <c r="I4034" t="n">
        <v>3</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33466-2024</t>
        </is>
      </c>
      <c r="B4035" t="inlineStr">
        <is>
          <t>avverkningsanmälan</t>
        </is>
      </c>
      <c r="C4035" t="inlineStr">
        <is>
          <t>Föryngringsavverkning</t>
        </is>
      </c>
      <c r="D4035" s="1" t="n">
        <v>45519</v>
      </c>
      <c r="E4035" s="1" t="n">
        <v>46312</v>
      </c>
      <c r="F4035" t="inlineStr">
        <is>
          <t>SKÅNE LÄN</t>
        </is>
      </c>
      <c r="G4035" t="inlineStr">
        <is>
          <t>HÄSSLEHOLM</t>
        </is>
      </c>
      <c r="I4035" t="n">
        <v>0.4</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28746-2024</t>
        </is>
      </c>
      <c r="B4036" t="inlineStr">
        <is>
          <t>avverkningsanmälan</t>
        </is>
      </c>
      <c r="C4036" t="inlineStr">
        <is>
          <t>Föryngringsavverkning</t>
        </is>
      </c>
      <c r="D4036" s="1" t="n">
        <v>45478</v>
      </c>
      <c r="E4036" s="1" t="n">
        <v>46312</v>
      </c>
      <c r="F4036" t="inlineStr">
        <is>
          <t>SKÅNE LÄN</t>
        </is>
      </c>
      <c r="G4036" t="inlineStr">
        <is>
          <t>HÖRBY</t>
        </is>
      </c>
      <c r="I4036" t="n">
        <v>1.9</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6612-2024</t>
        </is>
      </c>
      <c r="B4037" t="inlineStr">
        <is>
          <t>avverkningsanmälan</t>
        </is>
      </c>
      <c r="C4037" t="inlineStr">
        <is>
          <t>Föryngringsavverkning</t>
        </is>
      </c>
      <c r="D4037" s="1" t="n">
        <v>45341</v>
      </c>
      <c r="E4037" s="1" t="n">
        <v>46312</v>
      </c>
      <c r="F4037" t="inlineStr">
        <is>
          <t>SKÅNE LÄN</t>
        </is>
      </c>
      <c r="G4037" t="inlineStr">
        <is>
          <t>HÄSSLEHOLM</t>
        </is>
      </c>
      <c r="I4037" t="n">
        <v>0.5</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38491-2026</t>
        </is>
      </c>
      <c r="B4038" t="inlineStr">
        <is>
          <t>avverkningsanmälan</t>
        </is>
      </c>
      <c r="C4038" t="inlineStr">
        <is>
          <t>Föryngringsavverkning</t>
        </is>
      </c>
      <c r="D4038" s="1" t="n">
        <v>46282</v>
      </c>
      <c r="E4038" s="1" t="n">
        <v>46312</v>
      </c>
      <c r="F4038" t="inlineStr">
        <is>
          <t>SKÅNE LÄN</t>
        </is>
      </c>
      <c r="G4038" t="inlineStr">
        <is>
          <t>OSBY</t>
        </is>
      </c>
      <c r="I4038" t="n">
        <v>2.4</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37300-2026</t>
        </is>
      </c>
      <c r="B4039" t="inlineStr">
        <is>
          <t>avverkningsanmälan</t>
        </is>
      </c>
      <c r="C4039" t="inlineStr">
        <is>
          <t>Föryngringsavverkning</t>
        </is>
      </c>
      <c r="D4039" s="1" t="n">
        <v>46274</v>
      </c>
      <c r="E4039" s="1" t="n">
        <v>46312</v>
      </c>
      <c r="F4039" t="inlineStr">
        <is>
          <t>SKÅNE LÄN</t>
        </is>
      </c>
      <c r="G4039" t="inlineStr">
        <is>
          <t>HÖRBY</t>
        </is>
      </c>
      <c r="I4039" t="n">
        <v>0.2</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38313-2026</t>
        </is>
      </c>
      <c r="B4040" t="inlineStr">
        <is>
          <t>avverkningsanmälan</t>
        </is>
      </c>
      <c r="C4040" t="inlineStr">
        <is>
          <t>Föryngringsavverkning</t>
        </is>
      </c>
      <c r="D4040" s="1" t="n">
        <v>46282</v>
      </c>
      <c r="E4040" s="1" t="n">
        <v>46312</v>
      </c>
      <c r="F4040" t="inlineStr">
        <is>
          <t>SKÅNE LÄN</t>
        </is>
      </c>
      <c r="G4040" t="inlineStr">
        <is>
          <t>HÄSSLEHOLM</t>
        </is>
      </c>
      <c r="I4040" t="n">
        <v>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26879-2024</t>
        </is>
      </c>
      <c r="B4041" t="inlineStr">
        <is>
          <t>avverkningsanmälan</t>
        </is>
      </c>
      <c r="C4041" t="inlineStr">
        <is>
          <t>Föryngringsavverkning</t>
        </is>
      </c>
      <c r="D4041" s="1" t="n">
        <v>45470</v>
      </c>
      <c r="E4041" s="1" t="n">
        <v>46312</v>
      </c>
      <c r="F4041" t="inlineStr">
        <is>
          <t>SKÅNE LÄN</t>
        </is>
      </c>
      <c r="G4041" t="inlineStr">
        <is>
          <t>HÄSSLEHOLM</t>
        </is>
      </c>
      <c r="I4041" t="n">
        <v>0.9</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16027-2022</t>
        </is>
      </c>
      <c r="B4042" t="inlineStr">
        <is>
          <t>avverkningsanmälan</t>
        </is>
      </c>
      <c r="C4042" t="inlineStr">
        <is>
          <t>Föryngringsavverkning</t>
        </is>
      </c>
      <c r="D4042" s="1" t="n">
        <v>44665</v>
      </c>
      <c r="E4042" s="1" t="n">
        <v>46312</v>
      </c>
      <c r="F4042" t="inlineStr">
        <is>
          <t>SKÅNE LÄN</t>
        </is>
      </c>
      <c r="G4042" t="inlineStr">
        <is>
          <t>TOMELILLA</t>
        </is>
      </c>
      <c r="H4042" t="inlineStr">
        <is>
          <t>Övriga Aktiebolag</t>
        </is>
      </c>
      <c r="I4042" t="n">
        <v>1.9</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54473-2023</t>
        </is>
      </c>
      <c r="B4043" t="inlineStr">
        <is>
          <t>avverkningsanmälan</t>
        </is>
      </c>
      <c r="C4043" t="inlineStr">
        <is>
          <t>Föryngringsavverkning</t>
        </is>
      </c>
      <c r="D4043" s="1" t="n">
        <v>45233</v>
      </c>
      <c r="E4043" s="1" t="n">
        <v>46312</v>
      </c>
      <c r="F4043" t="inlineStr">
        <is>
          <t>SKÅNE LÄN</t>
        </is>
      </c>
      <c r="G4043" t="inlineStr">
        <is>
          <t>HÄSSLEHOLM</t>
        </is>
      </c>
      <c r="I4043" t="n">
        <v>24.5</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11240-2023</t>
        </is>
      </c>
      <c r="B4044" t="inlineStr">
        <is>
          <t>avverkningsanmälan</t>
        </is>
      </c>
      <c r="C4044" t="inlineStr">
        <is>
          <t>Avverkning för annat ändamål</t>
        </is>
      </c>
      <c r="D4044" s="1" t="n">
        <v>44992</v>
      </c>
      <c r="E4044" s="1" t="n">
        <v>46312</v>
      </c>
      <c r="F4044" t="inlineStr">
        <is>
          <t>SKÅNE LÄN</t>
        </is>
      </c>
      <c r="G4044" t="inlineStr">
        <is>
          <t>HÄSSLEHOLM</t>
        </is>
      </c>
      <c r="I4044" t="n">
        <v>2.1</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5488-2024</t>
        </is>
      </c>
      <c r="B4045" t="inlineStr">
        <is>
          <t>avverkningsanmälan</t>
        </is>
      </c>
      <c r="C4045" t="inlineStr">
        <is>
          <t>Föryngringsavverkning</t>
        </is>
      </c>
      <c r="D4045" s="1" t="n">
        <v>45334</v>
      </c>
      <c r="E4045" s="1" t="n">
        <v>46312</v>
      </c>
      <c r="F4045" t="inlineStr">
        <is>
          <t>SKÅNE LÄN</t>
        </is>
      </c>
      <c r="G4045" t="inlineStr">
        <is>
          <t>SIMRISHAMN</t>
        </is>
      </c>
      <c r="I4045" t="n">
        <v>0.5</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5128-2023</t>
        </is>
      </c>
      <c r="B4046" t="inlineStr">
        <is>
          <t>avverkningsanmälan</t>
        </is>
      </c>
      <c r="C4046" t="inlineStr">
        <is>
          <t>Föryngringsavverkning</t>
        </is>
      </c>
      <c r="D4046" s="1" t="n">
        <v>44958</v>
      </c>
      <c r="E4046" s="1" t="n">
        <v>46312</v>
      </c>
      <c r="F4046" t="inlineStr">
        <is>
          <t>SKÅNE LÄN</t>
        </is>
      </c>
      <c r="G4046" t="inlineStr">
        <is>
          <t>ÖSTRA GÖINGE</t>
        </is>
      </c>
      <c r="I4046" t="n">
        <v>0.6</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5134-2023</t>
        </is>
      </c>
      <c r="B4047" t="inlineStr">
        <is>
          <t>avverkningsanmälan</t>
        </is>
      </c>
      <c r="C4047" t="inlineStr">
        <is>
          <t>Föryngringsavverkning</t>
        </is>
      </c>
      <c r="D4047" s="1" t="n">
        <v>44958</v>
      </c>
      <c r="E4047" s="1" t="n">
        <v>46312</v>
      </c>
      <c r="F4047" t="inlineStr">
        <is>
          <t>SKÅNE LÄN</t>
        </is>
      </c>
      <c r="G4047" t="inlineStr">
        <is>
          <t>ÖSTRA GÖINGE</t>
        </is>
      </c>
      <c r="I4047" t="n">
        <v>0.5</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38413-2026</t>
        </is>
      </c>
      <c r="B4048" t="inlineStr">
        <is>
          <t>avverkningsanmälan</t>
        </is>
      </c>
      <c r="C4048" t="inlineStr">
        <is>
          <t>Föryngringsavverkning</t>
        </is>
      </c>
      <c r="D4048" s="1" t="n">
        <v>46282</v>
      </c>
      <c r="E4048" s="1" t="n">
        <v>46312</v>
      </c>
      <c r="F4048" t="inlineStr">
        <is>
          <t>SKÅNE LÄN</t>
        </is>
      </c>
      <c r="G4048" t="inlineStr">
        <is>
          <t>YSTAD</t>
        </is>
      </c>
      <c r="I4048" t="n">
        <v>0.6</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16670-2025</t>
        </is>
      </c>
      <c r="B4049" t="inlineStr">
        <is>
          <t>avverkningsanmälan</t>
        </is>
      </c>
      <c r="C4049" t="inlineStr">
        <is>
          <t>Föryngringsavverkning</t>
        </is>
      </c>
      <c r="D4049" s="1" t="n">
        <v>45754</v>
      </c>
      <c r="E4049" s="1" t="n">
        <v>46312</v>
      </c>
      <c r="F4049" t="inlineStr">
        <is>
          <t>SKÅNE LÄN</t>
        </is>
      </c>
      <c r="G4049" t="inlineStr">
        <is>
          <t>ESLÖV</t>
        </is>
      </c>
      <c r="I4049" t="n">
        <v>1.5</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38936-2026</t>
        </is>
      </c>
      <c r="B4050" t="inlineStr">
        <is>
          <t>avverkningsanmälan</t>
        </is>
      </c>
      <c r="C4050" t="inlineStr">
        <is>
          <t>Föryngringsavverkning</t>
        </is>
      </c>
      <c r="D4050" s="1" t="n">
        <v>46286</v>
      </c>
      <c r="E4050" s="1" t="n">
        <v>46312</v>
      </c>
      <c r="F4050" t="inlineStr">
        <is>
          <t>SKÅNE LÄN</t>
        </is>
      </c>
      <c r="G4050" t="inlineStr">
        <is>
          <t>HÖRBY</t>
        </is>
      </c>
      <c r="H4050" t="inlineStr">
        <is>
          <t>Sveaskog</t>
        </is>
      </c>
      <c r="I4050" t="n">
        <v>1.4</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31649-2023</t>
        </is>
      </c>
      <c r="B4051" t="inlineStr">
        <is>
          <t>avverkningsanmälan</t>
        </is>
      </c>
      <c r="C4051" t="inlineStr">
        <is>
          <t>Föryngringsavverkning</t>
        </is>
      </c>
      <c r="D4051" s="1" t="n">
        <v>45117</v>
      </c>
      <c r="E4051" s="1" t="n">
        <v>46312</v>
      </c>
      <c r="F4051" t="inlineStr">
        <is>
          <t>SKÅNE LÄN</t>
        </is>
      </c>
      <c r="G4051" t="inlineStr">
        <is>
          <t>BROMÖLLA</t>
        </is>
      </c>
      <c r="I4051" t="n">
        <v>2.2</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34466-2023</t>
        </is>
      </c>
      <c r="B4052" t="inlineStr">
        <is>
          <t>avverkningsanmälan</t>
        </is>
      </c>
      <c r="C4052" t="inlineStr">
        <is>
          <t>Föryngringsavverkning</t>
        </is>
      </c>
      <c r="D4052" s="1" t="n">
        <v>45139</v>
      </c>
      <c r="E4052" s="1" t="n">
        <v>46312</v>
      </c>
      <c r="F4052" t="inlineStr">
        <is>
          <t>SKÅNE LÄN</t>
        </is>
      </c>
      <c r="G4052" t="inlineStr">
        <is>
          <t>ESLÖV</t>
        </is>
      </c>
      <c r="I4052" t="n">
        <v>4.3</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27613-2024</t>
        </is>
      </c>
      <c r="B4053" t="inlineStr">
        <is>
          <t>avverkningsanmälan</t>
        </is>
      </c>
      <c r="C4053" t="inlineStr">
        <is>
          <t>Föryngringsavverkning</t>
        </is>
      </c>
      <c r="D4053" s="1" t="n">
        <v>45474</v>
      </c>
      <c r="E4053" s="1" t="n">
        <v>46312</v>
      </c>
      <c r="F4053" t="inlineStr">
        <is>
          <t>SKÅNE LÄN</t>
        </is>
      </c>
      <c r="G4053" t="inlineStr">
        <is>
          <t>KRISTIANSTAD</t>
        </is>
      </c>
      <c r="I4053" t="n">
        <v>4.6</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23874-2022</t>
        </is>
      </c>
      <c r="B4054" t="inlineStr">
        <is>
          <t>avverkningsanmälan</t>
        </is>
      </c>
      <c r="C4054" t="inlineStr">
        <is>
          <t>Föryngringsavverkning</t>
        </is>
      </c>
      <c r="D4054" s="1" t="n">
        <v>44722</v>
      </c>
      <c r="E4054" s="1" t="n">
        <v>46312</v>
      </c>
      <c r="F4054" t="inlineStr">
        <is>
          <t>SKÅNE LÄN</t>
        </is>
      </c>
      <c r="G4054" t="inlineStr">
        <is>
          <t>KLIPPAN</t>
        </is>
      </c>
      <c r="I4054" t="n">
        <v>7.8</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38844-2026</t>
        </is>
      </c>
      <c r="B4055" t="inlineStr">
        <is>
          <t>avverkningsanmälan</t>
        </is>
      </c>
      <c r="C4055" t="inlineStr">
        <is>
          <t>Föryngringsavverkning</t>
        </is>
      </c>
      <c r="D4055" s="1" t="n">
        <v>46286</v>
      </c>
      <c r="E4055" s="1" t="n">
        <v>46312</v>
      </c>
      <c r="F4055" t="inlineStr">
        <is>
          <t>SKÅNE LÄN</t>
        </is>
      </c>
      <c r="G4055" t="inlineStr">
        <is>
          <t>SVEDALA</t>
        </is>
      </c>
      <c r="I4055" t="n">
        <v>2.9</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38845-2026</t>
        </is>
      </c>
      <c r="B4056" t="inlineStr">
        <is>
          <t>avverkningsanmälan</t>
        </is>
      </c>
      <c r="C4056" t="inlineStr">
        <is>
          <t>Föryngringsavverkning</t>
        </is>
      </c>
      <c r="D4056" s="1" t="n">
        <v>46286</v>
      </c>
      <c r="E4056" s="1" t="n">
        <v>46312</v>
      </c>
      <c r="F4056" t="inlineStr">
        <is>
          <t>SKÅNE LÄN</t>
        </is>
      </c>
      <c r="G4056" t="inlineStr">
        <is>
          <t>SVEDALA</t>
        </is>
      </c>
      <c r="I4056" t="n">
        <v>1.8</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16108-2025</t>
        </is>
      </c>
      <c r="B4057" t="inlineStr">
        <is>
          <t>avverkningsanmälan</t>
        </is>
      </c>
      <c r="C4057" t="inlineStr">
        <is>
          <t>Föryngringsavverkning</t>
        </is>
      </c>
      <c r="D4057" s="1" t="n">
        <v>45750</v>
      </c>
      <c r="E4057" s="1" t="n">
        <v>46312</v>
      </c>
      <c r="F4057" t="inlineStr">
        <is>
          <t>SKÅNE LÄN</t>
        </is>
      </c>
      <c r="G4057" t="inlineStr">
        <is>
          <t>HÄSSLEHOLM</t>
        </is>
      </c>
      <c r="I4057" t="n">
        <v>0.5</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44842-2024</t>
        </is>
      </c>
      <c r="B4058" t="inlineStr">
        <is>
          <t>avverkningsanmälan</t>
        </is>
      </c>
      <c r="C4058" t="inlineStr">
        <is>
          <t>Föryngringsavverkning</t>
        </is>
      </c>
      <c r="D4058" s="1" t="n">
        <v>45574</v>
      </c>
      <c r="E4058" s="1" t="n">
        <v>46312</v>
      </c>
      <c r="F4058" t="inlineStr">
        <is>
          <t>SKÅNE LÄN</t>
        </is>
      </c>
      <c r="G4058" t="inlineStr">
        <is>
          <t>ÖSTRA GÖINGE</t>
        </is>
      </c>
      <c r="I4058" t="n">
        <v>1.1</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48326-2023</t>
        </is>
      </c>
      <c r="B4059" t="inlineStr">
        <is>
          <t>avverkningsanmälan</t>
        </is>
      </c>
      <c r="C4059" t="inlineStr">
        <is>
          <t>Föryngringsavverkning</t>
        </is>
      </c>
      <c r="D4059" s="1" t="n">
        <v>45205</v>
      </c>
      <c r="E4059" s="1" t="n">
        <v>46312</v>
      </c>
      <c r="F4059" t="inlineStr">
        <is>
          <t>SKÅNE LÄN</t>
        </is>
      </c>
      <c r="G4059" t="inlineStr">
        <is>
          <t>HÄSSLEHOLM</t>
        </is>
      </c>
      <c r="I4059" t="n">
        <v>12.7</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38880-2026</t>
        </is>
      </c>
      <c r="B4060" t="inlineStr">
        <is>
          <t>avverkningsanmälan</t>
        </is>
      </c>
      <c r="C4060" t="inlineStr">
        <is>
          <t>Föryngringsavverkning</t>
        </is>
      </c>
      <c r="D4060" s="1" t="n">
        <v>46286</v>
      </c>
      <c r="E4060" s="1" t="n">
        <v>46312</v>
      </c>
      <c r="F4060" t="inlineStr">
        <is>
          <t>SKÅNE LÄN</t>
        </is>
      </c>
      <c r="G4060" t="inlineStr">
        <is>
          <t>KLIPPAN</t>
        </is>
      </c>
      <c r="I4060" t="n">
        <v>0.6</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38948-2026</t>
        </is>
      </c>
      <c r="B4061" t="inlineStr">
        <is>
          <t>avverkningsanmälan</t>
        </is>
      </c>
      <c r="C4061" t="inlineStr">
        <is>
          <t>Föryngringsavverkning</t>
        </is>
      </c>
      <c r="D4061" s="1" t="n">
        <v>46286</v>
      </c>
      <c r="E4061" s="1" t="n">
        <v>46312</v>
      </c>
      <c r="F4061" t="inlineStr">
        <is>
          <t>SKÅNE LÄN</t>
        </is>
      </c>
      <c r="G4061" t="inlineStr">
        <is>
          <t>HÖRBY</t>
        </is>
      </c>
      <c r="H4061" t="inlineStr">
        <is>
          <t>Sveaskog</t>
        </is>
      </c>
      <c r="I4061" t="n">
        <v>1.5</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20047-2026</t>
        </is>
      </c>
      <c r="B4062" t="inlineStr">
        <is>
          <t>avverkningsanmälan</t>
        </is>
      </c>
      <c r="C4062" t="inlineStr">
        <is>
          <t>Föryngringsavverkning</t>
        </is>
      </c>
      <c r="D4062" s="1" t="n">
        <v>46136</v>
      </c>
      <c r="E4062" s="1" t="n">
        <v>46312</v>
      </c>
      <c r="F4062" t="inlineStr">
        <is>
          <t>SKÅNE LÄN</t>
        </is>
      </c>
      <c r="G4062" t="inlineStr">
        <is>
          <t>HÖRBY</t>
        </is>
      </c>
      <c r="I4062" t="n">
        <v>1.1</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7333-2025</t>
        </is>
      </c>
      <c r="B4063" t="inlineStr">
        <is>
          <t>avverkningsanmälan</t>
        </is>
      </c>
      <c r="C4063" t="inlineStr">
        <is>
          <t>Föryngringsavverkning</t>
        </is>
      </c>
      <c r="D4063" s="1" t="n">
        <v>45703</v>
      </c>
      <c r="E4063" s="1" t="n">
        <v>46312</v>
      </c>
      <c r="F4063" t="inlineStr">
        <is>
          <t>SKÅNE LÄN</t>
        </is>
      </c>
      <c r="G4063" t="inlineStr">
        <is>
          <t>HELSINGBORG</t>
        </is>
      </c>
      <c r="I4063" t="n">
        <v>0.9</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36631-2026</t>
        </is>
      </c>
      <c r="B4064" t="inlineStr">
        <is>
          <t>avverkningsanmälan</t>
        </is>
      </c>
      <c r="C4064" t="inlineStr">
        <is>
          <t>Föryngringsavverkning</t>
        </is>
      </c>
      <c r="D4064" s="1" t="n">
        <v>46271</v>
      </c>
      <c r="E4064" s="1" t="n">
        <v>46312</v>
      </c>
      <c r="F4064" t="inlineStr">
        <is>
          <t>SKÅNE LÄN</t>
        </is>
      </c>
      <c r="G4064" t="inlineStr">
        <is>
          <t>KRISTIANSTAD</t>
        </is>
      </c>
      <c r="H4064" t="inlineStr">
        <is>
          <t>Övriga Aktiebolag</t>
        </is>
      </c>
      <c r="I4064" t="n">
        <v>1.9</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38842-2026</t>
        </is>
      </c>
      <c r="B4065" t="inlineStr">
        <is>
          <t>avverkningsanmälan</t>
        </is>
      </c>
      <c r="C4065" t="inlineStr">
        <is>
          <t>Föryngringsavverkning</t>
        </is>
      </c>
      <c r="D4065" s="1" t="n">
        <v>46286</v>
      </c>
      <c r="E4065" s="1" t="n">
        <v>46312</v>
      </c>
      <c r="F4065" t="inlineStr">
        <is>
          <t>SKÅNE LÄN</t>
        </is>
      </c>
      <c r="G4065" t="inlineStr">
        <is>
          <t>SVEDALA</t>
        </is>
      </c>
      <c r="I4065" t="n">
        <v>0.7</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44882-2022</t>
        </is>
      </c>
      <c r="B4066" t="inlineStr">
        <is>
          <t>avverkningsanmälan</t>
        </is>
      </c>
      <c r="C4066" t="inlineStr">
        <is>
          <t>Föryngringsavverkning</t>
        </is>
      </c>
      <c r="D4066" s="1" t="n">
        <v>44841</v>
      </c>
      <c r="E4066" s="1" t="n">
        <v>46312</v>
      </c>
      <c r="F4066" t="inlineStr">
        <is>
          <t>SKÅNE LÄN</t>
        </is>
      </c>
      <c r="G4066" t="inlineStr">
        <is>
          <t>ÖRKELLJUNGA</t>
        </is>
      </c>
      <c r="I4066" t="n">
        <v>0.5</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38814-2026</t>
        </is>
      </c>
      <c r="B4067" t="inlineStr">
        <is>
          <t>avverkningsanmälan</t>
        </is>
      </c>
      <c r="C4067" t="inlineStr">
        <is>
          <t>Föryngringsavverkning</t>
        </is>
      </c>
      <c r="D4067" s="1" t="n">
        <v>46286</v>
      </c>
      <c r="E4067" s="1" t="n">
        <v>46312</v>
      </c>
      <c r="F4067" t="inlineStr">
        <is>
          <t>SKÅNE LÄN</t>
        </is>
      </c>
      <c r="G4067" t="inlineStr">
        <is>
          <t>HÄSSLEHOLM</t>
        </is>
      </c>
      <c r="I4067" t="n">
        <v>4.7</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38824-2026</t>
        </is>
      </c>
      <c r="B4068" t="inlineStr">
        <is>
          <t>avverkningsanmälan</t>
        </is>
      </c>
      <c r="C4068" t="inlineStr">
        <is>
          <t>Föryngringsavverkning</t>
        </is>
      </c>
      <c r="D4068" s="1" t="n">
        <v>46286</v>
      </c>
      <c r="E4068" s="1" t="n">
        <v>46312</v>
      </c>
      <c r="F4068" t="inlineStr">
        <is>
          <t>SKÅNE LÄN</t>
        </is>
      </c>
      <c r="G4068" t="inlineStr">
        <is>
          <t>HÖRBY</t>
        </is>
      </c>
      <c r="H4068" t="inlineStr">
        <is>
          <t>Sveaskog</t>
        </is>
      </c>
      <c r="I4068" t="n">
        <v>11.2</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9142-2025</t>
        </is>
      </c>
      <c r="B4069" t="inlineStr">
        <is>
          <t>avverkningsanmälan</t>
        </is>
      </c>
      <c r="C4069" t="inlineStr">
        <is>
          <t>Föryngringsavverkning</t>
        </is>
      </c>
      <c r="D4069" s="1" t="n">
        <v>45714</v>
      </c>
      <c r="E4069" s="1" t="n">
        <v>46312</v>
      </c>
      <c r="F4069" t="inlineStr">
        <is>
          <t>SKÅNE LÄN</t>
        </is>
      </c>
      <c r="G4069" t="inlineStr">
        <is>
          <t>KLIPPAN</t>
        </is>
      </c>
      <c r="I4069" t="n">
        <v>1.5</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4833-2025</t>
        </is>
      </c>
      <c r="B4070" t="inlineStr">
        <is>
          <t>avverkningsanmälan</t>
        </is>
      </c>
      <c r="C4070" t="inlineStr">
        <is>
          <t>Föryngringsavverkning</t>
        </is>
      </c>
      <c r="D4070" s="1" t="n">
        <v>45688</v>
      </c>
      <c r="E4070" s="1" t="n">
        <v>46312</v>
      </c>
      <c r="F4070" t="inlineStr">
        <is>
          <t>SKÅNE LÄN</t>
        </is>
      </c>
      <c r="G4070" t="inlineStr">
        <is>
          <t>OSBY</t>
        </is>
      </c>
      <c r="I4070" t="n">
        <v>1.6</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23402-2023</t>
        </is>
      </c>
      <c r="B4071" t="inlineStr">
        <is>
          <t>avverkningsanmälan</t>
        </is>
      </c>
      <c r="C4071" t="inlineStr">
        <is>
          <t>Föryngringsavverkning</t>
        </is>
      </c>
      <c r="D4071" s="1" t="n">
        <v>45076</v>
      </c>
      <c r="E4071" s="1" t="n">
        <v>46312</v>
      </c>
      <c r="F4071" t="inlineStr">
        <is>
          <t>SKÅNE LÄN</t>
        </is>
      </c>
      <c r="G4071" t="inlineStr">
        <is>
          <t>ÖSTRA GÖINGE</t>
        </is>
      </c>
      <c r="I4071" t="n">
        <v>2.3</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23403-2023</t>
        </is>
      </c>
      <c r="B4072" t="inlineStr">
        <is>
          <t>avverkningsanmälan</t>
        </is>
      </c>
      <c r="C4072" t="inlineStr">
        <is>
          <t>Föryngringsavverkning</t>
        </is>
      </c>
      <c r="D4072" s="1" t="n">
        <v>45076</v>
      </c>
      <c r="E4072" s="1" t="n">
        <v>46312</v>
      </c>
      <c r="F4072" t="inlineStr">
        <is>
          <t>SKÅNE LÄN</t>
        </is>
      </c>
      <c r="G4072" t="inlineStr">
        <is>
          <t>ÖSTRA GÖINGE</t>
        </is>
      </c>
      <c r="I4072" t="n">
        <v>1.2</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34924-2022</t>
        </is>
      </c>
      <c r="B4073" t="inlineStr">
        <is>
          <t>avverkningsanmälan</t>
        </is>
      </c>
      <c r="C4073" t="inlineStr">
        <is>
          <t>Föryngringsavverkning</t>
        </is>
      </c>
      <c r="D4073" s="1" t="n">
        <v>44796</v>
      </c>
      <c r="E4073" s="1" t="n">
        <v>46312</v>
      </c>
      <c r="F4073" t="inlineStr">
        <is>
          <t>SKÅNE LÄN</t>
        </is>
      </c>
      <c r="G4073" t="inlineStr">
        <is>
          <t>ÖSTRA GÖINGE</t>
        </is>
      </c>
      <c r="I4073" t="n">
        <v>1.5</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54518-2022</t>
        </is>
      </c>
      <c r="B4074" t="inlineStr">
        <is>
          <t>avverkningsanmälan</t>
        </is>
      </c>
      <c r="C4074" t="inlineStr">
        <is>
          <t>Avverkning för annat ändamål</t>
        </is>
      </c>
      <c r="D4074" s="1" t="n">
        <v>44882</v>
      </c>
      <c r="E4074" s="1" t="n">
        <v>46312</v>
      </c>
      <c r="F4074" t="inlineStr">
        <is>
          <t>SKÅNE LÄN</t>
        </is>
      </c>
      <c r="G4074" t="inlineStr">
        <is>
          <t>HÄSSLEHOLM</t>
        </is>
      </c>
      <c r="H4074" t="inlineStr">
        <is>
          <t>Övriga Aktiebolag</t>
        </is>
      </c>
      <c r="I4074" t="n">
        <v>6.8</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57491-2024</t>
        </is>
      </c>
      <c r="B4075" t="inlineStr">
        <is>
          <t>avverkningsanmälan</t>
        </is>
      </c>
      <c r="C4075" t="inlineStr">
        <is>
          <t>Föryngringsavverkning</t>
        </is>
      </c>
      <c r="D4075" s="1" t="n">
        <v>45629</v>
      </c>
      <c r="E4075" s="1" t="n">
        <v>46312</v>
      </c>
      <c r="F4075" t="inlineStr">
        <is>
          <t>SKÅNE LÄN</t>
        </is>
      </c>
      <c r="G4075" t="inlineStr">
        <is>
          <t>HÄSSLEHOLM</t>
        </is>
      </c>
      <c r="I4075" t="n">
        <v>3.2</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56460-2023</t>
        </is>
      </c>
      <c r="B4076" t="inlineStr">
        <is>
          <t>avverkningsanmälan</t>
        </is>
      </c>
      <c r="C4076" t="inlineStr">
        <is>
          <t>Föryngringsavverkning</t>
        </is>
      </c>
      <c r="D4076" s="1" t="n">
        <v>45243</v>
      </c>
      <c r="E4076" s="1" t="n">
        <v>46312</v>
      </c>
      <c r="F4076" t="inlineStr">
        <is>
          <t>SKÅNE LÄN</t>
        </is>
      </c>
      <c r="G4076" t="inlineStr">
        <is>
          <t>ÖRKELLJUNGA</t>
        </is>
      </c>
      <c r="I4076" t="n">
        <v>5.3</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59302-2023</t>
        </is>
      </c>
      <c r="B4077" t="inlineStr">
        <is>
          <t>avverkningsanmälan</t>
        </is>
      </c>
      <c r="C4077" t="inlineStr">
        <is>
          <t>Föryngringsavverkning</t>
        </is>
      </c>
      <c r="D4077" s="1" t="n">
        <v>45253</v>
      </c>
      <c r="E4077" s="1" t="n">
        <v>46312</v>
      </c>
      <c r="F4077" t="inlineStr">
        <is>
          <t>SKÅNE LÄN</t>
        </is>
      </c>
      <c r="G4077" t="inlineStr">
        <is>
          <t>KRISTIANSTAD</t>
        </is>
      </c>
      <c r="I4077" t="n">
        <v>1.5</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52912-2022</t>
        </is>
      </c>
      <c r="B4078" t="inlineStr">
        <is>
          <t>avverkningsanmälan</t>
        </is>
      </c>
      <c r="C4078" t="inlineStr">
        <is>
          <t>Föryngringsavverkning</t>
        </is>
      </c>
      <c r="D4078" s="1" t="n">
        <v>44872</v>
      </c>
      <c r="E4078" s="1" t="n">
        <v>46312</v>
      </c>
      <c r="F4078" t="inlineStr">
        <is>
          <t>SKÅNE LÄN</t>
        </is>
      </c>
      <c r="G4078" t="inlineStr">
        <is>
          <t>HÄSSLEHOLM</t>
        </is>
      </c>
      <c r="I4078" t="n">
        <v>4.7</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1783-2025</t>
        </is>
      </c>
      <c r="B4079" t="inlineStr">
        <is>
          <t>avverkningsanmälan</t>
        </is>
      </c>
      <c r="C4079" t="inlineStr">
        <is>
          <t>Föryngringsavverkning</t>
        </is>
      </c>
      <c r="D4079" s="1" t="n">
        <v>45671</v>
      </c>
      <c r="E4079" s="1" t="n">
        <v>46312</v>
      </c>
      <c r="F4079" t="inlineStr">
        <is>
          <t>SKÅNE LÄN</t>
        </is>
      </c>
      <c r="G4079" t="inlineStr">
        <is>
          <t>ÖRKELLJUNGA</t>
        </is>
      </c>
      <c r="I4079" t="n">
        <v>0.7</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39210-2026</t>
        </is>
      </c>
      <c r="B4080" t="inlineStr">
        <is>
          <t>avverkningsanmälan</t>
        </is>
      </c>
      <c r="C4080" t="inlineStr">
        <is>
          <t>Föryngringsavverkning</t>
        </is>
      </c>
      <c r="D4080" s="1" t="n">
        <v>46287</v>
      </c>
      <c r="E4080" s="1" t="n">
        <v>46312</v>
      </c>
      <c r="F4080" t="inlineStr">
        <is>
          <t>SKÅNE LÄN</t>
        </is>
      </c>
      <c r="G4080" t="inlineStr">
        <is>
          <t>HÄSSLEHOLM</t>
        </is>
      </c>
      <c r="I4080" t="n">
        <v>6.2</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33019-2026</t>
        </is>
      </c>
      <c r="B4081" t="inlineStr">
        <is>
          <t>avverkningsanmälan</t>
        </is>
      </c>
      <c r="C4081" t="inlineStr">
        <is>
          <t>Föryngringsavverkning</t>
        </is>
      </c>
      <c r="D4081" s="1" t="n">
        <v>46244</v>
      </c>
      <c r="E4081" s="1" t="n">
        <v>46312</v>
      </c>
      <c r="F4081" t="inlineStr">
        <is>
          <t>SKÅNE LÄN</t>
        </is>
      </c>
      <c r="G4081" t="inlineStr">
        <is>
          <t>LUND</t>
        </is>
      </c>
      <c r="I4081" t="n">
        <v>1</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33255-2023</t>
        </is>
      </c>
      <c r="B4082" t="inlineStr">
        <is>
          <t>avverkningsanmälan</t>
        </is>
      </c>
      <c r="C4082" t="inlineStr">
        <is>
          <t>Föryngringsavverkning</t>
        </is>
      </c>
      <c r="D4082" s="1" t="n">
        <v>45127</v>
      </c>
      <c r="E4082" s="1" t="n">
        <v>46312</v>
      </c>
      <c r="F4082" t="inlineStr">
        <is>
          <t>SKÅNE LÄN</t>
        </is>
      </c>
      <c r="G4082" t="inlineStr">
        <is>
          <t>BROMÖLLA</t>
        </is>
      </c>
      <c r="I4082" t="n">
        <v>3.6</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27502-2023</t>
        </is>
      </c>
      <c r="B4083" t="inlineStr">
        <is>
          <t>avverkningsanmälan</t>
        </is>
      </c>
      <c r="C4083" t="inlineStr">
        <is>
          <t>Föryngringsavverkning</t>
        </is>
      </c>
      <c r="D4083" s="1" t="n">
        <v>45092</v>
      </c>
      <c r="E4083" s="1" t="n">
        <v>46312</v>
      </c>
      <c r="F4083" t="inlineStr">
        <is>
          <t>SKÅNE LÄN</t>
        </is>
      </c>
      <c r="G4083" t="inlineStr">
        <is>
          <t>HÄSSLEHOLM</t>
        </is>
      </c>
      <c r="I4083" t="n">
        <v>0.7</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31627-2023</t>
        </is>
      </c>
      <c r="B4084" t="inlineStr">
        <is>
          <t>avverkningsanmälan</t>
        </is>
      </c>
      <c r="C4084" t="inlineStr">
        <is>
          <t>Föryngringsavverkning</t>
        </is>
      </c>
      <c r="D4084" s="1" t="n">
        <v>45117</v>
      </c>
      <c r="E4084" s="1" t="n">
        <v>46312</v>
      </c>
      <c r="F4084" t="inlineStr">
        <is>
          <t>SKÅNE LÄN</t>
        </is>
      </c>
      <c r="G4084" t="inlineStr">
        <is>
          <t>ÖSTRA GÖINGE</t>
        </is>
      </c>
      <c r="H4084" t="inlineStr">
        <is>
          <t>Sveaskog</t>
        </is>
      </c>
      <c r="I4084" t="n">
        <v>3.4</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39224-2026</t>
        </is>
      </c>
      <c r="B4085" t="inlineStr">
        <is>
          <t>avverkningsanmälan</t>
        </is>
      </c>
      <c r="C4085" t="inlineStr">
        <is>
          <t>Föryngringsavverkning</t>
        </is>
      </c>
      <c r="D4085" s="1" t="n">
        <v>46287</v>
      </c>
      <c r="E4085" s="1" t="n">
        <v>46312</v>
      </c>
      <c r="F4085" t="inlineStr">
        <is>
          <t>SKÅNE LÄN</t>
        </is>
      </c>
      <c r="G4085" t="inlineStr">
        <is>
          <t>HÄSSLEHOLM</t>
        </is>
      </c>
      <c r="I4085" t="n">
        <v>1.4</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30845-2022</t>
        </is>
      </c>
      <c r="B4086" t="inlineStr">
        <is>
          <t>avverkningsanmälan</t>
        </is>
      </c>
      <c r="C4086" t="inlineStr">
        <is>
          <t>Föryngringsavverkning</t>
        </is>
      </c>
      <c r="D4086" s="1" t="n">
        <v>44767</v>
      </c>
      <c r="E4086" s="1" t="n">
        <v>46312</v>
      </c>
      <c r="F4086" t="inlineStr">
        <is>
          <t>SKÅNE LÄN</t>
        </is>
      </c>
      <c r="G4086" t="inlineStr">
        <is>
          <t>KRISTIANSTAD</t>
        </is>
      </c>
      <c r="I4086" t="n">
        <v>0.6</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28247-2023</t>
        </is>
      </c>
      <c r="B4087" t="inlineStr">
        <is>
          <t>avverkningsanmälan</t>
        </is>
      </c>
      <c r="C4087" t="inlineStr">
        <is>
          <t>Föryngringsavverkning</t>
        </is>
      </c>
      <c r="D4087" s="1" t="n">
        <v>45099</v>
      </c>
      <c r="E4087" s="1" t="n">
        <v>46312</v>
      </c>
      <c r="F4087" t="inlineStr">
        <is>
          <t>SKÅNE LÄN</t>
        </is>
      </c>
      <c r="G4087" t="inlineStr">
        <is>
          <t>KLIPPAN</t>
        </is>
      </c>
      <c r="I4087" t="n">
        <v>4.2</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41254-2023</t>
        </is>
      </c>
      <c r="B4088" t="inlineStr">
        <is>
          <t>avverkningsanmälan</t>
        </is>
      </c>
      <c r="C4088" t="inlineStr">
        <is>
          <t>Föryngringsavverkning</t>
        </is>
      </c>
      <c r="D4088" s="1" t="n">
        <v>45174</v>
      </c>
      <c r="E4088" s="1" t="n">
        <v>46312</v>
      </c>
      <c r="F4088" t="inlineStr">
        <is>
          <t>SKÅNE LÄN</t>
        </is>
      </c>
      <c r="G4088" t="inlineStr">
        <is>
          <t>BROMÖLLA</t>
        </is>
      </c>
      <c r="I4088" t="n">
        <v>0.5</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39100-2026</t>
        </is>
      </c>
      <c r="B4089" t="inlineStr">
        <is>
          <t>avverkningsanmälan</t>
        </is>
      </c>
      <c r="C4089" t="inlineStr">
        <is>
          <t>Föryngringsavverkning</t>
        </is>
      </c>
      <c r="D4089" s="1" t="n">
        <v>46284</v>
      </c>
      <c r="E4089" s="1" t="n">
        <v>46312</v>
      </c>
      <c r="F4089" t="inlineStr">
        <is>
          <t>SKÅNE LÄN</t>
        </is>
      </c>
      <c r="G4089" t="inlineStr">
        <is>
          <t>HÄSSLEHOLM</t>
        </is>
      </c>
      <c r="I4089" t="n">
        <v>1.8</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7871-2025</t>
        </is>
      </c>
      <c r="B4090" t="inlineStr">
        <is>
          <t>avverkningsanmälan</t>
        </is>
      </c>
      <c r="C4090" t="inlineStr">
        <is>
          <t>Föryngringsavverkning</t>
        </is>
      </c>
      <c r="D4090" s="1" t="n">
        <v>45706</v>
      </c>
      <c r="E4090" s="1" t="n">
        <v>46312</v>
      </c>
      <c r="F4090" t="inlineStr">
        <is>
          <t>SKÅNE LÄN</t>
        </is>
      </c>
      <c r="G4090" t="inlineStr">
        <is>
          <t>ÄNGELHOLM</t>
        </is>
      </c>
      <c r="I4090" t="n">
        <v>1.1</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6836-2023</t>
        </is>
      </c>
      <c r="B4091" t="inlineStr">
        <is>
          <t>avverkningsanmälan</t>
        </is>
      </c>
      <c r="C4091" t="inlineStr">
        <is>
          <t>Föryngringsavverkning</t>
        </is>
      </c>
      <c r="D4091" s="1" t="n">
        <v>44967</v>
      </c>
      <c r="E4091" s="1" t="n">
        <v>46312</v>
      </c>
      <c r="F4091" t="inlineStr">
        <is>
          <t>SKÅNE LÄN</t>
        </is>
      </c>
      <c r="G4091" t="inlineStr">
        <is>
          <t>HÄSSLEHOLM</t>
        </is>
      </c>
      <c r="I4091" t="n">
        <v>3.5</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8367-2026</t>
        </is>
      </c>
      <c r="B4092" t="inlineStr">
        <is>
          <t>avverkningsanmälan</t>
        </is>
      </c>
      <c r="C4092" t="inlineStr">
        <is>
          <t>Föryngringsavverkning</t>
        </is>
      </c>
      <c r="D4092" s="1" t="n">
        <v>46064</v>
      </c>
      <c r="E4092" s="1" t="n">
        <v>46312</v>
      </c>
      <c r="F4092" t="inlineStr">
        <is>
          <t>SKÅNE LÄN</t>
        </is>
      </c>
      <c r="G4092" t="inlineStr">
        <is>
          <t>HÄSSLEHOLM</t>
        </is>
      </c>
      <c r="I4092" t="n">
        <v>1</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6845-2023</t>
        </is>
      </c>
      <c r="B4093" t="inlineStr">
        <is>
          <t>avverkningsanmälan</t>
        </is>
      </c>
      <c r="C4093" t="inlineStr">
        <is>
          <t>Föryngringsavverkning</t>
        </is>
      </c>
      <c r="D4093" s="1" t="n">
        <v>44967</v>
      </c>
      <c r="E4093" s="1" t="n">
        <v>46312</v>
      </c>
      <c r="F4093" t="inlineStr">
        <is>
          <t>SKÅNE LÄN</t>
        </is>
      </c>
      <c r="G4093" t="inlineStr">
        <is>
          <t>HÄSSLEHOLM</t>
        </is>
      </c>
      <c r="I4093" t="n">
        <v>1.4</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38753-2026</t>
        </is>
      </c>
      <c r="B4094" t="inlineStr">
        <is>
          <t>avverkningsanmälan</t>
        </is>
      </c>
      <c r="C4094" t="inlineStr">
        <is>
          <t>Föryngringsavverkning</t>
        </is>
      </c>
      <c r="D4094" s="1" t="n">
        <v>46286</v>
      </c>
      <c r="E4094" s="1" t="n">
        <v>46312</v>
      </c>
      <c r="F4094" t="inlineStr">
        <is>
          <t>SKÅNE LÄN</t>
        </is>
      </c>
      <c r="G4094" t="inlineStr">
        <is>
          <t>HÄSSLEHOLM</t>
        </is>
      </c>
      <c r="I4094" t="n">
        <v>1.2</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34972-2023</t>
        </is>
      </c>
      <c r="B4095" t="inlineStr">
        <is>
          <t>avverkningsanmälan</t>
        </is>
      </c>
      <c r="C4095" t="inlineStr">
        <is>
          <t>Föryngringsavverkning</t>
        </is>
      </c>
      <c r="D4095" s="1" t="n">
        <v>45141</v>
      </c>
      <c r="E4095" s="1" t="n">
        <v>46312</v>
      </c>
      <c r="F4095" t="inlineStr">
        <is>
          <t>SKÅNE LÄN</t>
        </is>
      </c>
      <c r="G4095" t="inlineStr">
        <is>
          <t>OSBY</t>
        </is>
      </c>
      <c r="I4095" t="n">
        <v>2.4</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39212-2026</t>
        </is>
      </c>
      <c r="B4096" t="inlineStr">
        <is>
          <t>avverkningsanmälan</t>
        </is>
      </c>
      <c r="C4096" t="inlineStr">
        <is>
          <t>Föryngringsavverkning</t>
        </is>
      </c>
      <c r="D4096" s="1" t="n">
        <v>46287</v>
      </c>
      <c r="E4096" s="1" t="n">
        <v>46312</v>
      </c>
      <c r="F4096" t="inlineStr">
        <is>
          <t>SKÅNE LÄN</t>
        </is>
      </c>
      <c r="G4096" t="inlineStr">
        <is>
          <t>ÖRKELLJUNGA</t>
        </is>
      </c>
      <c r="I4096" t="n">
        <v>2.1</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39101-2026</t>
        </is>
      </c>
      <c r="B4097" t="inlineStr">
        <is>
          <t>avverkningsanmälan</t>
        </is>
      </c>
      <c r="C4097" t="inlineStr">
        <is>
          <t>Föryngringsavverkning</t>
        </is>
      </c>
      <c r="D4097" s="1" t="n">
        <v>46284</v>
      </c>
      <c r="E4097" s="1" t="n">
        <v>46312</v>
      </c>
      <c r="F4097" t="inlineStr">
        <is>
          <t>SKÅNE LÄN</t>
        </is>
      </c>
      <c r="G4097" t="inlineStr">
        <is>
          <t>HÄSSLEHOLM</t>
        </is>
      </c>
      <c r="I4097" t="n">
        <v>0.9</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25450-2022</t>
        </is>
      </c>
      <c r="B4098" t="inlineStr">
        <is>
          <t>avverkningsanmälan</t>
        </is>
      </c>
      <c r="C4098" t="inlineStr">
        <is>
          <t>Föryngringsavverkning</t>
        </is>
      </c>
      <c r="D4098" s="1" t="n">
        <v>44732</v>
      </c>
      <c r="E4098" s="1" t="n">
        <v>46312</v>
      </c>
      <c r="F4098" t="inlineStr">
        <is>
          <t>SKÅNE LÄN</t>
        </is>
      </c>
      <c r="G4098" t="inlineStr">
        <is>
          <t>KRISTIANSTAD</t>
        </is>
      </c>
      <c r="I4098" t="n">
        <v>5.6</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26178-2023</t>
        </is>
      </c>
      <c r="B4099" t="inlineStr">
        <is>
          <t>avverkningsanmälan</t>
        </is>
      </c>
      <c r="C4099" t="inlineStr">
        <is>
          <t>Föryngringsavverkning</t>
        </is>
      </c>
      <c r="D4099" s="1" t="n">
        <v>45091</v>
      </c>
      <c r="E4099" s="1" t="n">
        <v>46312</v>
      </c>
      <c r="F4099" t="inlineStr">
        <is>
          <t>SKÅNE LÄN</t>
        </is>
      </c>
      <c r="G4099" t="inlineStr">
        <is>
          <t>ÖRKELLJUNGA</t>
        </is>
      </c>
      <c r="I4099" t="n">
        <v>0.7</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53887-2023</t>
        </is>
      </c>
      <c r="B4100" t="inlineStr">
        <is>
          <t>avverkningsanmälan</t>
        </is>
      </c>
      <c r="C4100" t="inlineStr">
        <is>
          <t>Föryngringsavverkning</t>
        </is>
      </c>
      <c r="D4100" s="1" t="n">
        <v>45231</v>
      </c>
      <c r="E4100" s="1" t="n">
        <v>46312</v>
      </c>
      <c r="F4100" t="inlineStr">
        <is>
          <t>SKÅNE LÄN</t>
        </is>
      </c>
      <c r="G4100" t="inlineStr">
        <is>
          <t>HÄSSLEHOLM</t>
        </is>
      </c>
      <c r="I4100" t="n">
        <v>0.5</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11970-2023</t>
        </is>
      </c>
      <c r="B4101" t="inlineStr">
        <is>
          <t>avverkningsanmälan</t>
        </is>
      </c>
      <c r="C4101" t="inlineStr">
        <is>
          <t>Föryngringsavverkning</t>
        </is>
      </c>
      <c r="D4101" s="1" t="n">
        <v>44995</v>
      </c>
      <c r="E4101" s="1" t="n">
        <v>46312</v>
      </c>
      <c r="F4101" t="inlineStr">
        <is>
          <t>SKÅNE LÄN</t>
        </is>
      </c>
      <c r="G4101" t="inlineStr">
        <is>
          <t>KRISTIANSTAD</t>
        </is>
      </c>
      <c r="I4101" t="n">
        <v>0.7</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38841-2026</t>
        </is>
      </c>
      <c r="B4102" t="inlineStr">
        <is>
          <t>avverkningsanmälan</t>
        </is>
      </c>
      <c r="C4102" t="inlineStr">
        <is>
          <t>Föryngringsavverkning</t>
        </is>
      </c>
      <c r="D4102" s="1" t="n">
        <v>46286</v>
      </c>
      <c r="E4102" s="1" t="n">
        <v>46312</v>
      </c>
      <c r="F4102" t="inlineStr">
        <is>
          <t>SKÅNE LÄN</t>
        </is>
      </c>
      <c r="G4102" t="inlineStr">
        <is>
          <t>SVEDALA</t>
        </is>
      </c>
      <c r="I4102" t="n">
        <v>0.3</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38847-2026</t>
        </is>
      </c>
      <c r="B4103" t="inlineStr">
        <is>
          <t>avverkningsanmälan</t>
        </is>
      </c>
      <c r="C4103" t="inlineStr">
        <is>
          <t>Föryngringsavverkning</t>
        </is>
      </c>
      <c r="D4103" s="1" t="n">
        <v>46286</v>
      </c>
      <c r="E4103" s="1" t="n">
        <v>46312</v>
      </c>
      <c r="F4103" t="inlineStr">
        <is>
          <t>SKÅNE LÄN</t>
        </is>
      </c>
      <c r="G4103" t="inlineStr">
        <is>
          <t>SVEDALA</t>
        </is>
      </c>
      <c r="I4103" t="n">
        <v>0.4</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56759-2023</t>
        </is>
      </c>
      <c r="B4104" t="inlineStr">
        <is>
          <t>avverkningsanmälan</t>
        </is>
      </c>
      <c r="C4104" t="inlineStr">
        <is>
          <t>Föryngringsavverkning</t>
        </is>
      </c>
      <c r="D4104" s="1" t="n">
        <v>45238</v>
      </c>
      <c r="E4104" s="1" t="n">
        <v>46312</v>
      </c>
      <c r="F4104" t="inlineStr">
        <is>
          <t>SKÅNE LÄN</t>
        </is>
      </c>
      <c r="G4104" t="inlineStr">
        <is>
          <t>KLIPPAN</t>
        </is>
      </c>
      <c r="I4104" t="n">
        <v>7.4</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4301-2024</t>
        </is>
      </c>
      <c r="B4105" t="inlineStr">
        <is>
          <t>avverkningsanmälan</t>
        </is>
      </c>
      <c r="C4105" t="inlineStr">
        <is>
          <t>Föryngringsavverkning</t>
        </is>
      </c>
      <c r="D4105" s="1" t="n">
        <v>45324</v>
      </c>
      <c r="E4105" s="1" t="n">
        <v>46312</v>
      </c>
      <c r="F4105" t="inlineStr">
        <is>
          <t>SKÅNE LÄN</t>
        </is>
      </c>
      <c r="G4105" t="inlineStr">
        <is>
          <t>KLIPPAN</t>
        </is>
      </c>
      <c r="H4105" t="inlineStr">
        <is>
          <t>Övriga Aktiebolag</t>
        </is>
      </c>
      <c r="I4105" t="n">
        <v>0.5</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5028-2024</t>
        </is>
      </c>
      <c r="B4106" t="inlineStr">
        <is>
          <t>avverkningsanmälan</t>
        </is>
      </c>
      <c r="C4106" t="inlineStr">
        <is>
          <t>Föryngringsavverkning</t>
        </is>
      </c>
      <c r="D4106" s="1" t="n">
        <v>45329</v>
      </c>
      <c r="E4106" s="1" t="n">
        <v>46312</v>
      </c>
      <c r="F4106" t="inlineStr">
        <is>
          <t>SKÅNE LÄN</t>
        </is>
      </c>
      <c r="G4106" t="inlineStr">
        <is>
          <t>SIMRISHAMN</t>
        </is>
      </c>
      <c r="H4106" t="inlineStr">
        <is>
          <t>Övriga Aktiebolag</t>
        </is>
      </c>
      <c r="I4106" t="n">
        <v>4.5</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26989-2023</t>
        </is>
      </c>
      <c r="B4107" t="inlineStr">
        <is>
          <t>avverkningsanmälan</t>
        </is>
      </c>
      <c r="C4107" t="inlineStr">
        <is>
          <t>Föryngringsavverkning</t>
        </is>
      </c>
      <c r="D4107" s="1" t="n">
        <v>45093</v>
      </c>
      <c r="E4107" s="1" t="n">
        <v>46312</v>
      </c>
      <c r="F4107" t="inlineStr">
        <is>
          <t>SKÅNE LÄN</t>
        </is>
      </c>
      <c r="G4107" t="inlineStr">
        <is>
          <t>OSBY</t>
        </is>
      </c>
      <c r="I4107" t="n">
        <v>1.5</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38809-2026</t>
        </is>
      </c>
      <c r="B4108" t="inlineStr">
        <is>
          <t>avverkningsanmälan</t>
        </is>
      </c>
      <c r="C4108" t="inlineStr">
        <is>
          <t>Föryngringsavverkning</t>
        </is>
      </c>
      <c r="D4108" s="1" t="n">
        <v>46286</v>
      </c>
      <c r="E4108" s="1" t="n">
        <v>46312</v>
      </c>
      <c r="F4108" t="inlineStr">
        <is>
          <t>SKÅNE LÄN</t>
        </is>
      </c>
      <c r="G4108" t="inlineStr">
        <is>
          <t>HÄSSLEHOLM</t>
        </is>
      </c>
      <c r="I4108" t="n">
        <v>1.4</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38811-2026</t>
        </is>
      </c>
      <c r="B4109" t="inlineStr">
        <is>
          <t>avverkningsanmälan</t>
        </is>
      </c>
      <c r="C4109" t="inlineStr">
        <is>
          <t>Föryngringsavverkning</t>
        </is>
      </c>
      <c r="D4109" s="1" t="n">
        <v>46286</v>
      </c>
      <c r="E4109" s="1" t="n">
        <v>46312</v>
      </c>
      <c r="F4109" t="inlineStr">
        <is>
          <t>SKÅNE LÄN</t>
        </is>
      </c>
      <c r="G4109" t="inlineStr">
        <is>
          <t>HÄSSLEHOLM</t>
        </is>
      </c>
      <c r="I4109" t="n">
        <v>1.9</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4245-2025</t>
        </is>
      </c>
      <c r="B4110" t="inlineStr">
        <is>
          <t>avverkningsanmälan</t>
        </is>
      </c>
      <c r="C4110" t="inlineStr">
        <is>
          <t>Föryngringsavverkning</t>
        </is>
      </c>
      <c r="D4110" s="1" t="n">
        <v>45685</v>
      </c>
      <c r="E4110" s="1" t="n">
        <v>46312</v>
      </c>
      <c r="F4110" t="inlineStr">
        <is>
          <t>SKÅNE LÄN</t>
        </is>
      </c>
      <c r="G4110" t="inlineStr">
        <is>
          <t>HÖÖR</t>
        </is>
      </c>
      <c r="I4110" t="n">
        <v>0.3</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21329-2023</t>
        </is>
      </c>
      <c r="B4111" t="inlineStr">
        <is>
          <t>avverkningsanmälan</t>
        </is>
      </c>
      <c r="C4111" t="inlineStr">
        <is>
          <t>Föryngringsavverkning</t>
        </is>
      </c>
      <c r="D4111" s="1" t="n">
        <v>45062</v>
      </c>
      <c r="E4111" s="1" t="n">
        <v>46312</v>
      </c>
      <c r="F4111" t="inlineStr">
        <is>
          <t>SKÅNE LÄN</t>
        </is>
      </c>
      <c r="G4111" t="inlineStr">
        <is>
          <t>HÄSSLEHOLM</t>
        </is>
      </c>
      <c r="I4111" t="n">
        <v>1.1</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38486-2024</t>
        </is>
      </c>
      <c r="B4112" t="inlineStr">
        <is>
          <t>avverkningsanmälan</t>
        </is>
      </c>
      <c r="C4112" t="inlineStr">
        <is>
          <t>Föryngringsavverkning</t>
        </is>
      </c>
      <c r="D4112" s="1" t="n">
        <v>45546</v>
      </c>
      <c r="E4112" s="1" t="n">
        <v>46312</v>
      </c>
      <c r="F4112" t="inlineStr">
        <is>
          <t>SKÅNE LÄN</t>
        </is>
      </c>
      <c r="G4112" t="inlineStr">
        <is>
          <t>OSBY</t>
        </is>
      </c>
      <c r="I4112" t="n">
        <v>4.5</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6968-2022</t>
        </is>
      </c>
      <c r="B4113" t="inlineStr">
        <is>
          <t>avverkningsanmälan</t>
        </is>
      </c>
      <c r="C4113" t="inlineStr">
        <is>
          <t>Föryngringsavverkning</t>
        </is>
      </c>
      <c r="D4113" s="1" t="n">
        <v>44603</v>
      </c>
      <c r="E4113" s="1" t="n">
        <v>46312</v>
      </c>
      <c r="F4113" t="inlineStr">
        <is>
          <t>SKÅNE LÄN</t>
        </is>
      </c>
      <c r="G4113" t="inlineStr">
        <is>
          <t>OSBY</t>
        </is>
      </c>
      <c r="I4113" t="n">
        <v>1</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32156-2023</t>
        </is>
      </c>
      <c r="B4114" t="inlineStr">
        <is>
          <t>avverkningsanmälan</t>
        </is>
      </c>
      <c r="C4114" t="inlineStr">
        <is>
          <t>Föryngringsavverkning</t>
        </is>
      </c>
      <c r="D4114" s="1" t="n">
        <v>45106</v>
      </c>
      <c r="E4114" s="1" t="n">
        <v>46312</v>
      </c>
      <c r="F4114" t="inlineStr">
        <is>
          <t>SKÅNE LÄN</t>
        </is>
      </c>
      <c r="G4114" t="inlineStr">
        <is>
          <t>KRISTIANSTAD</t>
        </is>
      </c>
      <c r="I4114" t="n">
        <v>1.3</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5853-2022</t>
        </is>
      </c>
      <c r="B4115" t="inlineStr">
        <is>
          <t>avverkningsanmälan</t>
        </is>
      </c>
      <c r="C4115" t="inlineStr">
        <is>
          <t>Föryngringsavverkning</t>
        </is>
      </c>
      <c r="D4115" s="1" t="n">
        <v>44596</v>
      </c>
      <c r="E4115" s="1" t="n">
        <v>46312</v>
      </c>
      <c r="F4115" t="inlineStr">
        <is>
          <t>SKÅNE LÄN</t>
        </is>
      </c>
      <c r="G4115" t="inlineStr">
        <is>
          <t>KRISTIANSTAD</t>
        </is>
      </c>
      <c r="I4115" t="n">
        <v>5.5</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51577-2023</t>
        </is>
      </c>
      <c r="B4116" t="inlineStr">
        <is>
          <t>avverkningsanmälan</t>
        </is>
      </c>
      <c r="C4116" t="inlineStr">
        <is>
          <t>Föryngringsavverkning</t>
        </is>
      </c>
      <c r="D4116" s="1" t="n">
        <v>45222</v>
      </c>
      <c r="E4116" s="1" t="n">
        <v>46312</v>
      </c>
      <c r="F4116" t="inlineStr">
        <is>
          <t>SKÅNE LÄN</t>
        </is>
      </c>
      <c r="G4116" t="inlineStr">
        <is>
          <t>ÖRKELLJUNGA</t>
        </is>
      </c>
      <c r="I4116" t="n">
        <v>1.8</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24020-2023</t>
        </is>
      </c>
      <c r="B4117" t="inlineStr">
        <is>
          <t>avverkningsanmälan</t>
        </is>
      </c>
      <c r="C4117" t="inlineStr">
        <is>
          <t>Föryngringsavverkning</t>
        </is>
      </c>
      <c r="D4117" s="1" t="n">
        <v>45078</v>
      </c>
      <c r="E4117" s="1" t="n">
        <v>46312</v>
      </c>
      <c r="F4117" t="inlineStr">
        <is>
          <t>SKÅNE LÄN</t>
        </is>
      </c>
      <c r="G4117" t="inlineStr">
        <is>
          <t>ÖSTRA GÖINGE</t>
        </is>
      </c>
      <c r="I4117" t="n">
        <v>2.7</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18800-2023</t>
        </is>
      </c>
      <c r="B4118" t="inlineStr">
        <is>
          <t>avverkningsanmälan</t>
        </is>
      </c>
      <c r="C4118" t="inlineStr">
        <is>
          <t>Föryngringsavverkning</t>
        </is>
      </c>
      <c r="D4118" s="1" t="n">
        <v>45044</v>
      </c>
      <c r="E4118" s="1" t="n">
        <v>46312</v>
      </c>
      <c r="F4118" t="inlineStr">
        <is>
          <t>SKÅNE LÄN</t>
        </is>
      </c>
      <c r="G4118" t="inlineStr">
        <is>
          <t>HÄSSLEHOLM</t>
        </is>
      </c>
      <c r="I4118" t="n">
        <v>1.1</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6589-2025</t>
        </is>
      </c>
      <c r="B4119" t="inlineStr">
        <is>
          <t>avverkningsanmälan</t>
        </is>
      </c>
      <c r="C4119" t="inlineStr">
        <is>
          <t>Föryngringsavverkning</t>
        </is>
      </c>
      <c r="D4119" s="1" t="n">
        <v>45700</v>
      </c>
      <c r="E4119" s="1" t="n">
        <v>46312</v>
      </c>
      <c r="F4119" t="inlineStr">
        <is>
          <t>SKÅNE LÄN</t>
        </is>
      </c>
      <c r="G4119" t="inlineStr">
        <is>
          <t>HÖÖR</t>
        </is>
      </c>
      <c r="I4119" t="n">
        <v>0.5</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32955-2026</t>
        </is>
      </c>
      <c r="B4120" t="inlineStr">
        <is>
          <t>avverkningsanmälan</t>
        </is>
      </c>
      <c r="C4120" t="inlineStr">
        <is>
          <t>Föryngringsavverkning</t>
        </is>
      </c>
      <c r="D4120" s="1" t="n">
        <v>46244</v>
      </c>
      <c r="E4120" s="1" t="n">
        <v>46312</v>
      </c>
      <c r="F4120" t="inlineStr">
        <is>
          <t>SKÅNE LÄN</t>
        </is>
      </c>
      <c r="G4120" t="inlineStr">
        <is>
          <t>TOMELILLA</t>
        </is>
      </c>
      <c r="I4120" t="n">
        <v>6</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38990-2026</t>
        </is>
      </c>
      <c r="B4121" t="inlineStr">
        <is>
          <t>avverkningsanmälan</t>
        </is>
      </c>
      <c r="C4121" t="inlineStr">
        <is>
          <t>Föryngringsavverkning</t>
        </is>
      </c>
      <c r="D4121" s="1" t="n">
        <v>46287</v>
      </c>
      <c r="E4121" s="1" t="n">
        <v>46312</v>
      </c>
      <c r="F4121" t="inlineStr">
        <is>
          <t>SKÅNE LÄN</t>
        </is>
      </c>
      <c r="G4121" t="inlineStr">
        <is>
          <t>SJÖBO</t>
        </is>
      </c>
      <c r="H4121" t="inlineStr">
        <is>
          <t>Sveaskog</t>
        </is>
      </c>
      <c r="I4121" t="n">
        <v>0.9</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38954-2026</t>
        </is>
      </c>
      <c r="B4122" t="inlineStr">
        <is>
          <t>avverkningsanmälan</t>
        </is>
      </c>
      <c r="C4122" t="inlineStr">
        <is>
          <t>Föryngringsavverkning</t>
        </is>
      </c>
      <c r="D4122" s="1" t="n">
        <v>46282</v>
      </c>
      <c r="E4122" s="1" t="n">
        <v>46312</v>
      </c>
      <c r="F4122" t="inlineStr">
        <is>
          <t>SKÅNE LÄN</t>
        </is>
      </c>
      <c r="G4122" t="inlineStr">
        <is>
          <t>ÖRKELLJUNGA</t>
        </is>
      </c>
      <c r="I4122" t="n">
        <v>1.2</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22202-2023</t>
        </is>
      </c>
      <c r="B4123" t="inlineStr">
        <is>
          <t>avverkningsanmälan</t>
        </is>
      </c>
      <c r="C4123" t="inlineStr">
        <is>
          <t>Föryngringsavverkning</t>
        </is>
      </c>
      <c r="D4123" s="1" t="n">
        <v>45069</v>
      </c>
      <c r="E4123" s="1" t="n">
        <v>46312</v>
      </c>
      <c r="F4123" t="inlineStr">
        <is>
          <t>SKÅNE LÄN</t>
        </is>
      </c>
      <c r="G4123" t="inlineStr">
        <is>
          <t>KLIPPAN</t>
        </is>
      </c>
      <c r="I4123" t="n">
        <v>7.5</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32430-2023</t>
        </is>
      </c>
      <c r="B4124" t="inlineStr">
        <is>
          <t>avverkningsanmälan</t>
        </is>
      </c>
      <c r="C4124" t="inlineStr">
        <is>
          <t>Föryngringsavverkning</t>
        </is>
      </c>
      <c r="D4124" s="1" t="n">
        <v>45120</v>
      </c>
      <c r="E4124" s="1" t="n">
        <v>46312</v>
      </c>
      <c r="F4124" t="inlineStr">
        <is>
          <t>SKÅNE LÄN</t>
        </is>
      </c>
      <c r="G4124" t="inlineStr">
        <is>
          <t>ÄNGELHOLM</t>
        </is>
      </c>
      <c r="I4124" t="n">
        <v>0.9</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38719-2026</t>
        </is>
      </c>
      <c r="B4125" t="inlineStr">
        <is>
          <t>avverkningsanmälan</t>
        </is>
      </c>
      <c r="C4125" t="inlineStr">
        <is>
          <t>Föryngringsavverkning</t>
        </is>
      </c>
      <c r="D4125" s="1" t="n">
        <v>46284</v>
      </c>
      <c r="E4125" s="1" t="n">
        <v>46312</v>
      </c>
      <c r="F4125" t="inlineStr">
        <is>
          <t>SKÅNE LÄN</t>
        </is>
      </c>
      <c r="G4125" t="inlineStr">
        <is>
          <t>KRISTIANSTAD</t>
        </is>
      </c>
      <c r="H4125" t="inlineStr">
        <is>
          <t>Sveaskog</t>
        </is>
      </c>
      <c r="I4125" t="n">
        <v>8</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39048-2026</t>
        </is>
      </c>
      <c r="B4126" t="inlineStr">
        <is>
          <t>avverkningsanmälan</t>
        </is>
      </c>
      <c r="C4126" t="inlineStr">
        <is>
          <t>Föryngringsavverkning</t>
        </is>
      </c>
      <c r="D4126" s="1" t="n">
        <v>46283</v>
      </c>
      <c r="E4126" s="1" t="n">
        <v>46312</v>
      </c>
      <c r="F4126" t="inlineStr">
        <is>
          <t>SKÅNE LÄN</t>
        </is>
      </c>
      <c r="G4126" t="inlineStr">
        <is>
          <t>HÄSSLEHOLM</t>
        </is>
      </c>
      <c r="I4126" t="n">
        <v>1.2</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497-2023</t>
        </is>
      </c>
      <c r="B4127" t="inlineStr">
        <is>
          <t>avverkningsanmälan</t>
        </is>
      </c>
      <c r="C4127" t="inlineStr">
        <is>
          <t>Föryngringsavverkning</t>
        </is>
      </c>
      <c r="D4127" s="1" t="n">
        <v>44930</v>
      </c>
      <c r="E4127" s="1" t="n">
        <v>46312</v>
      </c>
      <c r="F4127" t="inlineStr">
        <is>
          <t>SKÅNE LÄN</t>
        </is>
      </c>
      <c r="G4127" t="inlineStr">
        <is>
          <t>SVALÖV</t>
        </is>
      </c>
      <c r="I4127" t="n">
        <v>0.8</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61011-2023</t>
        </is>
      </c>
      <c r="B4128" t="inlineStr">
        <is>
          <t>avverkningsanmälan</t>
        </is>
      </c>
      <c r="C4128" t="inlineStr">
        <is>
          <t>Föryngringsavverkning</t>
        </is>
      </c>
      <c r="D4128" s="1" t="n">
        <v>45261</v>
      </c>
      <c r="E4128" s="1" t="n">
        <v>46312</v>
      </c>
      <c r="F4128" t="inlineStr">
        <is>
          <t>SKÅNE LÄN</t>
        </is>
      </c>
      <c r="G4128" t="inlineStr">
        <is>
          <t>HÖÖR</t>
        </is>
      </c>
      <c r="I4128" t="n">
        <v>0.6</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11272-2023</t>
        </is>
      </c>
      <c r="B4129" t="inlineStr">
        <is>
          <t>avverkningsanmälan</t>
        </is>
      </c>
      <c r="C4129" t="inlineStr">
        <is>
          <t>Föryngringsavverkning</t>
        </is>
      </c>
      <c r="D4129" s="1" t="n">
        <v>44992</v>
      </c>
      <c r="E4129" s="1" t="n">
        <v>46312</v>
      </c>
      <c r="F4129" t="inlineStr">
        <is>
          <t>SKÅNE LÄN</t>
        </is>
      </c>
      <c r="G4129" t="inlineStr">
        <is>
          <t>KRISTIANSTAD</t>
        </is>
      </c>
      <c r="I4129" t="n">
        <v>1.6</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38906-2026</t>
        </is>
      </c>
      <c r="B4130" t="inlineStr">
        <is>
          <t>avverkningsanmälan</t>
        </is>
      </c>
      <c r="C4130" t="inlineStr">
        <is>
          <t>Föryngringsavverkning</t>
        </is>
      </c>
      <c r="D4130" s="1" t="n">
        <v>46286</v>
      </c>
      <c r="E4130" s="1" t="n">
        <v>46312</v>
      </c>
      <c r="F4130" t="inlineStr">
        <is>
          <t>SKÅNE LÄN</t>
        </is>
      </c>
      <c r="G4130" t="inlineStr">
        <is>
          <t>HÖRBY</t>
        </is>
      </c>
      <c r="H4130" t="inlineStr">
        <is>
          <t>Sveaskog</t>
        </is>
      </c>
      <c r="I4130" t="n">
        <v>3.1</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38944-2026</t>
        </is>
      </c>
      <c r="B4131" t="inlineStr">
        <is>
          <t>avverkningsanmälan</t>
        </is>
      </c>
      <c r="C4131" t="inlineStr">
        <is>
          <t>Föryngringsavverkning</t>
        </is>
      </c>
      <c r="D4131" s="1" t="n">
        <v>46286</v>
      </c>
      <c r="E4131" s="1" t="n">
        <v>46312</v>
      </c>
      <c r="F4131" t="inlineStr">
        <is>
          <t>SKÅNE LÄN</t>
        </is>
      </c>
      <c r="G4131" t="inlineStr">
        <is>
          <t>SJÖBO</t>
        </is>
      </c>
      <c r="H4131" t="inlineStr">
        <is>
          <t>Sveaskog</t>
        </is>
      </c>
      <c r="I4131" t="n">
        <v>0.7</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49228-2023</t>
        </is>
      </c>
      <c r="B4132" t="inlineStr">
        <is>
          <t>avverkningsanmälan</t>
        </is>
      </c>
      <c r="C4132" t="inlineStr">
        <is>
          <t>Föryngringsavverkning</t>
        </is>
      </c>
      <c r="D4132" s="1" t="n">
        <v>45210</v>
      </c>
      <c r="E4132" s="1" t="n">
        <v>46312</v>
      </c>
      <c r="F4132" t="inlineStr">
        <is>
          <t>SKÅNE LÄN</t>
        </is>
      </c>
      <c r="G4132" t="inlineStr">
        <is>
          <t>ÖSTRA GÖINGE</t>
        </is>
      </c>
      <c r="I4132" t="n">
        <v>3.5</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38725-2026</t>
        </is>
      </c>
      <c r="B4133" t="inlineStr">
        <is>
          <t>avverkningsanmälan</t>
        </is>
      </c>
      <c r="C4133" t="inlineStr">
        <is>
          <t>Avverkning för annat ändamål</t>
        </is>
      </c>
      <c r="D4133" s="1" t="n">
        <v>46285</v>
      </c>
      <c r="E4133" s="1" t="n">
        <v>46312</v>
      </c>
      <c r="F4133" t="inlineStr">
        <is>
          <t>SKÅNE LÄN</t>
        </is>
      </c>
      <c r="G4133" t="inlineStr">
        <is>
          <t>SJÖBO</t>
        </is>
      </c>
      <c r="I4133" t="n">
        <v>1.7</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38173-2023</t>
        </is>
      </c>
      <c r="B4134" t="inlineStr">
        <is>
          <t>avverkningsanmälan</t>
        </is>
      </c>
      <c r="C4134" t="inlineStr">
        <is>
          <t>Föryngringsavverkning</t>
        </is>
      </c>
      <c r="D4134" s="1" t="n">
        <v>45161</v>
      </c>
      <c r="E4134" s="1" t="n">
        <v>46312</v>
      </c>
      <c r="F4134" t="inlineStr">
        <is>
          <t>SKÅNE LÄN</t>
        </is>
      </c>
      <c r="G4134" t="inlineStr">
        <is>
          <t>ESLÖV</t>
        </is>
      </c>
      <c r="I4134" t="n">
        <v>2.8</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63029-2023</t>
        </is>
      </c>
      <c r="B4135" t="inlineStr">
        <is>
          <t>avverkningsanmälan</t>
        </is>
      </c>
      <c r="C4135" t="inlineStr">
        <is>
          <t>Föryngringsavverkning</t>
        </is>
      </c>
      <c r="D4135" s="1" t="n">
        <v>45272</v>
      </c>
      <c r="E4135" s="1" t="n">
        <v>46312</v>
      </c>
      <c r="F4135" t="inlineStr">
        <is>
          <t>SKÅNE LÄN</t>
        </is>
      </c>
      <c r="G4135" t="inlineStr">
        <is>
          <t>ÖRKELLJUNGA</t>
        </is>
      </c>
      <c r="I4135" t="n">
        <v>2</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58284-2023</t>
        </is>
      </c>
      <c r="B4136" t="inlineStr">
        <is>
          <t>avverkningsanmälan</t>
        </is>
      </c>
      <c r="C4136" t="inlineStr">
        <is>
          <t>Föryngringsavverkning</t>
        </is>
      </c>
      <c r="D4136" s="1" t="n">
        <v>45250</v>
      </c>
      <c r="E4136" s="1" t="n">
        <v>46312</v>
      </c>
      <c r="F4136" t="inlineStr">
        <is>
          <t>SKÅNE LÄN</t>
        </is>
      </c>
      <c r="G4136" t="inlineStr">
        <is>
          <t>ÖRKELLJUNGA</t>
        </is>
      </c>
      <c r="I4136" t="n">
        <v>0.3</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39060-2026</t>
        </is>
      </c>
      <c r="B4137" t="inlineStr">
        <is>
          <t>avverkningsanmälan</t>
        </is>
      </c>
      <c r="C4137" t="inlineStr">
        <is>
          <t>Föryngringsavverkning</t>
        </is>
      </c>
      <c r="D4137" s="1" t="n">
        <v>46287</v>
      </c>
      <c r="E4137" s="1" t="n">
        <v>46312</v>
      </c>
      <c r="F4137" t="inlineStr">
        <is>
          <t>SKÅNE LÄN</t>
        </is>
      </c>
      <c r="G4137" t="inlineStr">
        <is>
          <t>KLIPPAN</t>
        </is>
      </c>
      <c r="I4137" t="n">
        <v>1</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25077-2024</t>
        </is>
      </c>
      <c r="B4138" t="inlineStr">
        <is>
          <t>avverkningsanmälan</t>
        </is>
      </c>
      <c r="C4138" t="inlineStr">
        <is>
          <t>Föryngringsavverkning</t>
        </is>
      </c>
      <c r="D4138" s="1" t="n">
        <v>45462</v>
      </c>
      <c r="E4138" s="1" t="n">
        <v>46312</v>
      </c>
      <c r="F4138" t="inlineStr">
        <is>
          <t>SKÅNE LÄN</t>
        </is>
      </c>
      <c r="G4138" t="inlineStr">
        <is>
          <t>HÄSSLEHOLM</t>
        </is>
      </c>
      <c r="I4138" t="n">
        <v>1.6</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39228-2026</t>
        </is>
      </c>
      <c r="B4139" t="inlineStr">
        <is>
          <t>avverkningsanmälan</t>
        </is>
      </c>
      <c r="C4139" t="inlineStr">
        <is>
          <t>Föryngringsavverkning</t>
        </is>
      </c>
      <c r="D4139" s="1" t="n">
        <v>46287</v>
      </c>
      <c r="E4139" s="1" t="n">
        <v>46312</v>
      </c>
      <c r="F4139" t="inlineStr">
        <is>
          <t>SKÅNE LÄN</t>
        </is>
      </c>
      <c r="G4139" t="inlineStr">
        <is>
          <t>ÖRKELLJUNGA</t>
        </is>
      </c>
      <c r="I4139" t="n">
        <v>1.5</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39229-2026</t>
        </is>
      </c>
      <c r="B4140" t="inlineStr">
        <is>
          <t>avverkningsanmälan</t>
        </is>
      </c>
      <c r="C4140" t="inlineStr">
        <is>
          <t>Föryngringsavverkning</t>
        </is>
      </c>
      <c r="D4140" s="1" t="n">
        <v>46287</v>
      </c>
      <c r="E4140" s="1" t="n">
        <v>46312</v>
      </c>
      <c r="F4140" t="inlineStr">
        <is>
          <t>SKÅNE LÄN</t>
        </is>
      </c>
      <c r="G4140" t="inlineStr">
        <is>
          <t>KRISTIANSTAD</t>
        </is>
      </c>
      <c r="H4140" t="inlineStr">
        <is>
          <t>Sveaskog</t>
        </is>
      </c>
      <c r="I4140" t="n">
        <v>1.6</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39152-2026</t>
        </is>
      </c>
      <c r="B4141" t="inlineStr">
        <is>
          <t>avverkningsanmälan</t>
        </is>
      </c>
      <c r="C4141" t="inlineStr">
        <is>
          <t>Föryngringsavverkning</t>
        </is>
      </c>
      <c r="D4141" s="1" t="n">
        <v>46287</v>
      </c>
      <c r="E4141" s="1" t="n">
        <v>46312</v>
      </c>
      <c r="F4141" t="inlineStr">
        <is>
          <t>SKÅNE LÄN</t>
        </is>
      </c>
      <c r="G4141" t="inlineStr">
        <is>
          <t>ÖSTRA GÖINGE</t>
        </is>
      </c>
      <c r="I4141" t="n">
        <v>4.6</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13344-2023</t>
        </is>
      </c>
      <c r="B4142" t="inlineStr">
        <is>
          <t>avverkningsanmälan</t>
        </is>
      </c>
      <c r="C4142" t="inlineStr">
        <is>
          <t>Avverkning för annat ändamål</t>
        </is>
      </c>
      <c r="D4142" s="1" t="n">
        <v>45005</v>
      </c>
      <c r="E4142" s="1" t="n">
        <v>46312</v>
      </c>
      <c r="F4142" t="inlineStr">
        <is>
          <t>SKÅNE LÄN</t>
        </is>
      </c>
      <c r="G4142" t="inlineStr">
        <is>
          <t>SVEDALA</t>
        </is>
      </c>
      <c r="I4142" t="n">
        <v>1.1</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29436-2024</t>
        </is>
      </c>
      <c r="B4143" t="inlineStr">
        <is>
          <t>avverkningsanmälan</t>
        </is>
      </c>
      <c r="C4143" t="inlineStr">
        <is>
          <t>Föryngringsavverkning</t>
        </is>
      </c>
      <c r="D4143" s="1" t="n">
        <v>45483</v>
      </c>
      <c r="E4143" s="1" t="n">
        <v>46312</v>
      </c>
      <c r="F4143" t="inlineStr">
        <is>
          <t>SKÅNE LÄN</t>
        </is>
      </c>
      <c r="G4143" t="inlineStr">
        <is>
          <t>ÄNGELHOLM</t>
        </is>
      </c>
      <c r="I4143" t="n">
        <v>4.2</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22535-2024</t>
        </is>
      </c>
      <c r="B4144" t="inlineStr">
        <is>
          <t>avverkningsanmälan</t>
        </is>
      </c>
      <c r="C4144" t="inlineStr">
        <is>
          <t>Föryngringsavverkning</t>
        </is>
      </c>
      <c r="D4144" s="1" t="n">
        <v>45447</v>
      </c>
      <c r="E4144" s="1" t="n">
        <v>46312</v>
      </c>
      <c r="F4144" t="inlineStr">
        <is>
          <t>SKÅNE LÄN</t>
        </is>
      </c>
      <c r="G4144" t="inlineStr">
        <is>
          <t>HÄSSLEHOLM</t>
        </is>
      </c>
      <c r="I4144" t="n">
        <v>0.9</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11048-2025</t>
        </is>
      </c>
      <c r="B4145" t="inlineStr">
        <is>
          <t>avverkningsanmälan</t>
        </is>
      </c>
      <c r="C4145" t="inlineStr">
        <is>
          <t>Föryngringsavverkning</t>
        </is>
      </c>
      <c r="D4145" s="1" t="n">
        <v>45723</v>
      </c>
      <c r="E4145" s="1" t="n">
        <v>46312</v>
      </c>
      <c r="F4145" t="inlineStr">
        <is>
          <t>SKÅNE LÄN</t>
        </is>
      </c>
      <c r="G4145" t="inlineStr">
        <is>
          <t>OSBY</t>
        </is>
      </c>
      <c r="I4145" t="n">
        <v>0.6</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15060-2023</t>
        </is>
      </c>
      <c r="B4146" t="inlineStr">
        <is>
          <t>avverkningsanmälan</t>
        </is>
      </c>
      <c r="C4146" t="inlineStr">
        <is>
          <t>Föryngringsavverkning</t>
        </is>
      </c>
      <c r="D4146" s="1" t="n">
        <v>45015</v>
      </c>
      <c r="E4146" s="1" t="n">
        <v>46312</v>
      </c>
      <c r="F4146" t="inlineStr">
        <is>
          <t>SKÅNE LÄN</t>
        </is>
      </c>
      <c r="G4146" t="inlineStr">
        <is>
          <t>HÄSSLEHOLM</t>
        </is>
      </c>
      <c r="I4146" t="n">
        <v>1.7</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32849-2026</t>
        </is>
      </c>
      <c r="B4147" t="inlineStr">
        <is>
          <t>avverkningsanmälan</t>
        </is>
      </c>
      <c r="C4147" t="inlineStr">
        <is>
          <t>Föryngringsavverkning</t>
        </is>
      </c>
      <c r="D4147" s="1" t="n">
        <v>46244</v>
      </c>
      <c r="E4147" s="1" t="n">
        <v>46312</v>
      </c>
      <c r="F4147" t="inlineStr">
        <is>
          <t>SKÅNE LÄN</t>
        </is>
      </c>
      <c r="G4147" t="inlineStr">
        <is>
          <t>KRISTIANSTAD</t>
        </is>
      </c>
      <c r="I4147" t="n">
        <v>1.2</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48181-2024</t>
        </is>
      </c>
      <c r="B4148" t="inlineStr">
        <is>
          <t>avverkningsanmälan</t>
        </is>
      </c>
      <c r="C4148" t="inlineStr">
        <is>
          <t>Föryngringsavverkning</t>
        </is>
      </c>
      <c r="D4148" s="1" t="n">
        <v>45589</v>
      </c>
      <c r="E4148" s="1" t="n">
        <v>46312</v>
      </c>
      <c r="F4148" t="inlineStr">
        <is>
          <t>SKÅNE LÄN</t>
        </is>
      </c>
      <c r="G4148" t="inlineStr">
        <is>
          <t>BÅSTAD</t>
        </is>
      </c>
      <c r="I4148" t="n">
        <v>0.7</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4787-2023</t>
        </is>
      </c>
      <c r="B4149" t="inlineStr">
        <is>
          <t>avverkningsanmälan</t>
        </is>
      </c>
      <c r="C4149" t="inlineStr">
        <is>
          <t>Föryngringsavverkning</t>
        </is>
      </c>
      <c r="D4149" s="1" t="n">
        <v>44957</v>
      </c>
      <c r="E4149" s="1" t="n">
        <v>46312</v>
      </c>
      <c r="F4149" t="inlineStr">
        <is>
          <t>SKÅNE LÄN</t>
        </is>
      </c>
      <c r="G4149" t="inlineStr">
        <is>
          <t>HÄSSLEHOLM</t>
        </is>
      </c>
      <c r="I4149" t="n">
        <v>0.5</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4788-2023</t>
        </is>
      </c>
      <c r="B4150" t="inlineStr">
        <is>
          <t>avverkningsanmälan</t>
        </is>
      </c>
      <c r="C4150" t="inlineStr">
        <is>
          <t>Föryngringsavverkning</t>
        </is>
      </c>
      <c r="D4150" s="1" t="n">
        <v>44957</v>
      </c>
      <c r="E4150" s="1" t="n">
        <v>46312</v>
      </c>
      <c r="F4150" t="inlineStr">
        <is>
          <t>SKÅNE LÄN</t>
        </is>
      </c>
      <c r="G4150" t="inlineStr">
        <is>
          <t>HÄSSLEHOLM</t>
        </is>
      </c>
      <c r="I4150" t="n">
        <v>0.5</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20012-2022</t>
        </is>
      </c>
      <c r="B4151" t="inlineStr">
        <is>
          <t>avverkningsanmälan</t>
        </is>
      </c>
      <c r="C4151" t="inlineStr">
        <is>
          <t>Föryngringsavverkning</t>
        </is>
      </c>
      <c r="D4151" s="1" t="n">
        <v>44697</v>
      </c>
      <c r="E4151" s="1" t="n">
        <v>46312</v>
      </c>
      <c r="F4151" t="inlineStr">
        <is>
          <t>SKÅNE LÄN</t>
        </is>
      </c>
      <c r="G4151" t="inlineStr">
        <is>
          <t>KLIPPAN</t>
        </is>
      </c>
      <c r="I4151" t="n">
        <v>17.2</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34348-2022</t>
        </is>
      </c>
      <c r="B4152" t="inlineStr">
        <is>
          <t>avverkningsanmälan</t>
        </is>
      </c>
      <c r="C4152" t="inlineStr">
        <is>
          <t>Föryngringsavverkning</t>
        </is>
      </c>
      <c r="D4152" s="1" t="n">
        <v>44792</v>
      </c>
      <c r="E4152" s="1" t="n">
        <v>46312</v>
      </c>
      <c r="F4152" t="inlineStr">
        <is>
          <t>SKÅNE LÄN</t>
        </is>
      </c>
      <c r="G4152" t="inlineStr">
        <is>
          <t>HÄSSLEHOLM</t>
        </is>
      </c>
      <c r="I4152" t="n">
        <v>0.5</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40584-2022</t>
        </is>
      </c>
      <c r="B4153" t="inlineStr">
        <is>
          <t>avverkningsanmälan</t>
        </is>
      </c>
      <c r="C4153" t="inlineStr">
        <is>
          <t>Föryngringsavverkning</t>
        </is>
      </c>
      <c r="D4153" s="1" t="n">
        <v>44823</v>
      </c>
      <c r="E4153" s="1" t="n">
        <v>46312</v>
      </c>
      <c r="F4153" t="inlineStr">
        <is>
          <t>SKÅNE LÄN</t>
        </is>
      </c>
      <c r="G4153" t="inlineStr">
        <is>
          <t>OSBY</t>
        </is>
      </c>
      <c r="I4153" t="n">
        <v>2</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45399-2022</t>
        </is>
      </c>
      <c r="B4154" t="inlineStr">
        <is>
          <t>avverkningsanmälan</t>
        </is>
      </c>
      <c r="C4154" t="inlineStr">
        <is>
          <t>Föryngringsavverkning</t>
        </is>
      </c>
      <c r="D4154" s="1" t="n">
        <v>44844</v>
      </c>
      <c r="E4154" s="1" t="n">
        <v>46312</v>
      </c>
      <c r="F4154" t="inlineStr">
        <is>
          <t>SKÅNE LÄN</t>
        </is>
      </c>
      <c r="G4154" t="inlineStr">
        <is>
          <t>HÄSSLEHOLM</t>
        </is>
      </c>
      <c r="I4154" t="n">
        <v>0</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35640-2023</t>
        </is>
      </c>
      <c r="B4155" t="inlineStr">
        <is>
          <t>avverkningsanmälan</t>
        </is>
      </c>
      <c r="C4155" t="inlineStr">
        <is>
          <t>Föryngringsavverkning</t>
        </is>
      </c>
      <c r="D4155" s="1" t="n">
        <v>45147</v>
      </c>
      <c r="E4155" s="1" t="n">
        <v>46312</v>
      </c>
      <c r="F4155" t="inlineStr">
        <is>
          <t>SKÅNE LÄN</t>
        </is>
      </c>
      <c r="G4155" t="inlineStr">
        <is>
          <t>HÄSSLEHOLM</t>
        </is>
      </c>
      <c r="I4155" t="n">
        <v>0.7</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39230-2026</t>
        </is>
      </c>
      <c r="B4156" t="inlineStr">
        <is>
          <t>avverkningsanmälan</t>
        </is>
      </c>
      <c r="C4156" t="inlineStr">
        <is>
          <t>Föryngringsavverkning</t>
        </is>
      </c>
      <c r="D4156" s="1" t="n">
        <v>46287</v>
      </c>
      <c r="E4156" s="1" t="n">
        <v>46312</v>
      </c>
      <c r="F4156" t="inlineStr">
        <is>
          <t>SKÅNE LÄN</t>
        </is>
      </c>
      <c r="G4156" t="inlineStr">
        <is>
          <t>KRISTIANSTAD</t>
        </is>
      </c>
      <c r="H4156" t="inlineStr">
        <is>
          <t>Sveaskog</t>
        </is>
      </c>
      <c r="I4156" t="n">
        <v>1.1</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57839-2024</t>
        </is>
      </c>
      <c r="B4157" t="inlineStr">
        <is>
          <t>avverkningsanmälan</t>
        </is>
      </c>
      <c r="C4157" t="inlineStr">
        <is>
          <t>Föryngringsavverkning</t>
        </is>
      </c>
      <c r="D4157" s="1" t="n">
        <v>45630</v>
      </c>
      <c r="E4157" s="1" t="n">
        <v>46312</v>
      </c>
      <c r="F4157" t="inlineStr">
        <is>
          <t>SKÅNE LÄN</t>
        </is>
      </c>
      <c r="G4157" t="inlineStr">
        <is>
          <t>OSBY</t>
        </is>
      </c>
      <c r="I4157" t="n">
        <v>1.8</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2681-2024</t>
        </is>
      </c>
      <c r="B4158" t="inlineStr">
        <is>
          <t>avverkningsanmälan</t>
        </is>
      </c>
      <c r="C4158" t="inlineStr">
        <is>
          <t>Föryngringsavverkning</t>
        </is>
      </c>
      <c r="D4158" s="1" t="n">
        <v>45314</v>
      </c>
      <c r="E4158" s="1" t="n">
        <v>46312</v>
      </c>
      <c r="F4158" t="inlineStr">
        <is>
          <t>SKÅNE LÄN</t>
        </is>
      </c>
      <c r="G4158" t="inlineStr">
        <is>
          <t>HÄSSLEHOLM</t>
        </is>
      </c>
      <c r="H4158" t="inlineStr">
        <is>
          <t>Övriga Aktiebolag</t>
        </is>
      </c>
      <c r="I4158" t="n">
        <v>1.4</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8382-2022</t>
        </is>
      </c>
      <c r="B4159" t="inlineStr">
        <is>
          <t>avverkningsanmälan</t>
        </is>
      </c>
      <c r="C4159" t="inlineStr">
        <is>
          <t>Föryngringsavverkning</t>
        </is>
      </c>
      <c r="D4159" s="1" t="n">
        <v>44610</v>
      </c>
      <c r="E4159" s="1" t="n">
        <v>46312</v>
      </c>
      <c r="F4159" t="inlineStr">
        <is>
          <t>SKÅNE LÄN</t>
        </is>
      </c>
      <c r="G4159" t="inlineStr">
        <is>
          <t>OSBY</t>
        </is>
      </c>
      <c r="I4159" t="n">
        <v>0.6</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27497-2024</t>
        </is>
      </c>
      <c r="B4160" t="inlineStr">
        <is>
          <t>avverkningsanmälan</t>
        </is>
      </c>
      <c r="C4160" t="inlineStr">
        <is>
          <t>Föryngringsavverkning</t>
        </is>
      </c>
      <c r="D4160" s="1" t="n">
        <v>45474</v>
      </c>
      <c r="E4160" s="1" t="n">
        <v>46312</v>
      </c>
      <c r="F4160" t="inlineStr">
        <is>
          <t>SKÅNE LÄN</t>
        </is>
      </c>
      <c r="G4160" t="inlineStr">
        <is>
          <t>ÖRKELLJUNGA</t>
        </is>
      </c>
      <c r="I4160" t="n">
        <v>2.2</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33251-2026</t>
        </is>
      </c>
      <c r="B4161" t="inlineStr">
        <is>
          <t>avverkningsanmälan</t>
        </is>
      </c>
      <c r="C4161" t="inlineStr">
        <is>
          <t>Föryngringsavverkning</t>
        </is>
      </c>
      <c r="D4161" s="1" t="n">
        <v>46246</v>
      </c>
      <c r="E4161" s="1" t="n">
        <v>46312</v>
      </c>
      <c r="F4161" t="inlineStr">
        <is>
          <t>SKÅNE LÄN</t>
        </is>
      </c>
      <c r="G4161" t="inlineStr">
        <is>
          <t>PERSTORP</t>
        </is>
      </c>
      <c r="H4161" t="inlineStr">
        <is>
          <t>Övriga Aktiebolag</t>
        </is>
      </c>
      <c r="I4161" t="n">
        <v>6.3</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16418-2025</t>
        </is>
      </c>
      <c r="B4162" t="inlineStr">
        <is>
          <t>avverkningsanmälan</t>
        </is>
      </c>
      <c r="C4162" t="inlineStr">
        <is>
          <t>Föryngringsavverkning</t>
        </is>
      </c>
      <c r="D4162" s="1" t="n">
        <v>45751</v>
      </c>
      <c r="E4162" s="1" t="n">
        <v>46312</v>
      </c>
      <c r="F4162" t="inlineStr">
        <is>
          <t>SKÅNE LÄN</t>
        </is>
      </c>
      <c r="G4162" t="inlineStr">
        <is>
          <t>KLIPPAN</t>
        </is>
      </c>
      <c r="I4162" t="n">
        <v>0.8</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27177-2024</t>
        </is>
      </c>
      <c r="B4163" t="inlineStr">
        <is>
          <t>avverkningsanmälan</t>
        </is>
      </c>
      <c r="C4163" t="inlineStr">
        <is>
          <t>Föryngringsavverkning</t>
        </is>
      </c>
      <c r="D4163" s="1" t="n">
        <v>45471</v>
      </c>
      <c r="E4163" s="1" t="n">
        <v>46312</v>
      </c>
      <c r="F4163" t="inlineStr">
        <is>
          <t>SKÅNE LÄN</t>
        </is>
      </c>
      <c r="G4163" t="inlineStr">
        <is>
          <t>HÄSSLEHOLM</t>
        </is>
      </c>
      <c r="I4163" t="n">
        <v>0.5</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39585-2026</t>
        </is>
      </c>
      <c r="B4164" t="inlineStr">
        <is>
          <t>avverkningsanmälan</t>
        </is>
      </c>
      <c r="C4164" t="inlineStr">
        <is>
          <t>Föryngringsavverkning</t>
        </is>
      </c>
      <c r="D4164" s="1" t="n">
        <v>46289</v>
      </c>
      <c r="E4164" s="1" t="n">
        <v>46312</v>
      </c>
      <c r="F4164" t="inlineStr">
        <is>
          <t>SKÅNE LÄN</t>
        </is>
      </c>
      <c r="G4164" t="inlineStr">
        <is>
          <t>ÖSTRA GÖINGE</t>
        </is>
      </c>
      <c r="H4164" t="inlineStr">
        <is>
          <t>Sveaskog</t>
        </is>
      </c>
      <c r="I4164" t="n">
        <v>2.7</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69093-2021</t>
        </is>
      </c>
      <c r="B4165" t="inlineStr">
        <is>
          <t>avverkningsanmälan</t>
        </is>
      </c>
      <c r="C4165" t="inlineStr">
        <is>
          <t>Föryngringsavverkning</t>
        </is>
      </c>
      <c r="D4165" s="1" t="n">
        <v>44530</v>
      </c>
      <c r="E4165" s="1" t="n">
        <v>46312</v>
      </c>
      <c r="F4165" t="inlineStr">
        <is>
          <t>SKÅNE LÄN</t>
        </is>
      </c>
      <c r="G4165" t="inlineStr">
        <is>
          <t>OSBY</t>
        </is>
      </c>
      <c r="H4165" t="inlineStr">
        <is>
          <t>Kommuner</t>
        </is>
      </c>
      <c r="I4165" t="n">
        <v>2.7</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39661-2026</t>
        </is>
      </c>
      <c r="B4166" t="inlineStr">
        <is>
          <t>avverkningsanmälan</t>
        </is>
      </c>
      <c r="C4166" t="inlineStr">
        <is>
          <t>Föryngringsavverkning</t>
        </is>
      </c>
      <c r="D4166" s="1" t="n">
        <v>46289</v>
      </c>
      <c r="E4166" s="1" t="n">
        <v>46312</v>
      </c>
      <c r="F4166" t="inlineStr">
        <is>
          <t>SKÅNE LÄN</t>
        </is>
      </c>
      <c r="G4166" t="inlineStr">
        <is>
          <t>OSBY</t>
        </is>
      </c>
      <c r="I4166" t="n">
        <v>1.3</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5184-2024</t>
        </is>
      </c>
      <c r="B4167" t="inlineStr">
        <is>
          <t>avverkningsanmälan</t>
        </is>
      </c>
      <c r="C4167" t="inlineStr">
        <is>
          <t>Föryngringsavverkning</t>
        </is>
      </c>
      <c r="D4167" s="1" t="n">
        <v>45330</v>
      </c>
      <c r="E4167" s="1" t="n">
        <v>46312</v>
      </c>
      <c r="F4167" t="inlineStr">
        <is>
          <t>SKÅNE LÄN</t>
        </is>
      </c>
      <c r="G4167" t="inlineStr">
        <is>
          <t>SVALÖV</t>
        </is>
      </c>
      <c r="I4167" t="n">
        <v>2.2</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49219-2024</t>
        </is>
      </c>
      <c r="B4168" t="inlineStr">
        <is>
          <t>avverkningsanmälan</t>
        </is>
      </c>
      <c r="C4168" t="inlineStr">
        <is>
          <t>Föryngringsavverkning</t>
        </is>
      </c>
      <c r="D4168" s="1" t="n">
        <v>45595</v>
      </c>
      <c r="E4168" s="1" t="n">
        <v>46312</v>
      </c>
      <c r="F4168" t="inlineStr">
        <is>
          <t>SKÅNE LÄN</t>
        </is>
      </c>
      <c r="G4168" t="inlineStr">
        <is>
          <t>HÄSSLEHOLM</t>
        </is>
      </c>
      <c r="I4168" t="n">
        <v>1.8</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36632-2026</t>
        </is>
      </c>
      <c r="B4169" t="inlineStr">
        <is>
          <t>avverkningsanmälan</t>
        </is>
      </c>
      <c r="C4169" t="inlineStr">
        <is>
          <t>Föryngringsavverkning</t>
        </is>
      </c>
      <c r="D4169" s="1" t="n">
        <v>46271</v>
      </c>
      <c r="E4169" s="1" t="n">
        <v>46312</v>
      </c>
      <c r="F4169" t="inlineStr">
        <is>
          <t>SKÅNE LÄN</t>
        </is>
      </c>
      <c r="G4169" t="inlineStr">
        <is>
          <t>KRISTIANSTAD</t>
        </is>
      </c>
      <c r="H4169" t="inlineStr">
        <is>
          <t>Övriga Aktiebolag</t>
        </is>
      </c>
      <c r="I4169" t="n">
        <v>2</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48738-2023</t>
        </is>
      </c>
      <c r="B4170" t="inlineStr">
        <is>
          <t>avverkningsanmälan</t>
        </is>
      </c>
      <c r="C4170" t="inlineStr">
        <is>
          <t>Föryngringsavverkning</t>
        </is>
      </c>
      <c r="D4170" s="1" t="n">
        <v>45208</v>
      </c>
      <c r="E4170" s="1" t="n">
        <v>46312</v>
      </c>
      <c r="F4170" t="inlineStr">
        <is>
          <t>SKÅNE LÄN</t>
        </is>
      </c>
      <c r="G4170" t="inlineStr">
        <is>
          <t>BROMÖLLA</t>
        </is>
      </c>
      <c r="I4170" t="n">
        <v>0.9</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27368-2026</t>
        </is>
      </c>
      <c r="B4171" t="inlineStr">
        <is>
          <t>avverkningsanmälan</t>
        </is>
      </c>
      <c r="C4171" t="inlineStr">
        <is>
          <t>Föryngringsavverkning</t>
        </is>
      </c>
      <c r="D4171" s="1" t="n">
        <v>46184</v>
      </c>
      <c r="E4171" s="1" t="n">
        <v>46312</v>
      </c>
      <c r="F4171" t="inlineStr">
        <is>
          <t>SKÅNE LÄN</t>
        </is>
      </c>
      <c r="G4171" t="inlineStr">
        <is>
          <t>HÖÖR</t>
        </is>
      </c>
      <c r="I4171" t="n">
        <v>0.9</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13646-2024</t>
        </is>
      </c>
      <c r="B4172" t="inlineStr">
        <is>
          <t>avverkningsanmälan</t>
        </is>
      </c>
      <c r="C4172" t="inlineStr">
        <is>
          <t>Föryngringsavverkning</t>
        </is>
      </c>
      <c r="D4172" s="1" t="n">
        <v>45387</v>
      </c>
      <c r="E4172" s="1" t="n">
        <v>46312</v>
      </c>
      <c r="F4172" t="inlineStr">
        <is>
          <t>SKÅNE LÄN</t>
        </is>
      </c>
      <c r="G4172" t="inlineStr">
        <is>
          <t>HÄSSLEHOLM</t>
        </is>
      </c>
      <c r="I4172" t="n">
        <v>1.1</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4750-2024</t>
        </is>
      </c>
      <c r="B4173" t="inlineStr">
        <is>
          <t>avverkningsanmälan</t>
        </is>
      </c>
      <c r="C4173" t="inlineStr">
        <is>
          <t>Föryngringsavverkning</t>
        </is>
      </c>
      <c r="D4173" s="1" t="n">
        <v>45328</v>
      </c>
      <c r="E4173" s="1" t="n">
        <v>46312</v>
      </c>
      <c r="F4173" t="inlineStr">
        <is>
          <t>SKÅNE LÄN</t>
        </is>
      </c>
      <c r="G4173" t="inlineStr">
        <is>
          <t>HÄSSLEHOLM</t>
        </is>
      </c>
      <c r="I4173" t="n">
        <v>0.3</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33180-2026</t>
        </is>
      </c>
      <c r="B4174" t="inlineStr">
        <is>
          <t>avverkningsanmälan</t>
        </is>
      </c>
      <c r="C4174" t="inlineStr">
        <is>
          <t>Föryngringsavverkning</t>
        </is>
      </c>
      <c r="D4174" s="1" t="n">
        <v>46245</v>
      </c>
      <c r="E4174" s="1" t="n">
        <v>46312</v>
      </c>
      <c r="F4174" t="inlineStr">
        <is>
          <t>SKÅNE LÄN</t>
        </is>
      </c>
      <c r="G4174" t="inlineStr">
        <is>
          <t>ÖRKELLJUNGA</t>
        </is>
      </c>
      <c r="I4174" t="n">
        <v>6.5</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39117-2023</t>
        </is>
      </c>
      <c r="B4175" t="inlineStr">
        <is>
          <t>avverkningsanmälan</t>
        </is>
      </c>
      <c r="C4175" t="inlineStr">
        <is>
          <t>Föryngringsavverkning</t>
        </is>
      </c>
      <c r="D4175" s="1" t="n">
        <v>45165</v>
      </c>
      <c r="E4175" s="1" t="n">
        <v>46312</v>
      </c>
      <c r="F4175" t="inlineStr">
        <is>
          <t>SKÅNE LÄN</t>
        </is>
      </c>
      <c r="G4175" t="inlineStr">
        <is>
          <t>KRISTIANSTAD</t>
        </is>
      </c>
      <c r="H4175" t="inlineStr">
        <is>
          <t>Sveaskog</t>
        </is>
      </c>
      <c r="I4175" t="n">
        <v>0.2</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29433-2024</t>
        </is>
      </c>
      <c r="B4176" t="inlineStr">
        <is>
          <t>avverkningsanmälan</t>
        </is>
      </c>
      <c r="C4176" t="inlineStr">
        <is>
          <t>Föryngringsavverkning</t>
        </is>
      </c>
      <c r="D4176" s="1" t="n">
        <v>45483</v>
      </c>
      <c r="E4176" s="1" t="n">
        <v>46312</v>
      </c>
      <c r="F4176" t="inlineStr">
        <is>
          <t>SKÅNE LÄN</t>
        </is>
      </c>
      <c r="G4176" t="inlineStr">
        <is>
          <t>OSBY</t>
        </is>
      </c>
      <c r="H4176" t="inlineStr">
        <is>
          <t>Kommuner</t>
        </is>
      </c>
      <c r="I4176" t="n">
        <v>2.2</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39232-2026</t>
        </is>
      </c>
      <c r="B4177" t="inlineStr">
        <is>
          <t>avverkningsanmälan</t>
        </is>
      </c>
      <c r="C4177" t="inlineStr">
        <is>
          <t>Föryngringsavverkning</t>
        </is>
      </c>
      <c r="D4177" s="1" t="n">
        <v>46287</v>
      </c>
      <c r="E4177" s="1" t="n">
        <v>46312</v>
      </c>
      <c r="F4177" t="inlineStr">
        <is>
          <t>SKÅNE LÄN</t>
        </is>
      </c>
      <c r="G4177" t="inlineStr">
        <is>
          <t>KRISTIANSTAD</t>
        </is>
      </c>
      <c r="H4177" t="inlineStr">
        <is>
          <t>Sveaskog</t>
        </is>
      </c>
      <c r="I4177" t="n">
        <v>1</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4651-2024</t>
        </is>
      </c>
      <c r="B4178" t="inlineStr">
        <is>
          <t>avverkningsanmälan</t>
        </is>
      </c>
      <c r="C4178" t="inlineStr">
        <is>
          <t>Föryngringsavverkning</t>
        </is>
      </c>
      <c r="D4178" s="1" t="n">
        <v>45328</v>
      </c>
      <c r="E4178" s="1" t="n">
        <v>46312</v>
      </c>
      <c r="F4178" t="inlineStr">
        <is>
          <t>SKÅNE LÄN</t>
        </is>
      </c>
      <c r="G4178" t="inlineStr">
        <is>
          <t>TOMELILLA</t>
        </is>
      </c>
      <c r="I4178" t="n">
        <v>0.9</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33182-2026</t>
        </is>
      </c>
      <c r="B4179" t="inlineStr">
        <is>
          <t>avverkningsanmälan</t>
        </is>
      </c>
      <c r="C4179" t="inlineStr">
        <is>
          <t>Föryngringsavverkning</t>
        </is>
      </c>
      <c r="D4179" s="1" t="n">
        <v>46245</v>
      </c>
      <c r="E4179" s="1" t="n">
        <v>46312</v>
      </c>
      <c r="F4179" t="inlineStr">
        <is>
          <t>SKÅNE LÄN</t>
        </is>
      </c>
      <c r="G4179" t="inlineStr">
        <is>
          <t>ÖRKELLJUNGA</t>
        </is>
      </c>
      <c r="I4179" t="n">
        <v>2.1</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20329-2026</t>
        </is>
      </c>
      <c r="B4180" t="inlineStr">
        <is>
          <t>avverkningsanmälan</t>
        </is>
      </c>
      <c r="C4180" t="inlineStr">
        <is>
          <t>Föryngringsavverkning</t>
        </is>
      </c>
      <c r="D4180" s="1" t="n">
        <v>46136</v>
      </c>
      <c r="E4180" s="1" t="n">
        <v>46312</v>
      </c>
      <c r="F4180" t="inlineStr">
        <is>
          <t>SKÅNE LÄN</t>
        </is>
      </c>
      <c r="G4180" t="inlineStr">
        <is>
          <t>HÖÖR</t>
        </is>
      </c>
      <c r="I4180" t="n">
        <v>1.5</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44107-2023</t>
        </is>
      </c>
      <c r="B4181" t="inlineStr">
        <is>
          <t>avverkningsanmälan</t>
        </is>
      </c>
      <c r="C4181" t="inlineStr">
        <is>
          <t>Föryngringsavverkning</t>
        </is>
      </c>
      <c r="D4181" s="1" t="n">
        <v>45188</v>
      </c>
      <c r="E4181" s="1" t="n">
        <v>46312</v>
      </c>
      <c r="F4181" t="inlineStr">
        <is>
          <t>SKÅNE LÄN</t>
        </is>
      </c>
      <c r="G4181" t="inlineStr">
        <is>
          <t>SVALÖV</t>
        </is>
      </c>
      <c r="I4181" t="n">
        <v>2.3</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20281-2025</t>
        </is>
      </c>
      <c r="B4182" t="inlineStr">
        <is>
          <t>avverkningsanmälan</t>
        </is>
      </c>
      <c r="C4182" t="inlineStr">
        <is>
          <t>Föryngringsavverkning</t>
        </is>
      </c>
      <c r="D4182" s="1" t="n">
        <v>45774</v>
      </c>
      <c r="E4182" s="1" t="n">
        <v>46312</v>
      </c>
      <c r="F4182" t="inlineStr">
        <is>
          <t>SKÅNE LÄN</t>
        </is>
      </c>
      <c r="G4182" t="inlineStr">
        <is>
          <t>ÖSTRA GÖINGE</t>
        </is>
      </c>
      <c r="I4182" t="n">
        <v>3.4</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39448-2026</t>
        </is>
      </c>
      <c r="B4183" t="inlineStr">
        <is>
          <t>avverkningsanmälan</t>
        </is>
      </c>
      <c r="C4183" t="inlineStr">
        <is>
          <t>Föryngringsavverkning</t>
        </is>
      </c>
      <c r="D4183" s="1" t="n">
        <v>46288</v>
      </c>
      <c r="E4183" s="1" t="n">
        <v>46312</v>
      </c>
      <c r="F4183" t="inlineStr">
        <is>
          <t>SKÅNE LÄN</t>
        </is>
      </c>
      <c r="G4183" t="inlineStr">
        <is>
          <t>ÖRKELLJUNGA</t>
        </is>
      </c>
      <c r="I4183" t="n">
        <v>4.7</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48966-2023</t>
        </is>
      </c>
      <c r="B4184" t="inlineStr">
        <is>
          <t>avverkningsanmälan</t>
        </is>
      </c>
      <c r="C4184" t="inlineStr">
        <is>
          <t>Föryngringsavverkning</t>
        </is>
      </c>
      <c r="D4184" s="1" t="n">
        <v>45209</v>
      </c>
      <c r="E4184" s="1" t="n">
        <v>46312</v>
      </c>
      <c r="F4184" t="inlineStr">
        <is>
          <t>SKÅNE LÄN</t>
        </is>
      </c>
      <c r="G4184" t="inlineStr">
        <is>
          <t>ÖRKELLJUNGA</t>
        </is>
      </c>
      <c r="I4184" t="n">
        <v>1.7</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39409-2026</t>
        </is>
      </c>
      <c r="B4185" t="inlineStr">
        <is>
          <t>avverkningsanmälan</t>
        </is>
      </c>
      <c r="C4185" t="inlineStr">
        <is>
          <t>Föryngringsavverkning</t>
        </is>
      </c>
      <c r="D4185" s="1" t="n">
        <v>46288</v>
      </c>
      <c r="E4185" s="1" t="n">
        <v>46312</v>
      </c>
      <c r="F4185" t="inlineStr">
        <is>
          <t>SKÅNE LÄN</t>
        </is>
      </c>
      <c r="G4185" t="inlineStr">
        <is>
          <t>KRISTIANSTAD</t>
        </is>
      </c>
      <c r="I4185" t="n">
        <v>2.5</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59675-2023</t>
        </is>
      </c>
      <c r="B4186" t="inlineStr">
        <is>
          <t>avverkningsanmälan</t>
        </is>
      </c>
      <c r="C4186" t="inlineStr">
        <is>
          <t>Föryngringsavverkning</t>
        </is>
      </c>
      <c r="D4186" s="1" t="n">
        <v>45255</v>
      </c>
      <c r="E4186" s="1" t="n">
        <v>46312</v>
      </c>
      <c r="F4186" t="inlineStr">
        <is>
          <t>SKÅNE LÄN</t>
        </is>
      </c>
      <c r="G4186" t="inlineStr">
        <is>
          <t>OSBY</t>
        </is>
      </c>
      <c r="I4186" t="n">
        <v>8.300000000000001</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31721-2023</t>
        </is>
      </c>
      <c r="B4187" t="inlineStr">
        <is>
          <t>avverkningsanmälan</t>
        </is>
      </c>
      <c r="C4187" t="inlineStr">
        <is>
          <t>Föryngringsavverkning</t>
        </is>
      </c>
      <c r="D4187" s="1" t="n">
        <v>45117</v>
      </c>
      <c r="E4187" s="1" t="n">
        <v>46312</v>
      </c>
      <c r="F4187" t="inlineStr">
        <is>
          <t>SKÅNE LÄN</t>
        </is>
      </c>
      <c r="G4187" t="inlineStr">
        <is>
          <t>OSBY</t>
        </is>
      </c>
      <c r="I4187" t="n">
        <v>1.3</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36160-2023</t>
        </is>
      </c>
      <c r="B4188" t="inlineStr">
        <is>
          <t>avverkningsanmälan</t>
        </is>
      </c>
      <c r="C4188" t="inlineStr">
        <is>
          <t>Föryngringsavverkning</t>
        </is>
      </c>
      <c r="D4188" s="1" t="n">
        <v>45149</v>
      </c>
      <c r="E4188" s="1" t="n">
        <v>46312</v>
      </c>
      <c r="F4188" t="inlineStr">
        <is>
          <t>SKÅNE LÄN</t>
        </is>
      </c>
      <c r="G4188" t="inlineStr">
        <is>
          <t>KRISTIANSTAD</t>
        </is>
      </c>
      <c r="I4188" t="n">
        <v>1.2</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36568-2024</t>
        </is>
      </c>
      <c r="B4189" t="inlineStr">
        <is>
          <t>avverkningsanmälan</t>
        </is>
      </c>
      <c r="C4189" t="inlineStr">
        <is>
          <t>Avverkning för annat ändamål</t>
        </is>
      </c>
      <c r="D4189" s="1" t="n">
        <v>45537</v>
      </c>
      <c r="E4189" s="1" t="n">
        <v>46312</v>
      </c>
      <c r="F4189" t="inlineStr">
        <is>
          <t>SKÅNE LÄN</t>
        </is>
      </c>
      <c r="G4189" t="inlineStr">
        <is>
          <t>HÄSSLEHOLM</t>
        </is>
      </c>
      <c r="I4189" t="n">
        <v>4.3</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36569-2024</t>
        </is>
      </c>
      <c r="B4190" t="inlineStr">
        <is>
          <t>avverkningsanmälan</t>
        </is>
      </c>
      <c r="C4190" t="inlineStr">
        <is>
          <t>Föryngringsavverkning</t>
        </is>
      </c>
      <c r="D4190" s="1" t="n">
        <v>45537</v>
      </c>
      <c r="E4190" s="1" t="n">
        <v>46312</v>
      </c>
      <c r="F4190" t="inlineStr">
        <is>
          <t>SKÅNE LÄN</t>
        </is>
      </c>
      <c r="G4190" t="inlineStr">
        <is>
          <t>OSBY</t>
        </is>
      </c>
      <c r="I4190" t="n">
        <v>1.1</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42898-2023</t>
        </is>
      </c>
      <c r="B4191" t="inlineStr">
        <is>
          <t>avverkningsanmälan</t>
        </is>
      </c>
      <c r="C4191" t="inlineStr">
        <is>
          <t>Föryngringsavverkning</t>
        </is>
      </c>
      <c r="D4191" s="1" t="n">
        <v>45182</v>
      </c>
      <c r="E4191" s="1" t="n">
        <v>46312</v>
      </c>
      <c r="F4191" t="inlineStr">
        <is>
          <t>SKÅNE LÄN</t>
        </is>
      </c>
      <c r="G4191" t="inlineStr">
        <is>
          <t>KRISTIANSTAD</t>
        </is>
      </c>
      <c r="H4191" t="inlineStr">
        <is>
          <t>Sveaskog</t>
        </is>
      </c>
      <c r="I4191" t="n">
        <v>0.6</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33181-2026</t>
        </is>
      </c>
      <c r="B4192" t="inlineStr">
        <is>
          <t>avverkningsanmälan</t>
        </is>
      </c>
      <c r="C4192" t="inlineStr">
        <is>
          <t>Föryngringsavverkning</t>
        </is>
      </c>
      <c r="D4192" s="1" t="n">
        <v>46245</v>
      </c>
      <c r="E4192" s="1" t="n">
        <v>46312</v>
      </c>
      <c r="F4192" t="inlineStr">
        <is>
          <t>SKÅNE LÄN</t>
        </is>
      </c>
      <c r="G4192" t="inlineStr">
        <is>
          <t>KLIPPAN</t>
        </is>
      </c>
      <c r="I4192" t="n">
        <v>0.9</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36645-2022</t>
        </is>
      </c>
      <c r="B4193" t="inlineStr">
        <is>
          <t>avverkningsanmälan</t>
        </is>
      </c>
      <c r="C4193" t="inlineStr">
        <is>
          <t>Föryngringsavverkning</t>
        </is>
      </c>
      <c r="D4193" s="1" t="n">
        <v>44804</v>
      </c>
      <c r="E4193" s="1" t="n">
        <v>46312</v>
      </c>
      <c r="F4193" t="inlineStr">
        <is>
          <t>SKÅNE LÄN</t>
        </is>
      </c>
      <c r="G4193" t="inlineStr">
        <is>
          <t>OSBY</t>
        </is>
      </c>
      <c r="I4193" t="n">
        <v>1.2</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9323-2025</t>
        </is>
      </c>
      <c r="B4194" t="inlineStr">
        <is>
          <t>avverkningsanmälan</t>
        </is>
      </c>
      <c r="C4194" t="inlineStr">
        <is>
          <t>Föryngringsavverkning</t>
        </is>
      </c>
      <c r="D4194" s="1" t="n">
        <v>45714</v>
      </c>
      <c r="E4194" s="1" t="n">
        <v>46312</v>
      </c>
      <c r="F4194" t="inlineStr">
        <is>
          <t>SKÅNE LÄN</t>
        </is>
      </c>
      <c r="G4194" t="inlineStr">
        <is>
          <t>HÄSSLEHOLM</t>
        </is>
      </c>
      <c r="I4194" t="n">
        <v>5.2</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19593-2023</t>
        </is>
      </c>
      <c r="B4195" t="inlineStr">
        <is>
          <t>avverkningsanmälan</t>
        </is>
      </c>
      <c r="C4195" t="inlineStr">
        <is>
          <t>Föryngringsavverkning</t>
        </is>
      </c>
      <c r="D4195" s="1" t="n">
        <v>45050</v>
      </c>
      <c r="E4195" s="1" t="n">
        <v>46312</v>
      </c>
      <c r="F4195" t="inlineStr">
        <is>
          <t>SKÅNE LÄN</t>
        </is>
      </c>
      <c r="G4195" t="inlineStr">
        <is>
          <t>HÄSSLEHOLM</t>
        </is>
      </c>
      <c r="I4195" t="n">
        <v>11</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5224-2024</t>
        </is>
      </c>
      <c r="B4196" t="inlineStr">
        <is>
          <t>avverkningsanmälan</t>
        </is>
      </c>
      <c r="C4196" t="inlineStr">
        <is>
          <t>Föryngringsavverkning</t>
        </is>
      </c>
      <c r="D4196" s="1" t="n">
        <v>45330</v>
      </c>
      <c r="E4196" s="1" t="n">
        <v>46312</v>
      </c>
      <c r="F4196" t="inlineStr">
        <is>
          <t>SKÅNE LÄN</t>
        </is>
      </c>
      <c r="G4196" t="inlineStr">
        <is>
          <t>SIMRISHAMN</t>
        </is>
      </c>
      <c r="H4196" t="inlineStr">
        <is>
          <t>Övriga Aktiebolag</t>
        </is>
      </c>
      <c r="I4196" t="n">
        <v>18.4</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36838-2026</t>
        </is>
      </c>
      <c r="B4197" t="inlineStr">
        <is>
          <t>avverkningsanmälan</t>
        </is>
      </c>
      <c r="C4197" t="inlineStr">
        <is>
          <t>Föryngringsavverkning</t>
        </is>
      </c>
      <c r="D4197" s="1" t="n">
        <v>46272</v>
      </c>
      <c r="E4197" s="1" t="n">
        <v>46312</v>
      </c>
      <c r="F4197" t="inlineStr">
        <is>
          <t>SKÅNE LÄN</t>
        </is>
      </c>
      <c r="G4197" t="inlineStr">
        <is>
          <t>KRISTIANSTAD</t>
        </is>
      </c>
      <c r="I4197" t="n">
        <v>1.7</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2405-2025</t>
        </is>
      </c>
      <c r="B4198" t="inlineStr">
        <is>
          <t>avverkningsanmälan</t>
        </is>
      </c>
      <c r="C4198" t="inlineStr">
        <is>
          <t>Föryngringsavverkning</t>
        </is>
      </c>
      <c r="D4198" s="1" t="n">
        <v>45674</v>
      </c>
      <c r="E4198" s="1" t="n">
        <v>46312</v>
      </c>
      <c r="F4198" t="inlineStr">
        <is>
          <t>SKÅNE LÄN</t>
        </is>
      </c>
      <c r="G4198" t="inlineStr">
        <is>
          <t>ÖRKELLJUNGA</t>
        </is>
      </c>
      <c r="I4198" t="n">
        <v>1.2</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57976-2023</t>
        </is>
      </c>
      <c r="B4199" t="inlineStr">
        <is>
          <t>avverkningsanmälan</t>
        </is>
      </c>
      <c r="C4199" t="inlineStr">
        <is>
          <t>Föryngringsavverkning</t>
        </is>
      </c>
      <c r="D4199" s="1" t="n">
        <v>45247</v>
      </c>
      <c r="E4199" s="1" t="n">
        <v>46312</v>
      </c>
      <c r="F4199" t="inlineStr">
        <is>
          <t>SKÅNE LÄN</t>
        </is>
      </c>
      <c r="G4199" t="inlineStr">
        <is>
          <t>KRISTIANSTAD</t>
        </is>
      </c>
      <c r="I4199" t="n">
        <v>0.3</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33183-2026</t>
        </is>
      </c>
      <c r="B4200" t="inlineStr">
        <is>
          <t>avverkningsanmälan</t>
        </is>
      </c>
      <c r="C4200" t="inlineStr">
        <is>
          <t>Föryngringsavverkning</t>
        </is>
      </c>
      <c r="D4200" s="1" t="n">
        <v>46245</v>
      </c>
      <c r="E4200" s="1" t="n">
        <v>46312</v>
      </c>
      <c r="F4200" t="inlineStr">
        <is>
          <t>SKÅNE LÄN</t>
        </is>
      </c>
      <c r="G4200" t="inlineStr">
        <is>
          <t>ÖRKELLJUNGA</t>
        </is>
      </c>
      <c r="I4200" t="n">
        <v>5.9</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6875-2024</t>
        </is>
      </c>
      <c r="B4201" t="inlineStr">
        <is>
          <t>avverkningsanmälan</t>
        </is>
      </c>
      <c r="C4201" t="inlineStr">
        <is>
          <t>Föryngringsavverkning</t>
        </is>
      </c>
      <c r="D4201" s="1" t="n">
        <v>45342</v>
      </c>
      <c r="E4201" s="1" t="n">
        <v>46312</v>
      </c>
      <c r="F4201" t="inlineStr">
        <is>
          <t>SKÅNE LÄN</t>
        </is>
      </c>
      <c r="G4201" t="inlineStr">
        <is>
          <t>OSBY</t>
        </is>
      </c>
      <c r="I4201" t="n">
        <v>0.8</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6876-2024</t>
        </is>
      </c>
      <c r="B4202" t="inlineStr">
        <is>
          <t>avverkningsanmälan</t>
        </is>
      </c>
      <c r="C4202" t="inlineStr">
        <is>
          <t>Föryngringsavverkning</t>
        </is>
      </c>
      <c r="D4202" s="1" t="n">
        <v>45342</v>
      </c>
      <c r="E4202" s="1" t="n">
        <v>46312</v>
      </c>
      <c r="F4202" t="inlineStr">
        <is>
          <t>SKÅNE LÄN</t>
        </is>
      </c>
      <c r="G4202" t="inlineStr">
        <is>
          <t>OSBY</t>
        </is>
      </c>
      <c r="I4202" t="n">
        <v>3.4</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25475-2023</t>
        </is>
      </c>
      <c r="B4203" t="inlineStr">
        <is>
          <t>avverkningsanmälan</t>
        </is>
      </c>
      <c r="C4203" t="inlineStr">
        <is>
          <t>Föryngringsavverkning</t>
        </is>
      </c>
      <c r="D4203" s="1" t="n">
        <v>45089</v>
      </c>
      <c r="E4203" s="1" t="n">
        <v>46312</v>
      </c>
      <c r="F4203" t="inlineStr">
        <is>
          <t>SKÅNE LÄN</t>
        </is>
      </c>
      <c r="G4203" t="inlineStr">
        <is>
          <t>SIMRISHAMN</t>
        </is>
      </c>
      <c r="I4203" t="n">
        <v>1.5</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18856-2024</t>
        </is>
      </c>
      <c r="B4204" t="inlineStr">
        <is>
          <t>avverkningsanmälan</t>
        </is>
      </c>
      <c r="C4204" t="inlineStr">
        <is>
          <t>Föryngringsavverkning</t>
        </is>
      </c>
      <c r="D4204" s="1" t="n">
        <v>45426</v>
      </c>
      <c r="E4204" s="1" t="n">
        <v>46312</v>
      </c>
      <c r="F4204" t="inlineStr">
        <is>
          <t>SKÅNE LÄN</t>
        </is>
      </c>
      <c r="G4204" t="inlineStr">
        <is>
          <t>SIMRISHAMN</t>
        </is>
      </c>
      <c r="H4204" t="inlineStr">
        <is>
          <t>Övriga Aktiebolag</t>
        </is>
      </c>
      <c r="I4204" t="n">
        <v>3.3</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27540-2024</t>
        </is>
      </c>
      <c r="B4205" t="inlineStr">
        <is>
          <t>avverkningsanmälan</t>
        </is>
      </c>
      <c r="C4205" t="inlineStr">
        <is>
          <t>Föryngringsavverkning</t>
        </is>
      </c>
      <c r="D4205" s="1" t="n">
        <v>45474</v>
      </c>
      <c r="E4205" s="1" t="n">
        <v>46312</v>
      </c>
      <c r="F4205" t="inlineStr">
        <is>
          <t>SKÅNE LÄN</t>
        </is>
      </c>
      <c r="G4205" t="inlineStr">
        <is>
          <t>ÖRKELLJUNGA</t>
        </is>
      </c>
      <c r="I4205" t="n">
        <v>2.7</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19877-2024</t>
        </is>
      </c>
      <c r="B4206" t="inlineStr">
        <is>
          <t>avverkningsanmälan</t>
        </is>
      </c>
      <c r="C4206" t="inlineStr">
        <is>
          <t>Föryngringsavverkning</t>
        </is>
      </c>
      <c r="D4206" s="1" t="n">
        <v>45433</v>
      </c>
      <c r="E4206" s="1" t="n">
        <v>46312</v>
      </c>
      <c r="F4206" t="inlineStr">
        <is>
          <t>SKÅNE LÄN</t>
        </is>
      </c>
      <c r="G4206" t="inlineStr">
        <is>
          <t>SJÖBO</t>
        </is>
      </c>
      <c r="I4206" t="n">
        <v>2</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16017-2023</t>
        </is>
      </c>
      <c r="B4207" t="inlineStr">
        <is>
          <t>avverkningsanmälan</t>
        </is>
      </c>
      <c r="C4207" t="inlineStr">
        <is>
          <t>Avverkning för annat ändamål</t>
        </is>
      </c>
      <c r="D4207" s="1" t="n">
        <v>45026</v>
      </c>
      <c r="E4207" s="1" t="n">
        <v>46312</v>
      </c>
      <c r="F4207" t="inlineStr">
        <is>
          <t>SKÅNE LÄN</t>
        </is>
      </c>
      <c r="G4207" t="inlineStr">
        <is>
          <t>HÄSSLEHOLM</t>
        </is>
      </c>
      <c r="I4207" t="n">
        <v>0.8</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12988-2024</t>
        </is>
      </c>
      <c r="B4208" t="inlineStr">
        <is>
          <t>avverkningsanmälan</t>
        </is>
      </c>
      <c r="C4208" t="inlineStr">
        <is>
          <t>Föryngringsavverkning</t>
        </is>
      </c>
      <c r="D4208" s="1" t="n">
        <v>45385</v>
      </c>
      <c r="E4208" s="1" t="n">
        <v>46312</v>
      </c>
      <c r="F4208" t="inlineStr">
        <is>
          <t>SKÅNE LÄN</t>
        </is>
      </c>
      <c r="G4208" t="inlineStr">
        <is>
          <t>TOMELILLA</t>
        </is>
      </c>
      <c r="H4208" t="inlineStr">
        <is>
          <t>Övriga Aktiebolag</t>
        </is>
      </c>
      <c r="I4208" t="n">
        <v>16.2</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39587-2026</t>
        </is>
      </c>
      <c r="B4209" t="inlineStr">
        <is>
          <t>avverkningsanmälan</t>
        </is>
      </c>
      <c r="C4209" t="inlineStr">
        <is>
          <t>Föryngringsavverkning</t>
        </is>
      </c>
      <c r="D4209" s="1" t="n">
        <v>46289</v>
      </c>
      <c r="E4209" s="1" t="n">
        <v>46312</v>
      </c>
      <c r="F4209" t="inlineStr">
        <is>
          <t>SKÅNE LÄN</t>
        </is>
      </c>
      <c r="G4209" t="inlineStr">
        <is>
          <t>OSBY</t>
        </is>
      </c>
      <c r="H4209" t="inlineStr">
        <is>
          <t>Sveaskog</t>
        </is>
      </c>
      <c r="I4209" t="n">
        <v>1</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2316-2024</t>
        </is>
      </c>
      <c r="B4210" t="inlineStr">
        <is>
          <t>avverkningsanmälan</t>
        </is>
      </c>
      <c r="C4210" t="inlineStr">
        <is>
          <t>Föryngringsavverkning</t>
        </is>
      </c>
      <c r="D4210" s="1" t="n">
        <v>45310</v>
      </c>
      <c r="E4210" s="1" t="n">
        <v>46312</v>
      </c>
      <c r="F4210" t="inlineStr">
        <is>
          <t>SKÅNE LÄN</t>
        </is>
      </c>
      <c r="G4210" t="inlineStr">
        <is>
          <t>KRISTIANSTAD</t>
        </is>
      </c>
      <c r="I4210" t="n">
        <v>1.4</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30065-2023</t>
        </is>
      </c>
      <c r="B4211" t="inlineStr">
        <is>
          <t>avverkningsanmälan</t>
        </is>
      </c>
      <c r="C4211" t="inlineStr">
        <is>
          <t>Föryngringsavverkning</t>
        </is>
      </c>
      <c r="D4211" s="1" t="n">
        <v>45110</v>
      </c>
      <c r="E4211" s="1" t="n">
        <v>46312</v>
      </c>
      <c r="F4211" t="inlineStr">
        <is>
          <t>SKÅNE LÄN</t>
        </is>
      </c>
      <c r="G4211" t="inlineStr">
        <is>
          <t>KRISTIANSTAD</t>
        </is>
      </c>
      <c r="I4211" t="n">
        <v>2.6</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15039-2024</t>
        </is>
      </c>
      <c r="B4212" t="inlineStr">
        <is>
          <t>avverkningsanmälan</t>
        </is>
      </c>
      <c r="C4212" t="inlineStr">
        <is>
          <t>Föryngringsavverkning</t>
        </is>
      </c>
      <c r="D4212" s="1" t="n">
        <v>45399</v>
      </c>
      <c r="E4212" s="1" t="n">
        <v>46312</v>
      </c>
      <c r="F4212" t="inlineStr">
        <is>
          <t>SKÅNE LÄN</t>
        </is>
      </c>
      <c r="G4212" t="inlineStr">
        <is>
          <t>SIMRISHAMN</t>
        </is>
      </c>
      <c r="I4212" t="n">
        <v>1.3</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30075-2023</t>
        </is>
      </c>
      <c r="B4213" t="inlineStr">
        <is>
          <t>avverkningsanmälan</t>
        </is>
      </c>
      <c r="C4213" t="inlineStr">
        <is>
          <t>Föryngringsavverkning</t>
        </is>
      </c>
      <c r="D4213" s="1" t="n">
        <v>45110</v>
      </c>
      <c r="E4213" s="1" t="n">
        <v>46312</v>
      </c>
      <c r="F4213" t="inlineStr">
        <is>
          <t>SKÅNE LÄN</t>
        </is>
      </c>
      <c r="G4213" t="inlineStr">
        <is>
          <t>BROMÖLLA</t>
        </is>
      </c>
      <c r="I4213" t="n">
        <v>5</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39481-2026</t>
        </is>
      </c>
      <c r="B4214" t="inlineStr">
        <is>
          <t>avverkningsanmälan</t>
        </is>
      </c>
      <c r="C4214" t="inlineStr">
        <is>
          <t>Föryngringsavverkning</t>
        </is>
      </c>
      <c r="D4214" s="1" t="n">
        <v>46289</v>
      </c>
      <c r="E4214" s="1" t="n">
        <v>46312</v>
      </c>
      <c r="F4214" t="inlineStr">
        <is>
          <t>SKÅNE LÄN</t>
        </is>
      </c>
      <c r="G4214" t="inlineStr">
        <is>
          <t>HÖRBY</t>
        </is>
      </c>
      <c r="I4214" t="n">
        <v>2.3</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36963-2024</t>
        </is>
      </c>
      <c r="B4215" t="inlineStr">
        <is>
          <t>avverkningsanmälan</t>
        </is>
      </c>
      <c r="C4215" t="inlineStr">
        <is>
          <t>Föryngringsavverkning</t>
        </is>
      </c>
      <c r="D4215" s="1" t="n">
        <v>45538</v>
      </c>
      <c r="E4215" s="1" t="n">
        <v>46312</v>
      </c>
      <c r="F4215" t="inlineStr">
        <is>
          <t>SKÅNE LÄN</t>
        </is>
      </c>
      <c r="G4215" t="inlineStr">
        <is>
          <t>ÖSTRA GÖINGE</t>
        </is>
      </c>
      <c r="I4215" t="n">
        <v>0.7</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33352-2026</t>
        </is>
      </c>
      <c r="B4216" t="inlineStr">
        <is>
          <t>avverkningsanmälan</t>
        </is>
      </c>
      <c r="C4216" t="inlineStr">
        <is>
          <t>Föryngringsavverkning</t>
        </is>
      </c>
      <c r="D4216" s="1" t="n">
        <v>46246</v>
      </c>
      <c r="E4216" s="1" t="n">
        <v>46312</v>
      </c>
      <c r="F4216" t="inlineStr">
        <is>
          <t>SKÅNE LÄN</t>
        </is>
      </c>
      <c r="G4216" t="inlineStr">
        <is>
          <t>HÄSSLEHOLM</t>
        </is>
      </c>
      <c r="I4216" t="n">
        <v>4.6</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524-2024</t>
        </is>
      </c>
      <c r="B4217" t="inlineStr">
        <is>
          <t>avverkningsanmälan</t>
        </is>
      </c>
      <c r="C4217" t="inlineStr">
        <is>
          <t>Föryngringsavverkning</t>
        </is>
      </c>
      <c r="D4217" s="1" t="n">
        <v>45299</v>
      </c>
      <c r="E4217" s="1" t="n">
        <v>46312</v>
      </c>
      <c r="F4217" t="inlineStr">
        <is>
          <t>SKÅNE LÄN</t>
        </is>
      </c>
      <c r="G4217" t="inlineStr">
        <is>
          <t>HÄSSLEHOLM</t>
        </is>
      </c>
      <c r="I4217" t="n">
        <v>29.4</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39231-2026</t>
        </is>
      </c>
      <c r="B4218" t="inlineStr">
        <is>
          <t>avverkningsanmälan</t>
        </is>
      </c>
      <c r="C4218" t="inlineStr">
        <is>
          <t>Föryngringsavverkning</t>
        </is>
      </c>
      <c r="D4218" s="1" t="n">
        <v>46287</v>
      </c>
      <c r="E4218" s="1" t="n">
        <v>46312</v>
      </c>
      <c r="F4218" t="inlineStr">
        <is>
          <t>SKÅNE LÄN</t>
        </is>
      </c>
      <c r="G4218" t="inlineStr">
        <is>
          <t>KRISTIANSTAD</t>
        </is>
      </c>
      <c r="H4218" t="inlineStr">
        <is>
          <t>Sveaskog</t>
        </is>
      </c>
      <c r="I4218" t="n">
        <v>0.9</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15305-2025</t>
        </is>
      </c>
      <c r="B4219" t="inlineStr">
        <is>
          <t>avverkningsanmälan</t>
        </is>
      </c>
      <c r="C4219" t="inlineStr">
        <is>
          <t>Avverkning för annat ändamål</t>
        </is>
      </c>
      <c r="D4219" s="1" t="n">
        <v>45746</v>
      </c>
      <c r="E4219" s="1" t="n">
        <v>46312</v>
      </c>
      <c r="F4219" t="inlineStr">
        <is>
          <t>SKÅNE LÄN</t>
        </is>
      </c>
      <c r="G4219" t="inlineStr">
        <is>
          <t>TOMELILLA</t>
        </is>
      </c>
      <c r="I4219" t="n">
        <v>0.6</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33702-2026</t>
        </is>
      </c>
      <c r="B4220" t="inlineStr">
        <is>
          <t>avverkningsanmälan</t>
        </is>
      </c>
      <c r="C4220" t="inlineStr">
        <is>
          <t>Föryngringsavverkning</t>
        </is>
      </c>
      <c r="D4220" s="1" t="n">
        <v>46250</v>
      </c>
      <c r="E4220" s="1" t="n">
        <v>46312</v>
      </c>
      <c r="F4220" t="inlineStr">
        <is>
          <t>SKÅNE LÄN</t>
        </is>
      </c>
      <c r="G4220" t="inlineStr">
        <is>
          <t>KRISTIANSTAD</t>
        </is>
      </c>
      <c r="H4220" t="inlineStr">
        <is>
          <t>Sveaskog</t>
        </is>
      </c>
      <c r="I4220" t="n">
        <v>7</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44646-2023</t>
        </is>
      </c>
      <c r="B4221" t="inlineStr">
        <is>
          <t>avverkningsanmälan</t>
        </is>
      </c>
      <c r="C4221" t="inlineStr">
        <is>
          <t>Föryngringsavverkning</t>
        </is>
      </c>
      <c r="D4221" s="1" t="n">
        <v>45189</v>
      </c>
      <c r="E4221" s="1" t="n">
        <v>46312</v>
      </c>
      <c r="F4221" t="inlineStr">
        <is>
          <t>SKÅNE LÄN</t>
        </is>
      </c>
      <c r="G4221" t="inlineStr">
        <is>
          <t>LUND</t>
        </is>
      </c>
      <c r="I4221" t="n">
        <v>3.2</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941-2023</t>
        </is>
      </c>
      <c r="B4222" t="inlineStr">
        <is>
          <t>avverkningsanmälan</t>
        </is>
      </c>
      <c r="C4222" t="inlineStr">
        <is>
          <t>Föryngringsavverkning</t>
        </is>
      </c>
      <c r="D4222" s="1" t="n">
        <v>44933</v>
      </c>
      <c r="E4222" s="1" t="n">
        <v>46312</v>
      </c>
      <c r="F4222" t="inlineStr">
        <is>
          <t>SKÅNE LÄN</t>
        </is>
      </c>
      <c r="G4222" t="inlineStr">
        <is>
          <t>KRISTIANSTAD</t>
        </is>
      </c>
      <c r="I4222" t="n">
        <v>2.4</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14307-2023</t>
        </is>
      </c>
      <c r="B4223" t="inlineStr">
        <is>
          <t>avverkningsanmälan</t>
        </is>
      </c>
      <c r="C4223" t="inlineStr">
        <is>
          <t>Föryngringsavverkning</t>
        </is>
      </c>
      <c r="D4223" s="1" t="n">
        <v>45011</v>
      </c>
      <c r="E4223" s="1" t="n">
        <v>46312</v>
      </c>
      <c r="F4223" t="inlineStr">
        <is>
          <t>SKÅNE LÄN</t>
        </is>
      </c>
      <c r="G4223" t="inlineStr">
        <is>
          <t>OSBY</t>
        </is>
      </c>
      <c r="I4223" t="n">
        <v>2.5</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60817-2023</t>
        </is>
      </c>
      <c r="B4224" t="inlineStr">
        <is>
          <t>avverkningsanmälan</t>
        </is>
      </c>
      <c r="C4224" t="inlineStr">
        <is>
          <t>Föryngringsavverkning</t>
        </is>
      </c>
      <c r="D4224" s="1" t="n">
        <v>45260</v>
      </c>
      <c r="E4224" s="1" t="n">
        <v>46312</v>
      </c>
      <c r="F4224" t="inlineStr">
        <is>
          <t>SKÅNE LÄN</t>
        </is>
      </c>
      <c r="G4224" t="inlineStr">
        <is>
          <t>TOMELILLA</t>
        </is>
      </c>
      <c r="I4224" t="n">
        <v>4.3</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9394-2025</t>
        </is>
      </c>
      <c r="B4225" t="inlineStr">
        <is>
          <t>avverkningsanmälan</t>
        </is>
      </c>
      <c r="C4225" t="inlineStr">
        <is>
          <t>Föryngringsavverkning</t>
        </is>
      </c>
      <c r="D4225" s="1" t="n">
        <v>45715</v>
      </c>
      <c r="E4225" s="1" t="n">
        <v>46312</v>
      </c>
      <c r="F4225" t="inlineStr">
        <is>
          <t>SKÅNE LÄN</t>
        </is>
      </c>
      <c r="G4225" t="inlineStr">
        <is>
          <t>HÄSSLEHOLM</t>
        </is>
      </c>
      <c r="I4225" t="n">
        <v>0.7</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9773-2024</t>
        </is>
      </c>
      <c r="B4226" t="inlineStr">
        <is>
          <t>avverkningsanmälan</t>
        </is>
      </c>
      <c r="C4226" t="inlineStr">
        <is>
          <t>Föryngringsavverkning</t>
        </is>
      </c>
      <c r="D4226" s="1" t="n">
        <v>45362</v>
      </c>
      <c r="E4226" s="1" t="n">
        <v>46312</v>
      </c>
      <c r="F4226" t="inlineStr">
        <is>
          <t>SKÅNE LÄN</t>
        </is>
      </c>
      <c r="G4226" t="inlineStr">
        <is>
          <t>ÖRKELLJUNGA</t>
        </is>
      </c>
      <c r="I4226" t="n">
        <v>0.5</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37575-2024</t>
        </is>
      </c>
      <c r="B4227" t="inlineStr">
        <is>
          <t>avverkningsanmälan</t>
        </is>
      </c>
      <c r="C4227" t="inlineStr">
        <is>
          <t>Föryngringsavverkning</t>
        </is>
      </c>
      <c r="D4227" s="1" t="n">
        <v>45541</v>
      </c>
      <c r="E4227" s="1" t="n">
        <v>46312</v>
      </c>
      <c r="F4227" t="inlineStr">
        <is>
          <t>SKÅNE LÄN</t>
        </is>
      </c>
      <c r="G4227" t="inlineStr">
        <is>
          <t>ÖSTRA GÖINGE</t>
        </is>
      </c>
      <c r="I4227" t="n">
        <v>8.6</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22638-2023</t>
        </is>
      </c>
      <c r="B4228" t="inlineStr">
        <is>
          <t>avverkningsanmälan</t>
        </is>
      </c>
      <c r="C4228" t="inlineStr">
        <is>
          <t>Föryngringsavverkning</t>
        </is>
      </c>
      <c r="D4228" s="1" t="n">
        <v>45071</v>
      </c>
      <c r="E4228" s="1" t="n">
        <v>46312</v>
      </c>
      <c r="F4228" t="inlineStr">
        <is>
          <t>SKÅNE LÄN</t>
        </is>
      </c>
      <c r="G4228" t="inlineStr">
        <is>
          <t>OSBY</t>
        </is>
      </c>
      <c r="I4228" t="n">
        <v>1.6</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39223-2024</t>
        </is>
      </c>
      <c r="B4229" t="inlineStr">
        <is>
          <t>avverkningsanmälan</t>
        </is>
      </c>
      <c r="C4229" t="inlineStr">
        <is>
          <t>Föryngringsavverkning</t>
        </is>
      </c>
      <c r="D4229" s="1" t="n">
        <v>45550</v>
      </c>
      <c r="E4229" s="1" t="n">
        <v>46312</v>
      </c>
      <c r="F4229" t="inlineStr">
        <is>
          <t>SKÅNE LÄN</t>
        </is>
      </c>
      <c r="G4229" t="inlineStr">
        <is>
          <t>HÄSSLEHOLM</t>
        </is>
      </c>
      <c r="I4229" t="n">
        <v>3.1</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57795-2022</t>
        </is>
      </c>
      <c r="B4230" t="inlineStr">
        <is>
          <t>avverkningsanmälan</t>
        </is>
      </c>
      <c r="C4230" t="inlineStr">
        <is>
          <t>Föryngringsavverkning</t>
        </is>
      </c>
      <c r="D4230" s="1" t="n">
        <v>44897</v>
      </c>
      <c r="E4230" s="1" t="n">
        <v>46312</v>
      </c>
      <c r="F4230" t="inlineStr">
        <is>
          <t>SKÅNE LÄN</t>
        </is>
      </c>
      <c r="G4230" t="inlineStr">
        <is>
          <t>ÖRKELLJUNGA</t>
        </is>
      </c>
      <c r="I4230" t="n">
        <v>2.3</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27304-2023</t>
        </is>
      </c>
      <c r="B4231" t="inlineStr">
        <is>
          <t>avverkningsanmälan</t>
        </is>
      </c>
      <c r="C4231" t="inlineStr">
        <is>
          <t>Föryngringsavverkning</t>
        </is>
      </c>
      <c r="D4231" s="1" t="n">
        <v>45096</v>
      </c>
      <c r="E4231" s="1" t="n">
        <v>46312</v>
      </c>
      <c r="F4231" t="inlineStr">
        <is>
          <t>SKÅNE LÄN</t>
        </is>
      </c>
      <c r="G4231" t="inlineStr">
        <is>
          <t>HÄSSLEHOLM</t>
        </is>
      </c>
      <c r="I4231" t="n">
        <v>0.7</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50279-2023</t>
        </is>
      </c>
      <c r="B4232" t="inlineStr">
        <is>
          <t>avverkningsanmälan</t>
        </is>
      </c>
      <c r="C4232" t="inlineStr">
        <is>
          <t>Föryngringsavverkning</t>
        </is>
      </c>
      <c r="D4232" s="1" t="n">
        <v>45216</v>
      </c>
      <c r="E4232" s="1" t="n">
        <v>46312</v>
      </c>
      <c r="F4232" t="inlineStr">
        <is>
          <t>SKÅNE LÄN</t>
        </is>
      </c>
      <c r="G4232" t="inlineStr">
        <is>
          <t>ÖRKELLJUNGA</t>
        </is>
      </c>
      <c r="I4232" t="n">
        <v>0.9</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63720-2023</t>
        </is>
      </c>
      <c r="B4233" t="inlineStr">
        <is>
          <t>avverkningsanmälan</t>
        </is>
      </c>
      <c r="C4233" t="inlineStr">
        <is>
          <t>Föryngringsavverkning</t>
        </is>
      </c>
      <c r="D4233" s="1" t="n">
        <v>45275</v>
      </c>
      <c r="E4233" s="1" t="n">
        <v>46312</v>
      </c>
      <c r="F4233" t="inlineStr">
        <is>
          <t>SKÅNE LÄN</t>
        </is>
      </c>
      <c r="G4233" t="inlineStr">
        <is>
          <t>KLIPPAN</t>
        </is>
      </c>
      <c r="I4233" t="n">
        <v>1.7</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22693-2022</t>
        </is>
      </c>
      <c r="B4234" t="inlineStr">
        <is>
          <t>avverkningsanmälan</t>
        </is>
      </c>
      <c r="C4234" t="inlineStr">
        <is>
          <t>Föryngringsavverkning</t>
        </is>
      </c>
      <c r="D4234" s="1" t="n">
        <v>44714</v>
      </c>
      <c r="E4234" s="1" t="n">
        <v>46312</v>
      </c>
      <c r="F4234" t="inlineStr">
        <is>
          <t>SKÅNE LÄN</t>
        </is>
      </c>
      <c r="G4234" t="inlineStr">
        <is>
          <t>HÄSSLEHOLM</t>
        </is>
      </c>
      <c r="I4234" t="n">
        <v>2.8</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58721-2025</t>
        </is>
      </c>
      <c r="B4235" t="inlineStr">
        <is>
          <t>avverkningsanmälan</t>
        </is>
      </c>
      <c r="C4235" t="inlineStr">
        <is>
          <t>Föryngringsavverkning</t>
        </is>
      </c>
      <c r="D4235" s="1" t="n">
        <v>45986</v>
      </c>
      <c r="E4235" s="1" t="n">
        <v>46312</v>
      </c>
      <c r="F4235" t="inlineStr">
        <is>
          <t>SKÅNE LÄN</t>
        </is>
      </c>
      <c r="G4235" t="inlineStr">
        <is>
          <t>ESLÖV</t>
        </is>
      </c>
      <c r="I4235" t="n">
        <v>2.2</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37592-2024</t>
        </is>
      </c>
      <c r="B4236" t="inlineStr">
        <is>
          <t>avverkningsanmälan</t>
        </is>
      </c>
      <c r="C4236" t="inlineStr">
        <is>
          <t>Föryngringsavverkning</t>
        </is>
      </c>
      <c r="D4236" s="1" t="n">
        <v>45541</v>
      </c>
      <c r="E4236" s="1" t="n">
        <v>46312</v>
      </c>
      <c r="F4236" t="inlineStr">
        <is>
          <t>SKÅNE LÄN</t>
        </is>
      </c>
      <c r="G4236" t="inlineStr">
        <is>
          <t>ÖSTRA GÖINGE</t>
        </is>
      </c>
      <c r="I4236" t="n">
        <v>4.1</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14278-2024</t>
        </is>
      </c>
      <c r="B4237" t="inlineStr">
        <is>
          <t>avverkningsanmälan</t>
        </is>
      </c>
      <c r="C4237" t="inlineStr">
        <is>
          <t>Föryngringsavverkning</t>
        </is>
      </c>
      <c r="D4237" s="1" t="n">
        <v>45393</v>
      </c>
      <c r="E4237" s="1" t="n">
        <v>46312</v>
      </c>
      <c r="F4237" t="inlineStr">
        <is>
          <t>SKÅNE LÄN</t>
        </is>
      </c>
      <c r="G4237" t="inlineStr">
        <is>
          <t>KLIPPAN</t>
        </is>
      </c>
      <c r="I4237" t="n">
        <v>1</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6558-2025</t>
        </is>
      </c>
      <c r="B4238" t="inlineStr">
        <is>
          <t>avverkningsanmälan</t>
        </is>
      </c>
      <c r="C4238" t="inlineStr">
        <is>
          <t>Avverkning för annat ändamål</t>
        </is>
      </c>
      <c r="D4238" s="1" t="n">
        <v>45699</v>
      </c>
      <c r="E4238" s="1" t="n">
        <v>46312</v>
      </c>
      <c r="F4238" t="inlineStr">
        <is>
          <t>SKÅNE LÄN</t>
        </is>
      </c>
      <c r="G4238" t="inlineStr">
        <is>
          <t>HÖRBY</t>
        </is>
      </c>
      <c r="H4238" t="inlineStr">
        <is>
          <t>Kommuner</t>
        </is>
      </c>
      <c r="I4238" t="n">
        <v>0.9</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58150-2024</t>
        </is>
      </c>
      <c r="B4239" t="inlineStr">
        <is>
          <t>avverkningsanmälan</t>
        </is>
      </c>
      <c r="C4239" t="inlineStr">
        <is>
          <t>Föryngringsavverkning</t>
        </is>
      </c>
      <c r="D4239" s="1" t="n">
        <v>45632</v>
      </c>
      <c r="E4239" s="1" t="n">
        <v>46312</v>
      </c>
      <c r="F4239" t="inlineStr">
        <is>
          <t>SKÅNE LÄN</t>
        </is>
      </c>
      <c r="G4239" t="inlineStr">
        <is>
          <t>ÄNGELHOLM</t>
        </is>
      </c>
      <c r="I4239" t="n">
        <v>0.5</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4191-2023</t>
        </is>
      </c>
      <c r="B4240" t="inlineStr">
        <is>
          <t>avverkningsanmälan</t>
        </is>
      </c>
      <c r="C4240" t="inlineStr">
        <is>
          <t>Föryngringsavverkning</t>
        </is>
      </c>
      <c r="D4240" s="1" t="n">
        <v>44953</v>
      </c>
      <c r="E4240" s="1" t="n">
        <v>46312</v>
      </c>
      <c r="F4240" t="inlineStr">
        <is>
          <t>SKÅNE LÄN</t>
        </is>
      </c>
      <c r="G4240" t="inlineStr">
        <is>
          <t>ÖSTRA GÖINGE</t>
        </is>
      </c>
      <c r="I4240" t="n">
        <v>1.1</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34256-2023</t>
        </is>
      </c>
      <c r="B4241" t="inlineStr">
        <is>
          <t>avverkningsanmälan</t>
        </is>
      </c>
      <c r="C4241" t="inlineStr">
        <is>
          <t>Föryngringsavverkning</t>
        </is>
      </c>
      <c r="D4241" s="1" t="n">
        <v>45138</v>
      </c>
      <c r="E4241" s="1" t="n">
        <v>46312</v>
      </c>
      <c r="F4241" t="inlineStr">
        <is>
          <t>SKÅNE LÄN</t>
        </is>
      </c>
      <c r="G4241" t="inlineStr">
        <is>
          <t>ÖSTRA GÖINGE</t>
        </is>
      </c>
      <c r="I4241" t="n">
        <v>0.7</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18294-2024</t>
        </is>
      </c>
      <c r="B4242" t="inlineStr">
        <is>
          <t>avverkningsanmälan</t>
        </is>
      </c>
      <c r="C4242" t="inlineStr">
        <is>
          <t>Föryngringsavverkning</t>
        </is>
      </c>
      <c r="D4242" s="1" t="n">
        <v>45422</v>
      </c>
      <c r="E4242" s="1" t="n">
        <v>46312</v>
      </c>
      <c r="F4242" t="inlineStr">
        <is>
          <t>SKÅNE LÄN</t>
        </is>
      </c>
      <c r="G4242" t="inlineStr">
        <is>
          <t>OSBY</t>
        </is>
      </c>
      <c r="I4242" t="n">
        <v>4.6</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39781-2026</t>
        </is>
      </c>
      <c r="B4243" t="inlineStr">
        <is>
          <t>avverkningsanmälan</t>
        </is>
      </c>
      <c r="C4243" t="inlineStr">
        <is>
          <t>Föryngringsavverkning</t>
        </is>
      </c>
      <c r="D4243" s="1" t="n">
        <v>46290</v>
      </c>
      <c r="E4243" s="1" t="n">
        <v>46312</v>
      </c>
      <c r="F4243" t="inlineStr">
        <is>
          <t>SKÅNE LÄN</t>
        </is>
      </c>
      <c r="G4243" t="inlineStr">
        <is>
          <t>OSBY</t>
        </is>
      </c>
      <c r="H4243" t="inlineStr">
        <is>
          <t>Sveaskog</t>
        </is>
      </c>
      <c r="I4243" t="n">
        <v>2.2</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59431-2023</t>
        </is>
      </c>
      <c r="B4244" t="inlineStr">
        <is>
          <t>avverkningsanmälan</t>
        </is>
      </c>
      <c r="C4244" t="inlineStr">
        <is>
          <t>Föryngringsavverkning</t>
        </is>
      </c>
      <c r="D4244" s="1" t="n">
        <v>45254</v>
      </c>
      <c r="E4244" s="1" t="n">
        <v>46312</v>
      </c>
      <c r="F4244" t="inlineStr">
        <is>
          <t>SKÅNE LÄN</t>
        </is>
      </c>
      <c r="G4244" t="inlineStr">
        <is>
          <t>HÄSSLEHOLM</t>
        </is>
      </c>
      <c r="I4244" t="n">
        <v>1.7</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17537-2022</t>
        </is>
      </c>
      <c r="B4245" t="inlineStr">
        <is>
          <t>avverkningsanmälan</t>
        </is>
      </c>
      <c r="C4245" t="inlineStr">
        <is>
          <t>Föryngringsavverkning</t>
        </is>
      </c>
      <c r="D4245" s="1" t="n">
        <v>44679</v>
      </c>
      <c r="E4245" s="1" t="n">
        <v>46312</v>
      </c>
      <c r="F4245" t="inlineStr">
        <is>
          <t>SKÅNE LÄN</t>
        </is>
      </c>
      <c r="G4245" t="inlineStr">
        <is>
          <t>OSBY</t>
        </is>
      </c>
      <c r="I4245" t="n">
        <v>2.5</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25183-2023</t>
        </is>
      </c>
      <c r="B4246" t="inlineStr">
        <is>
          <t>avverkningsanmälan</t>
        </is>
      </c>
      <c r="C4246" t="inlineStr">
        <is>
          <t>Föryngringsavverkning</t>
        </is>
      </c>
      <c r="D4246" s="1" t="n">
        <v>45079</v>
      </c>
      <c r="E4246" s="1" t="n">
        <v>46312</v>
      </c>
      <c r="F4246" t="inlineStr">
        <is>
          <t>SKÅNE LÄN</t>
        </is>
      </c>
      <c r="G4246" t="inlineStr">
        <is>
          <t>HÖRBY</t>
        </is>
      </c>
      <c r="I4246" t="n">
        <v>1.5</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40105-2026</t>
        </is>
      </c>
      <c r="B4247" t="inlineStr">
        <is>
          <t>avverkningsanmälan</t>
        </is>
      </c>
      <c r="C4247" t="inlineStr">
        <is>
          <t>Föryngringsavverkning</t>
        </is>
      </c>
      <c r="D4247" s="1" t="n">
        <v>46293</v>
      </c>
      <c r="E4247" s="1" t="n">
        <v>46312</v>
      </c>
      <c r="F4247" t="inlineStr">
        <is>
          <t>SKÅNE LÄN</t>
        </is>
      </c>
      <c r="G4247" t="inlineStr">
        <is>
          <t>HÄSSLEHOLM</t>
        </is>
      </c>
      <c r="I4247" t="n">
        <v>2.3</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40128-2026</t>
        </is>
      </c>
      <c r="B4248" t="inlineStr">
        <is>
          <t>avverkningsanmälan</t>
        </is>
      </c>
      <c r="C4248" t="inlineStr">
        <is>
          <t>Föryngringsavverkning</t>
        </is>
      </c>
      <c r="D4248" s="1" t="n">
        <v>46293</v>
      </c>
      <c r="E4248" s="1" t="n">
        <v>46312</v>
      </c>
      <c r="F4248" t="inlineStr">
        <is>
          <t>SKÅNE LÄN</t>
        </is>
      </c>
      <c r="G4248" t="inlineStr">
        <is>
          <t>TOMELILLA</t>
        </is>
      </c>
      <c r="I4248" t="n">
        <v>0.9</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4023-2024</t>
        </is>
      </c>
      <c r="B4249" t="inlineStr">
        <is>
          <t>avverkningsanmälan</t>
        </is>
      </c>
      <c r="C4249" t="inlineStr">
        <is>
          <t>Föryngringsavverkning</t>
        </is>
      </c>
      <c r="D4249" s="1" t="n">
        <v>45323</v>
      </c>
      <c r="E4249" s="1" t="n">
        <v>46312</v>
      </c>
      <c r="F4249" t="inlineStr">
        <is>
          <t>SKÅNE LÄN</t>
        </is>
      </c>
      <c r="G4249" t="inlineStr">
        <is>
          <t>TOMELILLA</t>
        </is>
      </c>
      <c r="H4249" t="inlineStr">
        <is>
          <t>Övriga Aktiebolag</t>
        </is>
      </c>
      <c r="I4249" t="n">
        <v>15.2</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19190-2023</t>
        </is>
      </c>
      <c r="B4250" t="inlineStr">
        <is>
          <t>avverkningsanmälan</t>
        </is>
      </c>
      <c r="C4250" t="inlineStr">
        <is>
          <t>Avverkning för annat ändamål</t>
        </is>
      </c>
      <c r="D4250" s="1" t="n">
        <v>45048</v>
      </c>
      <c r="E4250" s="1" t="n">
        <v>46312</v>
      </c>
      <c r="F4250" t="inlineStr">
        <is>
          <t>SKÅNE LÄN</t>
        </is>
      </c>
      <c r="G4250" t="inlineStr">
        <is>
          <t>SVEDALA</t>
        </is>
      </c>
      <c r="I4250" t="n">
        <v>0.5</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15104-2023</t>
        </is>
      </c>
      <c r="B4251" t="inlineStr">
        <is>
          <t>avverkningsanmälan</t>
        </is>
      </c>
      <c r="C4251" t="inlineStr">
        <is>
          <t>Föryngringsavverkning</t>
        </is>
      </c>
      <c r="D4251" s="1" t="n">
        <v>45016</v>
      </c>
      <c r="E4251" s="1" t="n">
        <v>46312</v>
      </c>
      <c r="F4251" t="inlineStr">
        <is>
          <t>SKÅNE LÄN</t>
        </is>
      </c>
      <c r="G4251" t="inlineStr">
        <is>
          <t>HÄSSLEHOLM</t>
        </is>
      </c>
      <c r="I4251" t="n">
        <v>0.8</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18246-2023</t>
        </is>
      </c>
      <c r="B4252" t="inlineStr">
        <is>
          <t>avverkningsanmälan</t>
        </is>
      </c>
      <c r="C4252" t="inlineStr">
        <is>
          <t>Föryngringsavverkning</t>
        </is>
      </c>
      <c r="D4252" s="1" t="n">
        <v>45041</v>
      </c>
      <c r="E4252" s="1" t="n">
        <v>46312</v>
      </c>
      <c r="F4252" t="inlineStr">
        <is>
          <t>SKÅNE LÄN</t>
        </is>
      </c>
      <c r="G4252" t="inlineStr">
        <is>
          <t>HÖÖR</t>
        </is>
      </c>
      <c r="I4252" t="n">
        <v>0.2</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28264-2022</t>
        </is>
      </c>
      <c r="B4253" t="inlineStr">
        <is>
          <t>avverkningsanmälan</t>
        </is>
      </c>
      <c r="C4253" t="inlineStr">
        <is>
          <t>Föryngringsavverkning</t>
        </is>
      </c>
      <c r="D4253" s="1" t="n">
        <v>44746</v>
      </c>
      <c r="E4253" s="1" t="n">
        <v>46312</v>
      </c>
      <c r="F4253" t="inlineStr">
        <is>
          <t>SKÅNE LÄN</t>
        </is>
      </c>
      <c r="G4253" t="inlineStr">
        <is>
          <t>ÄNGELHOLM</t>
        </is>
      </c>
      <c r="I4253" t="n">
        <v>1.5</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4231-2025</t>
        </is>
      </c>
      <c r="B4254" t="inlineStr">
        <is>
          <t>avverkningsanmälan</t>
        </is>
      </c>
      <c r="C4254" t="inlineStr">
        <is>
          <t>Föryngringsavverkning</t>
        </is>
      </c>
      <c r="D4254" s="1" t="n">
        <v>45685</v>
      </c>
      <c r="E4254" s="1" t="n">
        <v>46312</v>
      </c>
      <c r="F4254" t="inlineStr">
        <is>
          <t>SKÅNE LÄN</t>
        </is>
      </c>
      <c r="G4254" t="inlineStr">
        <is>
          <t>OSBY</t>
        </is>
      </c>
      <c r="H4254" t="inlineStr">
        <is>
          <t>Sveaskog</t>
        </is>
      </c>
      <c r="I4254" t="n">
        <v>1.1</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4248-2025</t>
        </is>
      </c>
      <c r="B4255" t="inlineStr">
        <is>
          <t>avverkningsanmälan</t>
        </is>
      </c>
      <c r="C4255" t="inlineStr">
        <is>
          <t>Föryngringsavverkning</t>
        </is>
      </c>
      <c r="D4255" s="1" t="n">
        <v>45685</v>
      </c>
      <c r="E4255" s="1" t="n">
        <v>46312</v>
      </c>
      <c r="F4255" t="inlineStr">
        <is>
          <t>SKÅNE LÄN</t>
        </is>
      </c>
      <c r="G4255" t="inlineStr">
        <is>
          <t>KRISTIANSTAD</t>
        </is>
      </c>
      <c r="I4255" t="n">
        <v>0.5</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23396-2023</t>
        </is>
      </c>
      <c r="B4256" t="inlineStr">
        <is>
          <t>avverkningsanmälan</t>
        </is>
      </c>
      <c r="C4256" t="inlineStr">
        <is>
          <t>Föryngringsavverkning</t>
        </is>
      </c>
      <c r="D4256" s="1" t="n">
        <v>45076</v>
      </c>
      <c r="E4256" s="1" t="n">
        <v>46312</v>
      </c>
      <c r="F4256" t="inlineStr">
        <is>
          <t>SKÅNE LÄN</t>
        </is>
      </c>
      <c r="G4256" t="inlineStr">
        <is>
          <t>ÖSTRA GÖINGE</t>
        </is>
      </c>
      <c r="I4256" t="n">
        <v>0.6</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47869-2022</t>
        </is>
      </c>
      <c r="B4257" t="inlineStr">
        <is>
          <t>avverkningsanmälan</t>
        </is>
      </c>
      <c r="C4257" t="inlineStr">
        <is>
          <t>Föryngringsavverkning</t>
        </is>
      </c>
      <c r="D4257" s="1" t="n">
        <v>44855</v>
      </c>
      <c r="E4257" s="1" t="n">
        <v>46312</v>
      </c>
      <c r="F4257" t="inlineStr">
        <is>
          <t>SKÅNE LÄN</t>
        </is>
      </c>
      <c r="G4257" t="inlineStr">
        <is>
          <t>KLIPPAN</t>
        </is>
      </c>
      <c r="I4257" t="n">
        <v>2.4</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29291-2023</t>
        </is>
      </c>
      <c r="B4258" t="inlineStr">
        <is>
          <t>avverkningsanmälan</t>
        </is>
      </c>
      <c r="C4258" t="inlineStr">
        <is>
          <t>Föryngringsavverkning</t>
        </is>
      </c>
      <c r="D4258" s="1" t="n">
        <v>45105</v>
      </c>
      <c r="E4258" s="1" t="n">
        <v>46312</v>
      </c>
      <c r="F4258" t="inlineStr">
        <is>
          <t>SKÅNE LÄN</t>
        </is>
      </c>
      <c r="G4258" t="inlineStr">
        <is>
          <t>OSBY</t>
        </is>
      </c>
      <c r="I4258" t="n">
        <v>1.5</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17110-2025</t>
        </is>
      </c>
      <c r="B4259" t="inlineStr">
        <is>
          <t>avverkningsanmälan</t>
        </is>
      </c>
      <c r="C4259" t="inlineStr">
        <is>
          <t>Föryngringsavverkning</t>
        </is>
      </c>
      <c r="D4259" s="1" t="n">
        <v>45755</v>
      </c>
      <c r="E4259" s="1" t="n">
        <v>46312</v>
      </c>
      <c r="F4259" t="inlineStr">
        <is>
          <t>SKÅNE LÄN</t>
        </is>
      </c>
      <c r="G4259" t="inlineStr">
        <is>
          <t>SIMRISHAMN</t>
        </is>
      </c>
      <c r="I4259" t="n">
        <v>0.3</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4501-2024</t>
        </is>
      </c>
      <c r="B4260" t="inlineStr">
        <is>
          <t>avverkningsanmälan</t>
        </is>
      </c>
      <c r="C4260" t="inlineStr">
        <is>
          <t>Föryngringsavverkning</t>
        </is>
      </c>
      <c r="D4260" s="1" t="n">
        <v>45327</v>
      </c>
      <c r="E4260" s="1" t="n">
        <v>46312</v>
      </c>
      <c r="F4260" t="inlineStr">
        <is>
          <t>SKÅNE LÄN</t>
        </is>
      </c>
      <c r="G4260" t="inlineStr">
        <is>
          <t>HÖÖR</t>
        </is>
      </c>
      <c r="I4260" t="n">
        <v>1.2</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12507-2022</t>
        </is>
      </c>
      <c r="B4261" t="inlineStr">
        <is>
          <t>avverkningsanmälan</t>
        </is>
      </c>
      <c r="C4261" t="inlineStr">
        <is>
          <t>Föryngringsavverkning</t>
        </is>
      </c>
      <c r="D4261" s="1" t="n">
        <v>44638</v>
      </c>
      <c r="E4261" s="1" t="n">
        <v>46312</v>
      </c>
      <c r="F4261" t="inlineStr">
        <is>
          <t>SKÅNE LÄN</t>
        </is>
      </c>
      <c r="G4261" t="inlineStr">
        <is>
          <t>HÄSSLEHOLM</t>
        </is>
      </c>
      <c r="I4261" t="n">
        <v>2.7</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19068-2025</t>
        </is>
      </c>
      <c r="B4262" t="inlineStr">
        <is>
          <t>avverkningsanmälan</t>
        </is>
      </c>
      <c r="C4262" t="inlineStr">
        <is>
          <t>Föryngringsavverkning</t>
        </is>
      </c>
      <c r="D4262" s="1" t="n">
        <v>45765</v>
      </c>
      <c r="E4262" s="1" t="n">
        <v>46312</v>
      </c>
      <c r="F4262" t="inlineStr">
        <is>
          <t>SKÅNE LÄN</t>
        </is>
      </c>
      <c r="G4262" t="inlineStr">
        <is>
          <t>ÖSTRA GÖINGE</t>
        </is>
      </c>
      <c r="I4262" t="n">
        <v>0.5</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39993-2026</t>
        </is>
      </c>
      <c r="B4263" t="inlineStr">
        <is>
          <t>avverkningsanmälan</t>
        </is>
      </c>
      <c r="C4263" t="inlineStr">
        <is>
          <t>Föryngringsavverkning</t>
        </is>
      </c>
      <c r="D4263" s="1" t="n">
        <v>46293</v>
      </c>
      <c r="E4263" s="1" t="n">
        <v>46312</v>
      </c>
      <c r="F4263" t="inlineStr">
        <is>
          <t>SKÅNE LÄN</t>
        </is>
      </c>
      <c r="G4263" t="inlineStr">
        <is>
          <t>ÄNGELHOLM</t>
        </is>
      </c>
      <c r="I4263" t="n">
        <v>6.3</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39558-2026</t>
        </is>
      </c>
      <c r="B4264" t="inlineStr">
        <is>
          <t>avverkningsanmälan</t>
        </is>
      </c>
      <c r="C4264" t="inlineStr">
        <is>
          <t>Avverkning för annat ändamål</t>
        </is>
      </c>
      <c r="D4264" s="1" t="n">
        <v>46289</v>
      </c>
      <c r="E4264" s="1" t="n">
        <v>46312</v>
      </c>
      <c r="F4264" t="inlineStr">
        <is>
          <t>SKÅNE LÄN</t>
        </is>
      </c>
      <c r="G4264" t="inlineStr">
        <is>
          <t>KRISTIANSTAD</t>
        </is>
      </c>
      <c r="I4264" t="n">
        <v>1.1</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39743-2026</t>
        </is>
      </c>
      <c r="B4265" t="inlineStr">
        <is>
          <t>avverkningsanmälan</t>
        </is>
      </c>
      <c r="C4265" t="inlineStr">
        <is>
          <t>Föryngringsavverkning</t>
        </is>
      </c>
      <c r="D4265" s="1" t="n">
        <v>46290</v>
      </c>
      <c r="E4265" s="1" t="n">
        <v>46312</v>
      </c>
      <c r="F4265" t="inlineStr">
        <is>
          <t>SKÅNE LÄN</t>
        </is>
      </c>
      <c r="G4265" t="inlineStr">
        <is>
          <t>KRISTIANSTAD</t>
        </is>
      </c>
      <c r="I4265" t="n">
        <v>8.9</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33796-2023</t>
        </is>
      </c>
      <c r="B4266" t="inlineStr">
        <is>
          <t>avverkningsanmälan</t>
        </is>
      </c>
      <c r="C4266" t="inlineStr">
        <is>
          <t>Föryngringsavverkning</t>
        </is>
      </c>
      <c r="D4266" s="1" t="n">
        <v>45133</v>
      </c>
      <c r="E4266" s="1" t="n">
        <v>46312</v>
      </c>
      <c r="F4266" t="inlineStr">
        <is>
          <t>SKÅNE LÄN</t>
        </is>
      </c>
      <c r="G4266" t="inlineStr">
        <is>
          <t>ÖRKELLJUNGA</t>
        </is>
      </c>
      <c r="I4266" t="n">
        <v>0.5</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33701-2026</t>
        </is>
      </c>
      <c r="B4267" t="inlineStr">
        <is>
          <t>avverkningsanmälan</t>
        </is>
      </c>
      <c r="C4267" t="inlineStr">
        <is>
          <t>Föryngringsavverkning</t>
        </is>
      </c>
      <c r="D4267" s="1" t="n">
        <v>46250</v>
      </c>
      <c r="E4267" s="1" t="n">
        <v>46312</v>
      </c>
      <c r="F4267" t="inlineStr">
        <is>
          <t>SKÅNE LÄN</t>
        </is>
      </c>
      <c r="G4267" t="inlineStr">
        <is>
          <t>KRISTIANSTAD</t>
        </is>
      </c>
      <c r="H4267" t="inlineStr">
        <is>
          <t>Sveaskog</t>
        </is>
      </c>
      <c r="I4267" t="n">
        <v>2.2</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39730-2026</t>
        </is>
      </c>
      <c r="B4268" t="inlineStr">
        <is>
          <t>avverkningsanmälan</t>
        </is>
      </c>
      <c r="C4268" t="inlineStr">
        <is>
          <t>Föryngringsavverkning</t>
        </is>
      </c>
      <c r="D4268" s="1" t="n">
        <v>46290</v>
      </c>
      <c r="E4268" s="1" t="n">
        <v>46312</v>
      </c>
      <c r="F4268" t="inlineStr">
        <is>
          <t>SKÅNE LÄN</t>
        </is>
      </c>
      <c r="G4268" t="inlineStr">
        <is>
          <t>ÖSTRA GÖINGE</t>
        </is>
      </c>
      <c r="I4268" t="n">
        <v>1.5</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2597-2024</t>
        </is>
      </c>
      <c r="B4269" t="inlineStr">
        <is>
          <t>avverkningsanmälan</t>
        </is>
      </c>
      <c r="C4269" t="inlineStr">
        <is>
          <t>Föryngringsavverkning</t>
        </is>
      </c>
      <c r="D4269" s="1" t="n">
        <v>45313</v>
      </c>
      <c r="E4269" s="1" t="n">
        <v>46312</v>
      </c>
      <c r="F4269" t="inlineStr">
        <is>
          <t>SKÅNE LÄN</t>
        </is>
      </c>
      <c r="G4269" t="inlineStr">
        <is>
          <t>HÄSSLEHOLM</t>
        </is>
      </c>
      <c r="I4269" t="n">
        <v>1</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2635-2024</t>
        </is>
      </c>
      <c r="B4270" t="inlineStr">
        <is>
          <t>avverkningsanmälan</t>
        </is>
      </c>
      <c r="C4270" t="inlineStr">
        <is>
          <t>Föryngringsavverkning</t>
        </is>
      </c>
      <c r="D4270" s="1" t="n">
        <v>45314</v>
      </c>
      <c r="E4270" s="1" t="n">
        <v>46312</v>
      </c>
      <c r="F4270" t="inlineStr">
        <is>
          <t>SKÅNE LÄN</t>
        </is>
      </c>
      <c r="G4270" t="inlineStr">
        <is>
          <t>OSBY</t>
        </is>
      </c>
      <c r="I4270" t="n">
        <v>2.1</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40144-2026</t>
        </is>
      </c>
      <c r="B4271" t="inlineStr">
        <is>
          <t>avverkningsanmälan</t>
        </is>
      </c>
      <c r="C4271" t="inlineStr">
        <is>
          <t>Föryngringsavverkning</t>
        </is>
      </c>
      <c r="D4271" s="1" t="n">
        <v>46293</v>
      </c>
      <c r="E4271" s="1" t="n">
        <v>46312</v>
      </c>
      <c r="F4271" t="inlineStr">
        <is>
          <t>SKÅNE LÄN</t>
        </is>
      </c>
      <c r="G4271" t="inlineStr">
        <is>
          <t>ÖRKELLJUNGA</t>
        </is>
      </c>
      <c r="I4271" t="n">
        <v>1.6</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37588-2024</t>
        </is>
      </c>
      <c r="B4272" t="inlineStr">
        <is>
          <t>avverkningsanmälan</t>
        </is>
      </c>
      <c r="C4272" t="inlineStr">
        <is>
          <t>Föryngringsavverkning</t>
        </is>
      </c>
      <c r="D4272" s="1" t="n">
        <v>45541</v>
      </c>
      <c r="E4272" s="1" t="n">
        <v>46312</v>
      </c>
      <c r="F4272" t="inlineStr">
        <is>
          <t>SKÅNE LÄN</t>
        </is>
      </c>
      <c r="G4272" t="inlineStr">
        <is>
          <t>ÖSTRA GÖINGE</t>
        </is>
      </c>
      <c r="I4272" t="n">
        <v>5</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37593-2024</t>
        </is>
      </c>
      <c r="B4273" t="inlineStr">
        <is>
          <t>avverkningsanmälan</t>
        </is>
      </c>
      <c r="C4273" t="inlineStr">
        <is>
          <t>Föryngringsavverkning</t>
        </is>
      </c>
      <c r="D4273" s="1" t="n">
        <v>45541</v>
      </c>
      <c r="E4273" s="1" t="n">
        <v>46312</v>
      </c>
      <c r="F4273" t="inlineStr">
        <is>
          <t>SKÅNE LÄN</t>
        </is>
      </c>
      <c r="G4273" t="inlineStr">
        <is>
          <t>ÖSTRA GÖINGE</t>
        </is>
      </c>
      <c r="I4273" t="n">
        <v>8.300000000000001</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28854-2026</t>
        </is>
      </c>
      <c r="B4274" t="inlineStr">
        <is>
          <t>avverkningsanmälan</t>
        </is>
      </c>
      <c r="C4274" t="inlineStr">
        <is>
          <t>Föryngringsavverkning</t>
        </is>
      </c>
      <c r="D4274" s="1" t="n">
        <v>46198</v>
      </c>
      <c r="E4274" s="1" t="n">
        <v>46312</v>
      </c>
      <c r="F4274" t="inlineStr">
        <is>
          <t>SKÅNE LÄN</t>
        </is>
      </c>
      <c r="G4274" t="inlineStr">
        <is>
          <t>BÅSTAD</t>
        </is>
      </c>
      <c r="I4274" t="n">
        <v>1.9</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6615-2024</t>
        </is>
      </c>
      <c r="B4275" t="inlineStr">
        <is>
          <t>avverkningsanmälan</t>
        </is>
      </c>
      <c r="C4275" t="inlineStr">
        <is>
          <t>Föryngringsavverkning</t>
        </is>
      </c>
      <c r="D4275" s="1" t="n">
        <v>45341</v>
      </c>
      <c r="E4275" s="1" t="n">
        <v>46312</v>
      </c>
      <c r="F4275" t="inlineStr">
        <is>
          <t>SKÅNE LÄN</t>
        </is>
      </c>
      <c r="G4275" t="inlineStr">
        <is>
          <t>KLIPPAN</t>
        </is>
      </c>
      <c r="I4275" t="n">
        <v>0.4</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26471-2023</t>
        </is>
      </c>
      <c r="B4276" t="inlineStr">
        <is>
          <t>avverkningsanmälan</t>
        </is>
      </c>
      <c r="C4276" t="inlineStr">
        <is>
          <t>Föryngringsavverkning</t>
        </is>
      </c>
      <c r="D4276" s="1" t="n">
        <v>45092</v>
      </c>
      <c r="E4276" s="1" t="n">
        <v>46312</v>
      </c>
      <c r="F4276" t="inlineStr">
        <is>
          <t>SKÅNE LÄN</t>
        </is>
      </c>
      <c r="G4276" t="inlineStr">
        <is>
          <t>SIMRISHAMN</t>
        </is>
      </c>
      <c r="I4276" t="n">
        <v>0.4</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56231-2022</t>
        </is>
      </c>
      <c r="B4277" t="inlineStr">
        <is>
          <t>avverkningsanmälan</t>
        </is>
      </c>
      <c r="C4277" t="inlineStr">
        <is>
          <t>Föryngringsavverkning</t>
        </is>
      </c>
      <c r="D4277" s="1" t="n">
        <v>44890</v>
      </c>
      <c r="E4277" s="1" t="n">
        <v>46312</v>
      </c>
      <c r="F4277" t="inlineStr">
        <is>
          <t>SKÅNE LÄN</t>
        </is>
      </c>
      <c r="G4277" t="inlineStr">
        <is>
          <t>HÖÖR</t>
        </is>
      </c>
      <c r="I4277" t="n">
        <v>7.7</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10196-2025</t>
        </is>
      </c>
      <c r="B4278" t="inlineStr">
        <is>
          <t>avverkningsanmälan</t>
        </is>
      </c>
      <c r="C4278" t="inlineStr">
        <is>
          <t>Föryngringsavverkning</t>
        </is>
      </c>
      <c r="D4278" s="1" t="n">
        <v>45719</v>
      </c>
      <c r="E4278" s="1" t="n">
        <v>46312</v>
      </c>
      <c r="F4278" t="inlineStr">
        <is>
          <t>SKÅNE LÄN</t>
        </is>
      </c>
      <c r="G4278" t="inlineStr">
        <is>
          <t>SVALÖV</t>
        </is>
      </c>
      <c r="I4278" t="n">
        <v>0.5</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41940-2022</t>
        </is>
      </c>
      <c r="B4279" t="inlineStr">
        <is>
          <t>avverkningsanmälan</t>
        </is>
      </c>
      <c r="C4279" t="inlineStr">
        <is>
          <t>Föryngringsavverkning</t>
        </is>
      </c>
      <c r="D4279" s="1" t="n">
        <v>44833</v>
      </c>
      <c r="E4279" s="1" t="n">
        <v>46312</v>
      </c>
      <c r="F4279" t="inlineStr">
        <is>
          <t>SKÅNE LÄN</t>
        </is>
      </c>
      <c r="G4279" t="inlineStr">
        <is>
          <t>HÖRBY</t>
        </is>
      </c>
      <c r="I4279" t="n">
        <v>0.7</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3531-2023</t>
        </is>
      </c>
      <c r="B4280" t="inlineStr">
        <is>
          <t>avverkningsanmälan</t>
        </is>
      </c>
      <c r="C4280" t="inlineStr">
        <is>
          <t>Avverkning för att bevara och utveckla /försöksver</t>
        </is>
      </c>
      <c r="D4280" s="1" t="n">
        <v>44950</v>
      </c>
      <c r="E4280" s="1" t="n">
        <v>46312</v>
      </c>
      <c r="F4280" t="inlineStr">
        <is>
          <t>SKÅNE LÄN</t>
        </is>
      </c>
      <c r="G4280" t="inlineStr">
        <is>
          <t>HÄSSLEHOLM</t>
        </is>
      </c>
      <c r="I4280" t="n">
        <v>10.1</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15417-2022</t>
        </is>
      </c>
      <c r="B4281" t="inlineStr">
        <is>
          <t>avverkningsanmälan</t>
        </is>
      </c>
      <c r="C4281" t="inlineStr">
        <is>
          <t>Föryngringsavverkning</t>
        </is>
      </c>
      <c r="D4281" s="1" t="n">
        <v>44659</v>
      </c>
      <c r="E4281" s="1" t="n">
        <v>46312</v>
      </c>
      <c r="F4281" t="inlineStr">
        <is>
          <t>SKÅNE LÄN</t>
        </is>
      </c>
      <c r="G4281" t="inlineStr">
        <is>
          <t>HÄSSLEHOLM</t>
        </is>
      </c>
      <c r="H4281" t="inlineStr">
        <is>
          <t>Kyrkan</t>
        </is>
      </c>
      <c r="I4281" t="n">
        <v>2.9</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31709-2023</t>
        </is>
      </c>
      <c r="B4282" t="inlineStr">
        <is>
          <t>avverkningsanmälan</t>
        </is>
      </c>
      <c r="C4282" t="inlineStr">
        <is>
          <t>Föryngringsavverkning</t>
        </is>
      </c>
      <c r="D4282" s="1" t="n">
        <v>45117</v>
      </c>
      <c r="E4282" s="1" t="n">
        <v>46312</v>
      </c>
      <c r="F4282" t="inlineStr">
        <is>
          <t>SKÅNE LÄN</t>
        </is>
      </c>
      <c r="G4282" t="inlineStr">
        <is>
          <t>ÄNGELHOLM</t>
        </is>
      </c>
      <c r="I4282" t="n">
        <v>0.6</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23454-2023</t>
        </is>
      </c>
      <c r="B4283" t="inlineStr">
        <is>
          <t>avverkningsanmälan</t>
        </is>
      </c>
      <c r="C4283" t="inlineStr">
        <is>
          <t>Föryngringsavverkning</t>
        </is>
      </c>
      <c r="D4283" s="1" t="n">
        <v>45076</v>
      </c>
      <c r="E4283" s="1" t="n">
        <v>46312</v>
      </c>
      <c r="F4283" t="inlineStr">
        <is>
          <t>SKÅNE LÄN</t>
        </is>
      </c>
      <c r="G4283" t="inlineStr">
        <is>
          <t>ÖSTRA GÖINGE</t>
        </is>
      </c>
      <c r="I4283" t="n">
        <v>1.2</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50659-2023</t>
        </is>
      </c>
      <c r="B4284" t="inlineStr">
        <is>
          <t>avverkningsanmälan</t>
        </is>
      </c>
      <c r="C4284" t="inlineStr">
        <is>
          <t>Föryngringsavverkning</t>
        </is>
      </c>
      <c r="D4284" s="1" t="n">
        <v>45217</v>
      </c>
      <c r="E4284" s="1" t="n">
        <v>46312</v>
      </c>
      <c r="F4284" t="inlineStr">
        <is>
          <t>SKÅNE LÄN</t>
        </is>
      </c>
      <c r="G4284" t="inlineStr">
        <is>
          <t>HÄSSLEHOLM</t>
        </is>
      </c>
      <c r="I4284" t="n">
        <v>0.6</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39759-2026</t>
        </is>
      </c>
      <c r="B4285" t="inlineStr">
        <is>
          <t>avverkningsanmälan</t>
        </is>
      </c>
      <c r="C4285" t="inlineStr">
        <is>
          <t>Föryngringsavverkning</t>
        </is>
      </c>
      <c r="D4285" s="1" t="n">
        <v>46290</v>
      </c>
      <c r="E4285" s="1" t="n">
        <v>46312</v>
      </c>
      <c r="F4285" t="inlineStr">
        <is>
          <t>SKÅNE LÄN</t>
        </is>
      </c>
      <c r="G4285" t="inlineStr">
        <is>
          <t>ÖRKELLJUNGA</t>
        </is>
      </c>
      <c r="I4285" t="n">
        <v>0.8</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24647-2023</t>
        </is>
      </c>
      <c r="B4286" t="inlineStr">
        <is>
          <t>avverkningsanmälan</t>
        </is>
      </c>
      <c r="C4286" t="inlineStr">
        <is>
          <t>Föryngringsavverkning</t>
        </is>
      </c>
      <c r="D4286" s="1" t="n">
        <v>45084</v>
      </c>
      <c r="E4286" s="1" t="n">
        <v>46312</v>
      </c>
      <c r="F4286" t="inlineStr">
        <is>
          <t>SKÅNE LÄN</t>
        </is>
      </c>
      <c r="G4286" t="inlineStr">
        <is>
          <t>KLIPPAN</t>
        </is>
      </c>
      <c r="H4286" t="inlineStr">
        <is>
          <t>Övriga Aktiebolag</t>
        </is>
      </c>
      <c r="I4286" t="n">
        <v>11.6</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12978-2024</t>
        </is>
      </c>
      <c r="B4287" t="inlineStr">
        <is>
          <t>avverkningsanmälan</t>
        </is>
      </c>
      <c r="C4287" t="inlineStr">
        <is>
          <t>Föryngringsavverkning</t>
        </is>
      </c>
      <c r="D4287" s="1" t="n">
        <v>45385</v>
      </c>
      <c r="E4287" s="1" t="n">
        <v>46312</v>
      </c>
      <c r="F4287" t="inlineStr">
        <is>
          <t>SKÅNE LÄN</t>
        </is>
      </c>
      <c r="G4287" t="inlineStr">
        <is>
          <t>OSBY</t>
        </is>
      </c>
      <c r="I4287" t="n">
        <v>5</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33552-2026</t>
        </is>
      </c>
      <c r="B4288" t="inlineStr">
        <is>
          <t>avverkningsanmälan</t>
        </is>
      </c>
      <c r="C4288" t="inlineStr">
        <is>
          <t>Föryngringsavverkning</t>
        </is>
      </c>
      <c r="D4288" s="1" t="n">
        <v>46248</v>
      </c>
      <c r="E4288" s="1" t="n">
        <v>46312</v>
      </c>
      <c r="F4288" t="inlineStr">
        <is>
          <t>SKÅNE LÄN</t>
        </is>
      </c>
      <c r="G4288" t="inlineStr">
        <is>
          <t>ÖSTRA GÖINGE</t>
        </is>
      </c>
      <c r="I4288" t="n">
        <v>2.1</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67801-2021</t>
        </is>
      </c>
      <c r="B4289" t="inlineStr">
        <is>
          <t>avverkningsanmälan</t>
        </is>
      </c>
      <c r="C4289" t="inlineStr">
        <is>
          <t>Avverkning för annat ändamål</t>
        </is>
      </c>
      <c r="D4289" s="1" t="n">
        <v>44525</v>
      </c>
      <c r="E4289" s="1" t="n">
        <v>46312</v>
      </c>
      <c r="F4289" t="inlineStr">
        <is>
          <t>SKÅNE LÄN</t>
        </is>
      </c>
      <c r="G4289" t="inlineStr">
        <is>
          <t>HÄSSLEHOLM</t>
        </is>
      </c>
      <c r="I4289" t="n">
        <v>2.2</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63931-2023</t>
        </is>
      </c>
      <c r="B4290" t="inlineStr">
        <is>
          <t>avverkningsanmälan</t>
        </is>
      </c>
      <c r="C4290" t="inlineStr">
        <is>
          <t>Föryngringsavverkning</t>
        </is>
      </c>
      <c r="D4290" s="1" t="n">
        <v>45278</v>
      </c>
      <c r="E4290" s="1" t="n">
        <v>46312</v>
      </c>
      <c r="F4290" t="inlineStr">
        <is>
          <t>SKÅNE LÄN</t>
        </is>
      </c>
      <c r="G4290" t="inlineStr">
        <is>
          <t>KRISTIANSTAD</t>
        </is>
      </c>
      <c r="I4290" t="n">
        <v>2.1</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63942-2023</t>
        </is>
      </c>
      <c r="B4291" t="inlineStr">
        <is>
          <t>avverkningsanmälan</t>
        </is>
      </c>
      <c r="C4291" t="inlineStr">
        <is>
          <t>Föryngringsavverkning</t>
        </is>
      </c>
      <c r="D4291" s="1" t="n">
        <v>45278</v>
      </c>
      <c r="E4291" s="1" t="n">
        <v>46312</v>
      </c>
      <c r="F4291" t="inlineStr">
        <is>
          <t>SKÅNE LÄN</t>
        </is>
      </c>
      <c r="G4291" t="inlineStr">
        <is>
          <t>KRISTIANSTAD</t>
        </is>
      </c>
      <c r="I4291" t="n">
        <v>0.7</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33406-2026</t>
        </is>
      </c>
      <c r="B4292" t="inlineStr">
        <is>
          <t>avverkningsanmälan</t>
        </is>
      </c>
      <c r="C4292" t="inlineStr">
        <is>
          <t>Föryngringsavverkning</t>
        </is>
      </c>
      <c r="D4292" s="1" t="n">
        <v>46247</v>
      </c>
      <c r="E4292" s="1" t="n">
        <v>46312</v>
      </c>
      <c r="F4292" t="inlineStr">
        <is>
          <t>SKÅNE LÄN</t>
        </is>
      </c>
      <c r="G4292" t="inlineStr">
        <is>
          <t>PERSTORP</t>
        </is>
      </c>
      <c r="I4292" t="n">
        <v>9.300000000000001</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2090-2023</t>
        </is>
      </c>
      <c r="B4293" t="inlineStr">
        <is>
          <t>avverkningsanmälan</t>
        </is>
      </c>
      <c r="C4293" t="inlineStr">
        <is>
          <t>Föryngringsavverkning</t>
        </is>
      </c>
      <c r="D4293" s="1" t="n">
        <v>44939</v>
      </c>
      <c r="E4293" s="1" t="n">
        <v>46312</v>
      </c>
      <c r="F4293" t="inlineStr">
        <is>
          <t>SKÅNE LÄN</t>
        </is>
      </c>
      <c r="G4293" t="inlineStr">
        <is>
          <t>ÖRKELLJUNGA</t>
        </is>
      </c>
      <c r="I4293" t="n">
        <v>1.6</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2144-2023</t>
        </is>
      </c>
      <c r="B4294" t="inlineStr">
        <is>
          <t>avverkningsanmälan</t>
        </is>
      </c>
      <c r="C4294" t="inlineStr">
        <is>
          <t>Föryngringsavverkning</t>
        </is>
      </c>
      <c r="D4294" s="1" t="n">
        <v>44940</v>
      </c>
      <c r="E4294" s="1" t="n">
        <v>46312</v>
      </c>
      <c r="F4294" t="inlineStr">
        <is>
          <t>SKÅNE LÄN</t>
        </is>
      </c>
      <c r="G4294" t="inlineStr">
        <is>
          <t>HÄSSLEHOLM</t>
        </is>
      </c>
      <c r="I4294" t="n">
        <v>0.7</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39723-2026</t>
        </is>
      </c>
      <c r="B4295" t="inlineStr">
        <is>
          <t>avverkningsanmälan</t>
        </is>
      </c>
      <c r="C4295" t="inlineStr">
        <is>
          <t>Föryngringsavverkning</t>
        </is>
      </c>
      <c r="D4295" s="1" t="n">
        <v>46290</v>
      </c>
      <c r="E4295" s="1" t="n">
        <v>46312</v>
      </c>
      <c r="F4295" t="inlineStr">
        <is>
          <t>SKÅNE LÄN</t>
        </is>
      </c>
      <c r="G4295" t="inlineStr">
        <is>
          <t>ÖSTRA GÖINGE</t>
        </is>
      </c>
      <c r="I4295" t="n">
        <v>8.199999999999999</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31619-2024</t>
        </is>
      </c>
      <c r="B4296" t="inlineStr">
        <is>
          <t>avverkningsanmälan</t>
        </is>
      </c>
      <c r="C4296" t="inlineStr">
        <is>
          <t>Föryngringsavverkning</t>
        </is>
      </c>
      <c r="D4296" s="1" t="n">
        <v>45506</v>
      </c>
      <c r="E4296" s="1" t="n">
        <v>46312</v>
      </c>
      <c r="F4296" t="inlineStr">
        <is>
          <t>SKÅNE LÄN</t>
        </is>
      </c>
      <c r="G4296" t="inlineStr">
        <is>
          <t>KRISTIANSTAD</t>
        </is>
      </c>
      <c r="I4296" t="n">
        <v>1.3</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32106-2023</t>
        </is>
      </c>
      <c r="B4297" t="inlineStr">
        <is>
          <t>avverkningsanmälan</t>
        </is>
      </c>
      <c r="C4297" t="inlineStr">
        <is>
          <t>Föryngringsavverkning</t>
        </is>
      </c>
      <c r="D4297" s="1" t="n">
        <v>45119</v>
      </c>
      <c r="E4297" s="1" t="n">
        <v>46312</v>
      </c>
      <c r="F4297" t="inlineStr">
        <is>
          <t>SKÅNE LÄN</t>
        </is>
      </c>
      <c r="G4297" t="inlineStr">
        <is>
          <t>KRISTIANSTAD</t>
        </is>
      </c>
      <c r="I4297" t="n">
        <v>0.5</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7202-2022</t>
        </is>
      </c>
      <c r="B4298" t="inlineStr">
        <is>
          <t>avverkningsanmälan</t>
        </is>
      </c>
      <c r="C4298" t="inlineStr">
        <is>
          <t>Föryngringsavverkning</t>
        </is>
      </c>
      <c r="D4298" s="1" t="n">
        <v>44606</v>
      </c>
      <c r="E4298" s="1" t="n">
        <v>46312</v>
      </c>
      <c r="F4298" t="inlineStr">
        <is>
          <t>SKÅNE LÄN</t>
        </is>
      </c>
      <c r="G4298" t="inlineStr">
        <is>
          <t>HÄSSLEHOLM</t>
        </is>
      </c>
      <c r="I4298" t="n">
        <v>4.7</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8665-2022</t>
        </is>
      </c>
      <c r="B4299" t="inlineStr">
        <is>
          <t>avverkningsanmälan</t>
        </is>
      </c>
      <c r="C4299" t="inlineStr">
        <is>
          <t>Föryngringsavverkning</t>
        </is>
      </c>
      <c r="D4299" s="1" t="n">
        <v>44613</v>
      </c>
      <c r="E4299" s="1" t="n">
        <v>46312</v>
      </c>
      <c r="F4299" t="inlineStr">
        <is>
          <t>SKÅNE LÄN</t>
        </is>
      </c>
      <c r="G4299" t="inlineStr">
        <is>
          <t>ÄNGELHOLM</t>
        </is>
      </c>
      <c r="I4299" t="n">
        <v>0.6</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60-2024</t>
        </is>
      </c>
      <c r="B4300" t="inlineStr">
        <is>
          <t>avverkningsanmälan</t>
        </is>
      </c>
      <c r="C4300" t="inlineStr">
        <is>
          <t>Föryngringsavverkning</t>
        </is>
      </c>
      <c r="D4300" s="1" t="n">
        <v>45293</v>
      </c>
      <c r="E4300" s="1" t="n">
        <v>46312</v>
      </c>
      <c r="F4300" t="inlineStr">
        <is>
          <t>SKÅNE LÄN</t>
        </is>
      </c>
      <c r="G4300" t="inlineStr">
        <is>
          <t>ÄNGELHOLM</t>
        </is>
      </c>
      <c r="I4300" t="n">
        <v>1.2</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40129-2026</t>
        </is>
      </c>
      <c r="B4301" t="inlineStr">
        <is>
          <t>avverkningsanmälan</t>
        </is>
      </c>
      <c r="C4301" t="inlineStr">
        <is>
          <t>Föryngringsavverkning</t>
        </is>
      </c>
      <c r="D4301" s="1" t="n">
        <v>46293</v>
      </c>
      <c r="E4301" s="1" t="n">
        <v>46312</v>
      </c>
      <c r="F4301" t="inlineStr">
        <is>
          <t>SKÅNE LÄN</t>
        </is>
      </c>
      <c r="G4301" t="inlineStr">
        <is>
          <t>TOMELILLA</t>
        </is>
      </c>
      <c r="I4301" t="n">
        <v>1.2</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34723-2023</t>
        </is>
      </c>
      <c r="B4302" t="inlineStr">
        <is>
          <t>avverkningsanmälan</t>
        </is>
      </c>
      <c r="C4302" t="inlineStr">
        <is>
          <t>Föryngringsavverkning</t>
        </is>
      </c>
      <c r="D4302" s="1" t="n">
        <v>45141</v>
      </c>
      <c r="E4302" s="1" t="n">
        <v>46312</v>
      </c>
      <c r="F4302" t="inlineStr">
        <is>
          <t>SKÅNE LÄN</t>
        </is>
      </c>
      <c r="G4302" t="inlineStr">
        <is>
          <t>KRISTIANSTAD</t>
        </is>
      </c>
      <c r="I4302" t="n">
        <v>0.6</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34730-2023</t>
        </is>
      </c>
      <c r="B4303" t="inlineStr">
        <is>
          <t>avverkningsanmälan</t>
        </is>
      </c>
      <c r="C4303" t="inlineStr">
        <is>
          <t>Föryngringsavverkning</t>
        </is>
      </c>
      <c r="D4303" s="1" t="n">
        <v>45141</v>
      </c>
      <c r="E4303" s="1" t="n">
        <v>46312</v>
      </c>
      <c r="F4303" t="inlineStr">
        <is>
          <t>SKÅNE LÄN</t>
        </is>
      </c>
      <c r="G4303" t="inlineStr">
        <is>
          <t>KRISTIANSTAD</t>
        </is>
      </c>
      <c r="I4303" t="n">
        <v>0.8</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49233-2022</t>
        </is>
      </c>
      <c r="B4304" t="inlineStr">
        <is>
          <t>avverkningsanmälan</t>
        </is>
      </c>
      <c r="C4304" t="inlineStr">
        <is>
          <t>Föryngringsavverkning</t>
        </is>
      </c>
      <c r="D4304" s="1" t="n">
        <v>44858</v>
      </c>
      <c r="E4304" s="1" t="n">
        <v>46312</v>
      </c>
      <c r="F4304" t="inlineStr">
        <is>
          <t>SKÅNE LÄN</t>
        </is>
      </c>
      <c r="G4304" t="inlineStr">
        <is>
          <t>KRISTIANSTAD</t>
        </is>
      </c>
      <c r="I4304" t="n">
        <v>7.1</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57161-2022</t>
        </is>
      </c>
      <c r="B4305" t="inlineStr">
        <is>
          <t>avverkningsanmälan</t>
        </is>
      </c>
      <c r="C4305" t="inlineStr">
        <is>
          <t>Föryngringsavverkning</t>
        </is>
      </c>
      <c r="D4305" s="1" t="n">
        <v>44895</v>
      </c>
      <c r="E4305" s="1" t="n">
        <v>46312</v>
      </c>
      <c r="F4305" t="inlineStr">
        <is>
          <t>SKÅNE LÄN</t>
        </is>
      </c>
      <c r="G4305" t="inlineStr">
        <is>
          <t>ÖRKELLJUNGA</t>
        </is>
      </c>
      <c r="I4305" t="n">
        <v>1</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3172-2024</t>
        </is>
      </c>
      <c r="B4306" t="inlineStr">
        <is>
          <t>avverkningsanmälan</t>
        </is>
      </c>
      <c r="C4306" t="inlineStr">
        <is>
          <t>Föryngringsavverkning</t>
        </is>
      </c>
      <c r="D4306" s="1" t="n">
        <v>45316</v>
      </c>
      <c r="E4306" s="1" t="n">
        <v>46312</v>
      </c>
      <c r="F4306" t="inlineStr">
        <is>
          <t>SKÅNE LÄN</t>
        </is>
      </c>
      <c r="G4306" t="inlineStr">
        <is>
          <t>ÖSTRA GÖINGE</t>
        </is>
      </c>
      <c r="I4306" t="n">
        <v>1.7</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2086-2023</t>
        </is>
      </c>
      <c r="B4307" t="inlineStr">
        <is>
          <t>avverkningsanmälan</t>
        </is>
      </c>
      <c r="C4307" t="inlineStr">
        <is>
          <t>Föryngringsavverkning</t>
        </is>
      </c>
      <c r="D4307" s="1" t="n">
        <v>44939</v>
      </c>
      <c r="E4307" s="1" t="n">
        <v>46312</v>
      </c>
      <c r="F4307" t="inlineStr">
        <is>
          <t>SKÅNE LÄN</t>
        </is>
      </c>
      <c r="G4307" t="inlineStr">
        <is>
          <t>ÖRKELLJUNGA</t>
        </is>
      </c>
      <c r="I4307" t="n">
        <v>2.5</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26443-2026</t>
        </is>
      </c>
      <c r="B4308" t="inlineStr">
        <is>
          <t>avverkningsanmälan</t>
        </is>
      </c>
      <c r="C4308" t="inlineStr">
        <is>
          <t>Föryngringsavverkning</t>
        </is>
      </c>
      <c r="D4308" s="1" t="n">
        <v>46182</v>
      </c>
      <c r="E4308" s="1" t="n">
        <v>46312</v>
      </c>
      <c r="F4308" t="inlineStr">
        <is>
          <t>SKÅNE LÄN</t>
        </is>
      </c>
      <c r="G4308" t="inlineStr">
        <is>
          <t>HÄSSLEHOLM</t>
        </is>
      </c>
      <c r="I4308" t="n">
        <v>3.6</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40501-2026</t>
        </is>
      </c>
      <c r="B4309" t="inlineStr">
        <is>
          <t>avverkningsanmälan</t>
        </is>
      </c>
      <c r="C4309" t="inlineStr">
        <is>
          <t>Föryngringsavverkning</t>
        </is>
      </c>
      <c r="D4309" s="1" t="n">
        <v>46295</v>
      </c>
      <c r="E4309" s="1" t="n">
        <v>46312</v>
      </c>
      <c r="F4309" t="inlineStr">
        <is>
          <t>SKÅNE LÄN</t>
        </is>
      </c>
      <c r="G4309" t="inlineStr">
        <is>
          <t>HÄSSLEHOLM</t>
        </is>
      </c>
      <c r="I4309" t="n">
        <v>7.8</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21494-2023</t>
        </is>
      </c>
      <c r="B4310" t="inlineStr">
        <is>
          <t>avverkningsanmälan</t>
        </is>
      </c>
      <c r="C4310" t="inlineStr">
        <is>
          <t>Föryngringsavverkning</t>
        </is>
      </c>
      <c r="D4310" s="1" t="n">
        <v>45063</v>
      </c>
      <c r="E4310" s="1" t="n">
        <v>46312</v>
      </c>
      <c r="F4310" t="inlineStr">
        <is>
          <t>SKÅNE LÄN</t>
        </is>
      </c>
      <c r="G4310" t="inlineStr">
        <is>
          <t>HÄSSLEHOLM</t>
        </is>
      </c>
      <c r="I4310" t="n">
        <v>3.7</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21495-2023</t>
        </is>
      </c>
      <c r="B4311" t="inlineStr">
        <is>
          <t>avverkningsanmälan</t>
        </is>
      </c>
      <c r="C4311" t="inlineStr">
        <is>
          <t>Föryngringsavverkning</t>
        </is>
      </c>
      <c r="D4311" s="1" t="n">
        <v>45063</v>
      </c>
      <c r="E4311" s="1" t="n">
        <v>46312</v>
      </c>
      <c r="F4311" t="inlineStr">
        <is>
          <t>SKÅNE LÄN</t>
        </is>
      </c>
      <c r="G4311" t="inlineStr">
        <is>
          <t>HÄSSLEHOLM</t>
        </is>
      </c>
      <c r="I4311" t="n">
        <v>1.2</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25597-2026</t>
        </is>
      </c>
      <c r="B4312" t="inlineStr">
        <is>
          <t>avverkningsanmälan</t>
        </is>
      </c>
      <c r="C4312" t="inlineStr">
        <is>
          <t>Föryngringsavverkning</t>
        </is>
      </c>
      <c r="D4312" s="1" t="n">
        <v>46177</v>
      </c>
      <c r="E4312" s="1" t="n">
        <v>46312</v>
      </c>
      <c r="F4312" t="inlineStr">
        <is>
          <t>SKÅNE LÄN</t>
        </is>
      </c>
      <c r="G4312" t="inlineStr">
        <is>
          <t>TOMELILLA</t>
        </is>
      </c>
      <c r="I4312" t="n">
        <v>2.5</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607-2024</t>
        </is>
      </c>
      <c r="B4313" t="inlineStr">
        <is>
          <t>avverkningsanmälan</t>
        </is>
      </c>
      <c r="C4313" t="inlineStr">
        <is>
          <t>Föryngringsavverkning</t>
        </is>
      </c>
      <c r="D4313" s="1" t="n">
        <v>45299</v>
      </c>
      <c r="E4313" s="1" t="n">
        <v>46312</v>
      </c>
      <c r="F4313" t="inlineStr">
        <is>
          <t>SKÅNE LÄN</t>
        </is>
      </c>
      <c r="G4313" t="inlineStr">
        <is>
          <t>ÄNGELHOLM</t>
        </is>
      </c>
      <c r="I4313" t="n">
        <v>0.6</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50304-2023</t>
        </is>
      </c>
      <c r="B4314" t="inlineStr">
        <is>
          <t>avverkningsanmälan</t>
        </is>
      </c>
      <c r="C4314" t="inlineStr">
        <is>
          <t>Avverkning för annat ändamål</t>
        </is>
      </c>
      <c r="D4314" s="1" t="n">
        <v>45209</v>
      </c>
      <c r="E4314" s="1" t="n">
        <v>46312</v>
      </c>
      <c r="F4314" t="inlineStr">
        <is>
          <t>SKÅNE LÄN</t>
        </is>
      </c>
      <c r="G4314" t="inlineStr">
        <is>
          <t>ÖRKELLJUNGA</t>
        </is>
      </c>
      <c r="I4314" t="n">
        <v>17.9</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62167-2022</t>
        </is>
      </c>
      <c r="B4315" t="inlineStr">
        <is>
          <t>avverkningsanmälan</t>
        </is>
      </c>
      <c r="C4315" t="inlineStr">
        <is>
          <t>Föryngringsavverkning</t>
        </is>
      </c>
      <c r="D4315" s="1" t="n">
        <v>44915</v>
      </c>
      <c r="E4315" s="1" t="n">
        <v>46312</v>
      </c>
      <c r="F4315" t="inlineStr">
        <is>
          <t>SKÅNE LÄN</t>
        </is>
      </c>
      <c r="G4315" t="inlineStr">
        <is>
          <t>HÄSSLEHOLM</t>
        </is>
      </c>
      <c r="H4315" t="inlineStr">
        <is>
          <t>Kyrkan</t>
        </is>
      </c>
      <c r="I4315" t="n">
        <v>3.1</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62234-2022</t>
        </is>
      </c>
      <c r="B4316" t="inlineStr">
        <is>
          <t>avverkningsanmälan</t>
        </is>
      </c>
      <c r="C4316" t="inlineStr">
        <is>
          <t>Avverkning för annat ändamål</t>
        </is>
      </c>
      <c r="D4316" s="1" t="n">
        <v>44922</v>
      </c>
      <c r="E4316" s="1" t="n">
        <v>46312</v>
      </c>
      <c r="F4316" t="inlineStr">
        <is>
          <t>SKÅNE LÄN</t>
        </is>
      </c>
      <c r="G4316" t="inlineStr">
        <is>
          <t>HÄSSLEHOLM</t>
        </is>
      </c>
      <c r="I4316" t="n">
        <v>1.3</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34299-2024</t>
        </is>
      </c>
      <c r="B4317" t="inlineStr">
        <is>
          <t>avverkningsanmälan</t>
        </is>
      </c>
      <c r="C4317" t="inlineStr">
        <is>
          <t>Föryngringsavverkning</t>
        </is>
      </c>
      <c r="D4317" s="1" t="n">
        <v>45524</v>
      </c>
      <c r="E4317" s="1" t="n">
        <v>46312</v>
      </c>
      <c r="F4317" t="inlineStr">
        <is>
          <t>SKÅNE LÄN</t>
        </is>
      </c>
      <c r="G4317" t="inlineStr">
        <is>
          <t>HÄSSLEHOLM</t>
        </is>
      </c>
      <c r="I4317" t="n">
        <v>0.7</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34302-2024</t>
        </is>
      </c>
      <c r="B4318" t="inlineStr">
        <is>
          <t>avverkningsanmälan</t>
        </is>
      </c>
      <c r="C4318" t="inlineStr">
        <is>
          <t>Föryngringsavverkning</t>
        </is>
      </c>
      <c r="D4318" s="1" t="n">
        <v>45524</v>
      </c>
      <c r="E4318" s="1" t="n">
        <v>46312</v>
      </c>
      <c r="F4318" t="inlineStr">
        <is>
          <t>SKÅNE LÄN</t>
        </is>
      </c>
      <c r="G4318" t="inlineStr">
        <is>
          <t>YSTAD</t>
        </is>
      </c>
      <c r="I4318" t="n">
        <v>1.9</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40177-2026</t>
        </is>
      </c>
      <c r="B4319" t="inlineStr">
        <is>
          <t>avverkningsanmälan</t>
        </is>
      </c>
      <c r="C4319" t="inlineStr">
        <is>
          <t>Föryngringsavverkning</t>
        </is>
      </c>
      <c r="D4319" s="1" t="n">
        <v>46290</v>
      </c>
      <c r="E4319" s="1" t="n">
        <v>46312</v>
      </c>
      <c r="F4319" t="inlineStr">
        <is>
          <t>SKÅNE LÄN</t>
        </is>
      </c>
      <c r="G4319" t="inlineStr">
        <is>
          <t>BROMÖLLA</t>
        </is>
      </c>
      <c r="I4319" t="n">
        <v>5.1</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40556-2026</t>
        </is>
      </c>
      <c r="B4320" t="inlineStr">
        <is>
          <t>avverkningsanmälan</t>
        </is>
      </c>
      <c r="C4320" t="inlineStr">
        <is>
          <t>Föryngringsavverkning</t>
        </is>
      </c>
      <c r="D4320" s="1" t="n">
        <v>46294</v>
      </c>
      <c r="E4320" s="1" t="n">
        <v>46312</v>
      </c>
      <c r="F4320" t="inlineStr">
        <is>
          <t>SKÅNE LÄN</t>
        </is>
      </c>
      <c r="G4320" t="inlineStr">
        <is>
          <t>HÄSSLEHOLM</t>
        </is>
      </c>
      <c r="I4320" t="n">
        <v>3.8</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3805-2024</t>
        </is>
      </c>
      <c r="B4321" t="inlineStr">
        <is>
          <t>avverkningsanmälan</t>
        </is>
      </c>
      <c r="C4321" t="inlineStr">
        <is>
          <t>Föryngringsavverkning</t>
        </is>
      </c>
      <c r="D4321" s="1" t="n">
        <v>45321</v>
      </c>
      <c r="E4321" s="1" t="n">
        <v>46312</v>
      </c>
      <c r="F4321" t="inlineStr">
        <is>
          <t>SKÅNE LÄN</t>
        </is>
      </c>
      <c r="G4321" t="inlineStr">
        <is>
          <t>ÖSTRA GÖINGE</t>
        </is>
      </c>
      <c r="I4321" t="n">
        <v>1.4</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11126-2025</t>
        </is>
      </c>
      <c r="B4322" t="inlineStr">
        <is>
          <t>avverkningsanmälan</t>
        </is>
      </c>
      <c r="C4322" t="inlineStr">
        <is>
          <t>Föryngringsavverkning</t>
        </is>
      </c>
      <c r="D4322" s="1" t="n">
        <v>45723</v>
      </c>
      <c r="E4322" s="1" t="n">
        <v>46312</v>
      </c>
      <c r="F4322" t="inlineStr">
        <is>
          <t>SKÅNE LÄN</t>
        </is>
      </c>
      <c r="G4322" t="inlineStr">
        <is>
          <t>ÖRKELLJUNGA</t>
        </is>
      </c>
      <c r="I4322" t="n">
        <v>0.7</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13974-2025</t>
        </is>
      </c>
      <c r="B4323" t="inlineStr">
        <is>
          <t>avverkningsanmälan</t>
        </is>
      </c>
      <c r="C4323" t="inlineStr">
        <is>
          <t>Föryngringsavverkning</t>
        </is>
      </c>
      <c r="D4323" s="1" t="n">
        <v>45738</v>
      </c>
      <c r="E4323" s="1" t="n">
        <v>46312</v>
      </c>
      <c r="F4323" t="inlineStr">
        <is>
          <t>SKÅNE LÄN</t>
        </is>
      </c>
      <c r="G4323" t="inlineStr">
        <is>
          <t>KRISTIANSTAD</t>
        </is>
      </c>
      <c r="I4323" t="n">
        <v>11.3</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33783-2026</t>
        </is>
      </c>
      <c r="B4324" t="inlineStr">
        <is>
          <t>avverkningsanmälan</t>
        </is>
      </c>
      <c r="C4324" t="inlineStr">
        <is>
          <t>Föryngringsavverkning</t>
        </is>
      </c>
      <c r="D4324" s="1" t="n">
        <v>46251</v>
      </c>
      <c r="E4324" s="1" t="n">
        <v>46312</v>
      </c>
      <c r="F4324" t="inlineStr">
        <is>
          <t>SKÅNE LÄN</t>
        </is>
      </c>
      <c r="G4324" t="inlineStr">
        <is>
          <t>KLIPPAN</t>
        </is>
      </c>
      <c r="I4324" t="n">
        <v>3.8</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42333-2023</t>
        </is>
      </c>
      <c r="B4325" t="inlineStr">
        <is>
          <t>avverkningsanmälan</t>
        </is>
      </c>
      <c r="C4325" t="inlineStr">
        <is>
          <t>Föryngringsavverkning</t>
        </is>
      </c>
      <c r="D4325" s="1" t="n">
        <v>45180</v>
      </c>
      <c r="E4325" s="1" t="n">
        <v>46312</v>
      </c>
      <c r="F4325" t="inlineStr">
        <is>
          <t>SKÅNE LÄN</t>
        </is>
      </c>
      <c r="G4325" t="inlineStr">
        <is>
          <t>BROMÖLLA</t>
        </is>
      </c>
      <c r="I4325" t="n">
        <v>0.7</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26447-2026</t>
        </is>
      </c>
      <c r="B4326" t="inlineStr">
        <is>
          <t>avverkningsanmälan</t>
        </is>
      </c>
      <c r="C4326" t="inlineStr">
        <is>
          <t>Föryngringsavverkning</t>
        </is>
      </c>
      <c r="D4326" s="1" t="n">
        <v>46182</v>
      </c>
      <c r="E4326" s="1" t="n">
        <v>46312</v>
      </c>
      <c r="F4326" t="inlineStr">
        <is>
          <t>SKÅNE LÄN</t>
        </is>
      </c>
      <c r="G4326" t="inlineStr">
        <is>
          <t>HÄSSLEHOLM</t>
        </is>
      </c>
      <c r="I4326" t="n">
        <v>8.1</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37620-2023</t>
        </is>
      </c>
      <c r="B4327" t="inlineStr">
        <is>
          <t>avverkningsanmälan</t>
        </is>
      </c>
      <c r="C4327" t="inlineStr">
        <is>
          <t>Föryngringsavverkning</t>
        </is>
      </c>
      <c r="D4327" s="1" t="n">
        <v>45159</v>
      </c>
      <c r="E4327" s="1" t="n">
        <v>46312</v>
      </c>
      <c r="F4327" t="inlineStr">
        <is>
          <t>SKÅNE LÄN</t>
        </is>
      </c>
      <c r="G4327" t="inlineStr">
        <is>
          <t>ÖRKELLJUNGA</t>
        </is>
      </c>
      <c r="I4327" t="n">
        <v>0.5</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13420-2023</t>
        </is>
      </c>
      <c r="B4328" t="inlineStr">
        <is>
          <t>avverkningsanmälan</t>
        </is>
      </c>
      <c r="C4328" t="inlineStr">
        <is>
          <t>Föryngringsavverkning</t>
        </is>
      </c>
      <c r="D4328" s="1" t="n">
        <v>45005</v>
      </c>
      <c r="E4328" s="1" t="n">
        <v>46312</v>
      </c>
      <c r="F4328" t="inlineStr">
        <is>
          <t>SKÅNE LÄN</t>
        </is>
      </c>
      <c r="G4328" t="inlineStr">
        <is>
          <t>KLIPPAN</t>
        </is>
      </c>
      <c r="H4328" t="inlineStr">
        <is>
          <t>Övriga Aktiebolag</t>
        </is>
      </c>
      <c r="I4328" t="n">
        <v>0.9</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9695-2023</t>
        </is>
      </c>
      <c r="B4329" t="inlineStr">
        <is>
          <t>avverkningsanmälan</t>
        </is>
      </c>
      <c r="C4329" t="inlineStr">
        <is>
          <t>Föryngringsavverkning</t>
        </is>
      </c>
      <c r="D4329" s="1" t="n">
        <v>44984</v>
      </c>
      <c r="E4329" s="1" t="n">
        <v>46312</v>
      </c>
      <c r="F4329" t="inlineStr">
        <is>
          <t>SKÅNE LÄN</t>
        </is>
      </c>
      <c r="G4329" t="inlineStr">
        <is>
          <t>ÖRKELLJUNGA</t>
        </is>
      </c>
      <c r="I4329" t="n">
        <v>1.7</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9697-2023</t>
        </is>
      </c>
      <c r="B4330" t="inlineStr">
        <is>
          <t>avverkningsanmälan</t>
        </is>
      </c>
      <c r="C4330" t="inlineStr">
        <is>
          <t>Föryngringsavverkning</t>
        </is>
      </c>
      <c r="D4330" s="1" t="n">
        <v>44984</v>
      </c>
      <c r="E4330" s="1" t="n">
        <v>46312</v>
      </c>
      <c r="F4330" t="inlineStr">
        <is>
          <t>SKÅNE LÄN</t>
        </is>
      </c>
      <c r="G4330" t="inlineStr">
        <is>
          <t>HÄSSLEHOLM</t>
        </is>
      </c>
      <c r="I4330" t="n">
        <v>0.3</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9701-2023</t>
        </is>
      </c>
      <c r="B4331" t="inlineStr">
        <is>
          <t>avverkningsanmälan</t>
        </is>
      </c>
      <c r="C4331" t="inlineStr">
        <is>
          <t>Föryngringsavverkning</t>
        </is>
      </c>
      <c r="D4331" s="1" t="n">
        <v>44984</v>
      </c>
      <c r="E4331" s="1" t="n">
        <v>46312</v>
      </c>
      <c r="F4331" t="inlineStr">
        <is>
          <t>SKÅNE LÄN</t>
        </is>
      </c>
      <c r="G4331" t="inlineStr">
        <is>
          <t>HÖÖR</t>
        </is>
      </c>
      <c r="I4331" t="n">
        <v>0.4</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7508-2025</t>
        </is>
      </c>
      <c r="B4332" t="inlineStr">
        <is>
          <t>avverkningsanmälan</t>
        </is>
      </c>
      <c r="C4332" t="inlineStr">
        <is>
          <t>Föryngringsavverkning</t>
        </is>
      </c>
      <c r="D4332" s="1" t="n">
        <v>45702</v>
      </c>
      <c r="E4332" s="1" t="n">
        <v>46312</v>
      </c>
      <c r="F4332" t="inlineStr">
        <is>
          <t>SKÅNE LÄN</t>
        </is>
      </c>
      <c r="G4332" t="inlineStr">
        <is>
          <t>PERSTORP</t>
        </is>
      </c>
      <c r="H4332" t="inlineStr">
        <is>
          <t>Övriga Aktiebolag</t>
        </is>
      </c>
      <c r="I4332" t="n">
        <v>2.3</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7510-2025</t>
        </is>
      </c>
      <c r="B4333" t="inlineStr">
        <is>
          <t>avverkningsanmälan</t>
        </is>
      </c>
      <c r="C4333" t="inlineStr">
        <is>
          <t>Föryngringsavverkning</t>
        </is>
      </c>
      <c r="D4333" s="1" t="n">
        <v>45702</v>
      </c>
      <c r="E4333" s="1" t="n">
        <v>46312</v>
      </c>
      <c r="F4333" t="inlineStr">
        <is>
          <t>SKÅNE LÄN</t>
        </is>
      </c>
      <c r="G4333" t="inlineStr">
        <is>
          <t>PERSTORP</t>
        </is>
      </c>
      <c r="H4333" t="inlineStr">
        <is>
          <t>Övriga Aktiebolag</t>
        </is>
      </c>
      <c r="I4333" t="n">
        <v>1.8</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2399-2025</t>
        </is>
      </c>
      <c r="B4334" t="inlineStr">
        <is>
          <t>avverkningsanmälan</t>
        </is>
      </c>
      <c r="C4334" t="inlineStr">
        <is>
          <t>Avverkning för annat ändamål</t>
        </is>
      </c>
      <c r="D4334" s="1" t="n">
        <v>45672</v>
      </c>
      <c r="E4334" s="1" t="n">
        <v>46312</v>
      </c>
      <c r="F4334" t="inlineStr">
        <is>
          <t>SKÅNE LÄN</t>
        </is>
      </c>
      <c r="G4334" t="inlineStr">
        <is>
          <t>ÖRKELLJUNGA</t>
        </is>
      </c>
      <c r="I4334" t="n">
        <v>1.9</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13754-2023</t>
        </is>
      </c>
      <c r="B4335" t="inlineStr">
        <is>
          <t>avverkningsanmälan</t>
        </is>
      </c>
      <c r="C4335" t="inlineStr">
        <is>
          <t>Föryngringsavverkning</t>
        </is>
      </c>
      <c r="D4335" s="1" t="n">
        <v>45007</v>
      </c>
      <c r="E4335" s="1" t="n">
        <v>46312</v>
      </c>
      <c r="F4335" t="inlineStr">
        <is>
          <t>SKÅNE LÄN</t>
        </is>
      </c>
      <c r="G4335" t="inlineStr">
        <is>
          <t>SJÖBO</t>
        </is>
      </c>
      <c r="I4335" t="n">
        <v>1.2</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36842-2026</t>
        </is>
      </c>
      <c r="B4336" t="inlineStr">
        <is>
          <t>avverkningsanmälan</t>
        </is>
      </c>
      <c r="C4336" t="inlineStr">
        <is>
          <t>Föryngringsavverkning</t>
        </is>
      </c>
      <c r="D4336" s="1" t="n">
        <v>46272</v>
      </c>
      <c r="E4336" s="1" t="n">
        <v>46312</v>
      </c>
      <c r="F4336" t="inlineStr">
        <is>
          <t>SKÅNE LÄN</t>
        </is>
      </c>
      <c r="G4336" t="inlineStr">
        <is>
          <t>KRISTIANSTAD</t>
        </is>
      </c>
      <c r="I4336" t="n">
        <v>3.7</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37912-2026</t>
        </is>
      </c>
      <c r="B4337" t="inlineStr">
        <is>
          <t>avverkningsanmälan</t>
        </is>
      </c>
      <c r="C4337" t="inlineStr">
        <is>
          <t>Föryngringsavverkning</t>
        </is>
      </c>
      <c r="D4337" s="1" t="n">
        <v>46280</v>
      </c>
      <c r="E4337" s="1" t="n">
        <v>46312</v>
      </c>
      <c r="F4337" t="inlineStr">
        <is>
          <t>SKÅNE LÄN</t>
        </is>
      </c>
      <c r="G4337" t="inlineStr">
        <is>
          <t>ÖRKELLJUNGA</t>
        </is>
      </c>
      <c r="I4337" t="n">
        <v>1.5</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42232-2022</t>
        </is>
      </c>
      <c r="B4338" t="inlineStr">
        <is>
          <t>avverkningsanmälan</t>
        </is>
      </c>
      <c r="C4338" t="inlineStr">
        <is>
          <t>Föryngringsavverkning</t>
        </is>
      </c>
      <c r="D4338" s="1" t="n">
        <v>44830</v>
      </c>
      <c r="E4338" s="1" t="n">
        <v>46312</v>
      </c>
      <c r="F4338" t="inlineStr">
        <is>
          <t>SKÅNE LÄN</t>
        </is>
      </c>
      <c r="G4338" t="inlineStr">
        <is>
          <t>HÄSSLEHOLM</t>
        </is>
      </c>
      <c r="I4338" t="n">
        <v>1.3</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25839-2023</t>
        </is>
      </c>
      <c r="B4339" t="inlineStr">
        <is>
          <t>avverkningsanmälan</t>
        </is>
      </c>
      <c r="C4339" t="inlineStr">
        <is>
          <t>Föryngringsavverkning</t>
        </is>
      </c>
      <c r="D4339" s="1" t="n">
        <v>45090</v>
      </c>
      <c r="E4339" s="1" t="n">
        <v>46312</v>
      </c>
      <c r="F4339" t="inlineStr">
        <is>
          <t>SKÅNE LÄN</t>
        </is>
      </c>
      <c r="G4339" t="inlineStr">
        <is>
          <t>KRISTIANSTAD</t>
        </is>
      </c>
      <c r="I4339" t="n">
        <v>5.3</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33880-2026</t>
        </is>
      </c>
      <c r="B4340" t="inlineStr">
        <is>
          <t>avverkningsanmälan</t>
        </is>
      </c>
      <c r="C4340" t="inlineStr">
        <is>
          <t>Föryngringsavverkning</t>
        </is>
      </c>
      <c r="D4340" s="1" t="n">
        <v>46251</v>
      </c>
      <c r="E4340" s="1" t="n">
        <v>46312</v>
      </c>
      <c r="F4340" t="inlineStr">
        <is>
          <t>SKÅNE LÄN</t>
        </is>
      </c>
      <c r="G4340" t="inlineStr">
        <is>
          <t>HÄSSLEHOLM</t>
        </is>
      </c>
      <c r="I4340" t="n">
        <v>0.4</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19256-2026</t>
        </is>
      </c>
      <c r="B4341" t="inlineStr">
        <is>
          <t>avverkningsanmälan</t>
        </is>
      </c>
      <c r="C4341" t="inlineStr">
        <is>
          <t>Föryngringsavverkning</t>
        </is>
      </c>
      <c r="D4341" s="1" t="n">
        <v>46132</v>
      </c>
      <c r="E4341" s="1" t="n">
        <v>46312</v>
      </c>
      <c r="F4341" t="inlineStr">
        <is>
          <t>SKÅNE LÄN</t>
        </is>
      </c>
      <c r="G4341" t="inlineStr">
        <is>
          <t>ÄNGELHOLM</t>
        </is>
      </c>
      <c r="I4341" t="n">
        <v>0.7</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59679-2023</t>
        </is>
      </c>
      <c r="B4342" t="inlineStr">
        <is>
          <t>avverkningsanmälan</t>
        </is>
      </c>
      <c r="C4342" t="inlineStr">
        <is>
          <t>Föryngringsavverkning</t>
        </is>
      </c>
      <c r="D4342" s="1" t="n">
        <v>45255</v>
      </c>
      <c r="E4342" s="1" t="n">
        <v>46312</v>
      </c>
      <c r="F4342" t="inlineStr">
        <is>
          <t>SKÅNE LÄN</t>
        </is>
      </c>
      <c r="G4342" t="inlineStr">
        <is>
          <t>OSBY</t>
        </is>
      </c>
      <c r="I4342" t="n">
        <v>15.6</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7782-2022</t>
        </is>
      </c>
      <c r="B4343" t="inlineStr">
        <is>
          <t>avverkningsanmälan</t>
        </is>
      </c>
      <c r="C4343" t="inlineStr">
        <is>
          <t>Föryngringsavverkning</t>
        </is>
      </c>
      <c r="D4343" s="1" t="n">
        <v>44608</v>
      </c>
      <c r="E4343" s="1" t="n">
        <v>46312</v>
      </c>
      <c r="F4343" t="inlineStr">
        <is>
          <t>SKÅNE LÄN</t>
        </is>
      </c>
      <c r="G4343" t="inlineStr">
        <is>
          <t>HÖÖR</t>
        </is>
      </c>
      <c r="I4343" t="n">
        <v>3</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35676-2023</t>
        </is>
      </c>
      <c r="B4344" t="inlineStr">
        <is>
          <t>avverkningsanmälan</t>
        </is>
      </c>
      <c r="C4344" t="inlineStr">
        <is>
          <t>Föryngringsavverkning</t>
        </is>
      </c>
      <c r="D4344" s="1" t="n">
        <v>45147</v>
      </c>
      <c r="E4344" s="1" t="n">
        <v>46312</v>
      </c>
      <c r="F4344" t="inlineStr">
        <is>
          <t>SKÅNE LÄN</t>
        </is>
      </c>
      <c r="G4344" t="inlineStr">
        <is>
          <t>ÖSTRA GÖINGE</t>
        </is>
      </c>
      <c r="I4344" t="n">
        <v>2.9</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37784-2022</t>
        </is>
      </c>
      <c r="B4345" t="inlineStr">
        <is>
          <t>avverkningsanmälan</t>
        </is>
      </c>
      <c r="C4345" t="inlineStr">
        <is>
          <t>Föryngringsavverkning</t>
        </is>
      </c>
      <c r="D4345" s="1" t="n">
        <v>44810</v>
      </c>
      <c r="E4345" s="1" t="n">
        <v>46312</v>
      </c>
      <c r="F4345" t="inlineStr">
        <is>
          <t>SKÅNE LÄN</t>
        </is>
      </c>
      <c r="G4345" t="inlineStr">
        <is>
          <t>ÖSTRA GÖINGE</t>
        </is>
      </c>
      <c r="H4345" t="inlineStr">
        <is>
          <t>Kyrkan</t>
        </is>
      </c>
      <c r="I4345" t="n">
        <v>2.3</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37038-2022</t>
        </is>
      </c>
      <c r="B4346" t="inlineStr">
        <is>
          <t>avverkningsanmälan</t>
        </is>
      </c>
      <c r="C4346" t="inlineStr">
        <is>
          <t>Föryngringsavverkning</t>
        </is>
      </c>
      <c r="D4346" s="1" t="n">
        <v>44806</v>
      </c>
      <c r="E4346" s="1" t="n">
        <v>46312</v>
      </c>
      <c r="F4346" t="inlineStr">
        <is>
          <t>SKÅNE LÄN</t>
        </is>
      </c>
      <c r="G4346" t="inlineStr">
        <is>
          <t>HÄSSLEHOLM</t>
        </is>
      </c>
      <c r="I4346" t="n">
        <v>0.7</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22699-2024</t>
        </is>
      </c>
      <c r="B4347" t="inlineStr">
        <is>
          <t>avverkningsanmälan</t>
        </is>
      </c>
      <c r="C4347" t="inlineStr">
        <is>
          <t>Föryngringsavverkning</t>
        </is>
      </c>
      <c r="D4347" s="1" t="n">
        <v>45448</v>
      </c>
      <c r="E4347" s="1" t="n">
        <v>46312</v>
      </c>
      <c r="F4347" t="inlineStr">
        <is>
          <t>SKÅNE LÄN</t>
        </is>
      </c>
      <c r="G4347" t="inlineStr">
        <is>
          <t>ÖRKELLJUNGA</t>
        </is>
      </c>
      <c r="I4347" t="n">
        <v>0.4</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4149-2022</t>
        </is>
      </c>
      <c r="B4348" t="inlineStr">
        <is>
          <t>avverkningsanmälan</t>
        </is>
      </c>
      <c r="C4348" t="inlineStr">
        <is>
          <t>Avverkning för annat ändamål</t>
        </is>
      </c>
      <c r="D4348" s="1" t="n">
        <v>44588</v>
      </c>
      <c r="E4348" s="1" t="n">
        <v>46312</v>
      </c>
      <c r="F4348" t="inlineStr">
        <is>
          <t>SKÅNE LÄN</t>
        </is>
      </c>
      <c r="G4348" t="inlineStr">
        <is>
          <t>SVALÖV</t>
        </is>
      </c>
      <c r="I4348" t="n">
        <v>1.1</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32702-2023</t>
        </is>
      </c>
      <c r="B4349" t="inlineStr">
        <is>
          <t>avverkningsanmälan</t>
        </is>
      </c>
      <c r="C4349" t="inlineStr">
        <is>
          <t>Föryngringsavverkning</t>
        </is>
      </c>
      <c r="D4349" s="1" t="n">
        <v>45121</v>
      </c>
      <c r="E4349" s="1" t="n">
        <v>46312</v>
      </c>
      <c r="F4349" t="inlineStr">
        <is>
          <t>SKÅNE LÄN</t>
        </is>
      </c>
      <c r="G4349" t="inlineStr">
        <is>
          <t>KRISTIANSTAD</t>
        </is>
      </c>
      <c r="H4349" t="inlineStr">
        <is>
          <t>Sveaskog</t>
        </is>
      </c>
      <c r="I4349" t="n">
        <v>0.7</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50728-2023</t>
        </is>
      </c>
      <c r="B4350" t="inlineStr">
        <is>
          <t>avverkningsanmälan</t>
        </is>
      </c>
      <c r="C4350" t="inlineStr">
        <is>
          <t>Föryngringsavverkning</t>
        </is>
      </c>
      <c r="D4350" s="1" t="n">
        <v>45217</v>
      </c>
      <c r="E4350" s="1" t="n">
        <v>46312</v>
      </c>
      <c r="F4350" t="inlineStr">
        <is>
          <t>SKÅNE LÄN</t>
        </is>
      </c>
      <c r="G4350" t="inlineStr">
        <is>
          <t>OSBY</t>
        </is>
      </c>
      <c r="H4350" t="inlineStr">
        <is>
          <t>Kommuner</t>
        </is>
      </c>
      <c r="I4350" t="n">
        <v>1.8</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5894-2023</t>
        </is>
      </c>
      <c r="B4351" t="inlineStr">
        <is>
          <t>avverkningsanmälan</t>
        </is>
      </c>
      <c r="C4351" t="inlineStr">
        <is>
          <t>Föryngringsavverkning</t>
        </is>
      </c>
      <c r="D4351" s="1" t="n">
        <v>44963</v>
      </c>
      <c r="E4351" s="1" t="n">
        <v>46312</v>
      </c>
      <c r="F4351" t="inlineStr">
        <is>
          <t>SKÅNE LÄN</t>
        </is>
      </c>
      <c r="G4351" t="inlineStr">
        <is>
          <t>HÄSSLEHOLM</t>
        </is>
      </c>
      <c r="I4351" t="n">
        <v>0.8</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40463-2026</t>
        </is>
      </c>
      <c r="B4352" t="inlineStr">
        <is>
          <t>avverkningsanmälan</t>
        </is>
      </c>
      <c r="C4352" t="inlineStr">
        <is>
          <t>Föryngringsavverkning</t>
        </is>
      </c>
      <c r="D4352" s="1" t="n">
        <v>46295</v>
      </c>
      <c r="E4352" s="1" t="n">
        <v>46312</v>
      </c>
      <c r="F4352" t="inlineStr">
        <is>
          <t>SKÅNE LÄN</t>
        </is>
      </c>
      <c r="G4352" t="inlineStr">
        <is>
          <t>HÄSSLEHOLM</t>
        </is>
      </c>
      <c r="I4352" t="n">
        <v>3.5</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40214-2026</t>
        </is>
      </c>
      <c r="B4353" t="inlineStr">
        <is>
          <t>avverkningsanmälan</t>
        </is>
      </c>
      <c r="C4353" t="inlineStr">
        <is>
          <t>Föryngringsavverkning</t>
        </is>
      </c>
      <c r="D4353" s="1" t="n">
        <v>46290</v>
      </c>
      <c r="E4353" s="1" t="n">
        <v>46312</v>
      </c>
      <c r="F4353" t="inlineStr">
        <is>
          <t>SKÅNE LÄN</t>
        </is>
      </c>
      <c r="G4353" t="inlineStr">
        <is>
          <t>BROMÖLLA</t>
        </is>
      </c>
      <c r="I4353" t="n">
        <v>4.7</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9502-2023</t>
        </is>
      </c>
      <c r="B4354" t="inlineStr">
        <is>
          <t>avverkningsanmälan</t>
        </is>
      </c>
      <c r="C4354" t="inlineStr">
        <is>
          <t>Föryngringsavverkning</t>
        </is>
      </c>
      <c r="D4354" s="1" t="n">
        <v>44981</v>
      </c>
      <c r="E4354" s="1" t="n">
        <v>46312</v>
      </c>
      <c r="F4354" t="inlineStr">
        <is>
          <t>SKÅNE LÄN</t>
        </is>
      </c>
      <c r="G4354" t="inlineStr">
        <is>
          <t>HÄSSLEHOLM</t>
        </is>
      </c>
      <c r="I4354" t="n">
        <v>0.4</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13975-2025</t>
        </is>
      </c>
      <c r="B4355" t="inlineStr">
        <is>
          <t>avverkningsanmälan</t>
        </is>
      </c>
      <c r="C4355" t="inlineStr">
        <is>
          <t>Föryngringsavverkning</t>
        </is>
      </c>
      <c r="D4355" s="1" t="n">
        <v>45738</v>
      </c>
      <c r="E4355" s="1" t="n">
        <v>46312</v>
      </c>
      <c r="F4355" t="inlineStr">
        <is>
          <t>SKÅNE LÄN</t>
        </is>
      </c>
      <c r="G4355" t="inlineStr">
        <is>
          <t>KRISTIANSTAD</t>
        </is>
      </c>
      <c r="I4355" t="n">
        <v>3.3</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13976-2025</t>
        </is>
      </c>
      <c r="B4356" t="inlineStr">
        <is>
          <t>avverkningsanmälan</t>
        </is>
      </c>
      <c r="C4356" t="inlineStr">
        <is>
          <t>Föryngringsavverkning</t>
        </is>
      </c>
      <c r="D4356" s="1" t="n">
        <v>45738</v>
      </c>
      <c r="E4356" s="1" t="n">
        <v>46312</v>
      </c>
      <c r="F4356" t="inlineStr">
        <is>
          <t>SKÅNE LÄN</t>
        </is>
      </c>
      <c r="G4356" t="inlineStr">
        <is>
          <t>KRISTIANSTAD</t>
        </is>
      </c>
      <c r="I4356" t="n">
        <v>0.9</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42916-2024</t>
        </is>
      </c>
      <c r="B4357" t="inlineStr">
        <is>
          <t>avverkningsanmälan</t>
        </is>
      </c>
      <c r="C4357" t="inlineStr">
        <is>
          <t>Föryngringsavverkning</t>
        </is>
      </c>
      <c r="D4357" s="1" t="n">
        <v>45566</v>
      </c>
      <c r="E4357" s="1" t="n">
        <v>46312</v>
      </c>
      <c r="F4357" t="inlineStr">
        <is>
          <t>SKÅNE LÄN</t>
        </is>
      </c>
      <c r="G4357" t="inlineStr">
        <is>
          <t>KRISTIANSTAD</t>
        </is>
      </c>
      <c r="I4357" t="n">
        <v>1.5</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40508-2026</t>
        </is>
      </c>
      <c r="B4358" t="inlineStr">
        <is>
          <t>avverkningsanmälan</t>
        </is>
      </c>
      <c r="C4358" t="inlineStr">
        <is>
          <t>Föryngringsavverkning</t>
        </is>
      </c>
      <c r="D4358" s="1" t="n">
        <v>46295</v>
      </c>
      <c r="E4358" s="1" t="n">
        <v>46312</v>
      </c>
      <c r="F4358" t="inlineStr">
        <is>
          <t>SKÅNE LÄN</t>
        </is>
      </c>
      <c r="G4358" t="inlineStr">
        <is>
          <t>KLIPPAN</t>
        </is>
      </c>
      <c r="I4358" t="n">
        <v>6.9</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9006-2024</t>
        </is>
      </c>
      <c r="B4359" t="inlineStr">
        <is>
          <t>avverkningsanmälan</t>
        </is>
      </c>
      <c r="C4359" t="inlineStr">
        <is>
          <t>Föryngringsavverkning</t>
        </is>
      </c>
      <c r="D4359" s="1" t="n">
        <v>45357</v>
      </c>
      <c r="E4359" s="1" t="n">
        <v>46312</v>
      </c>
      <c r="F4359" t="inlineStr">
        <is>
          <t>SKÅNE LÄN</t>
        </is>
      </c>
      <c r="G4359" t="inlineStr">
        <is>
          <t>BROMÖLLA</t>
        </is>
      </c>
      <c r="I4359" t="n">
        <v>1.7</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9020-2024</t>
        </is>
      </c>
      <c r="B4360" t="inlineStr">
        <is>
          <t>avverkningsanmälan</t>
        </is>
      </c>
      <c r="C4360" t="inlineStr">
        <is>
          <t>Föryngringsavverkning</t>
        </is>
      </c>
      <c r="D4360" s="1" t="n">
        <v>45357</v>
      </c>
      <c r="E4360" s="1" t="n">
        <v>46312</v>
      </c>
      <c r="F4360" t="inlineStr">
        <is>
          <t>SKÅNE LÄN</t>
        </is>
      </c>
      <c r="G4360" t="inlineStr">
        <is>
          <t>KRISTIANSTAD</t>
        </is>
      </c>
      <c r="I4360" t="n">
        <v>2.2</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33858-2026</t>
        </is>
      </c>
      <c r="B4361" t="inlineStr">
        <is>
          <t>avverkningsanmälan</t>
        </is>
      </c>
      <c r="C4361" t="inlineStr">
        <is>
          <t>Föryngringsavverkning</t>
        </is>
      </c>
      <c r="D4361" s="1" t="n">
        <v>46251</v>
      </c>
      <c r="E4361" s="1" t="n">
        <v>46312</v>
      </c>
      <c r="F4361" t="inlineStr">
        <is>
          <t>SKÅNE LÄN</t>
        </is>
      </c>
      <c r="G4361" t="inlineStr">
        <is>
          <t>HÄSSLEHOLM</t>
        </is>
      </c>
      <c r="I4361" t="n">
        <v>9.9</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54284-2023</t>
        </is>
      </c>
      <c r="B4362" t="inlineStr">
        <is>
          <t>avverkningsanmälan</t>
        </is>
      </c>
      <c r="C4362" t="inlineStr">
        <is>
          <t>Föryngringsavverkning</t>
        </is>
      </c>
      <c r="D4362" s="1" t="n">
        <v>45232</v>
      </c>
      <c r="E4362" s="1" t="n">
        <v>46312</v>
      </c>
      <c r="F4362" t="inlineStr">
        <is>
          <t>SKÅNE LÄN</t>
        </is>
      </c>
      <c r="G4362" t="inlineStr">
        <is>
          <t>SVEDALA</t>
        </is>
      </c>
      <c r="I4362" t="n">
        <v>2.2</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57749-2023</t>
        </is>
      </c>
      <c r="B4363" t="inlineStr">
        <is>
          <t>avverkningsanmälan</t>
        </is>
      </c>
      <c r="C4363" t="inlineStr">
        <is>
          <t>Föryngringsavverkning</t>
        </is>
      </c>
      <c r="D4363" s="1" t="n">
        <v>45246</v>
      </c>
      <c r="E4363" s="1" t="n">
        <v>46312</v>
      </c>
      <c r="F4363" t="inlineStr">
        <is>
          <t>SKÅNE LÄN</t>
        </is>
      </c>
      <c r="G4363" t="inlineStr">
        <is>
          <t>HÄSSLEHOLM</t>
        </is>
      </c>
      <c r="I4363" t="n">
        <v>2.7</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40581-2026</t>
        </is>
      </c>
      <c r="B4364" t="inlineStr">
        <is>
          <t>avverkningsanmälan</t>
        </is>
      </c>
      <c r="C4364" t="inlineStr">
        <is>
          <t>Föryngringsavverkning</t>
        </is>
      </c>
      <c r="D4364" s="1" t="n">
        <v>46295</v>
      </c>
      <c r="E4364" s="1" t="n">
        <v>46312</v>
      </c>
      <c r="F4364" t="inlineStr">
        <is>
          <t>SKÅNE LÄN</t>
        </is>
      </c>
      <c r="G4364" t="inlineStr">
        <is>
          <t>HÄSSLEHOLM</t>
        </is>
      </c>
      <c r="I4364" t="n">
        <v>0.8</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1538-2024</t>
        </is>
      </c>
      <c r="B4365" t="inlineStr">
        <is>
          <t>avverkningsanmälan</t>
        </is>
      </c>
      <c r="C4365" t="inlineStr">
        <is>
          <t>Föryngringsavverkning</t>
        </is>
      </c>
      <c r="D4365" s="1" t="n">
        <v>45306</v>
      </c>
      <c r="E4365" s="1" t="n">
        <v>46312</v>
      </c>
      <c r="F4365" t="inlineStr">
        <is>
          <t>SKÅNE LÄN</t>
        </is>
      </c>
      <c r="G4365" t="inlineStr">
        <is>
          <t>HÄSSLEHOLM</t>
        </is>
      </c>
      <c r="I4365" t="n">
        <v>4.8</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3135-2023</t>
        </is>
      </c>
      <c r="B4366" t="inlineStr">
        <is>
          <t>avverkningsanmälan</t>
        </is>
      </c>
      <c r="C4366" t="inlineStr">
        <is>
          <t>Föryngringsavverkning</t>
        </is>
      </c>
      <c r="D4366" s="1" t="n">
        <v>44946</v>
      </c>
      <c r="E4366" s="1" t="n">
        <v>46312</v>
      </c>
      <c r="F4366" t="inlineStr">
        <is>
          <t>SKÅNE LÄN</t>
        </is>
      </c>
      <c r="G4366" t="inlineStr">
        <is>
          <t>HÄSSLEHOLM</t>
        </is>
      </c>
      <c r="I4366" t="n">
        <v>7.2</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3157-2023</t>
        </is>
      </c>
      <c r="B4367" t="inlineStr">
        <is>
          <t>avverkningsanmälan</t>
        </is>
      </c>
      <c r="C4367" t="inlineStr">
        <is>
          <t>Föryngringsavverkning</t>
        </is>
      </c>
      <c r="D4367" s="1" t="n">
        <v>44946</v>
      </c>
      <c r="E4367" s="1" t="n">
        <v>46312</v>
      </c>
      <c r="F4367" t="inlineStr">
        <is>
          <t>SKÅNE LÄN</t>
        </is>
      </c>
      <c r="G4367" t="inlineStr">
        <is>
          <t>ÖSTRA GÖINGE</t>
        </is>
      </c>
      <c r="I4367" t="n">
        <v>0.6</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26437-2026</t>
        </is>
      </c>
      <c r="B4368" t="inlineStr">
        <is>
          <t>avverkningsanmälan</t>
        </is>
      </c>
      <c r="C4368" t="inlineStr">
        <is>
          <t>Föryngringsavverkning</t>
        </is>
      </c>
      <c r="D4368" s="1" t="n">
        <v>46182</v>
      </c>
      <c r="E4368" s="1" t="n">
        <v>46312</v>
      </c>
      <c r="F4368" t="inlineStr">
        <is>
          <t>SKÅNE LÄN</t>
        </is>
      </c>
      <c r="G4368" t="inlineStr">
        <is>
          <t>HÄSSLEHOLM</t>
        </is>
      </c>
      <c r="I4368" t="n">
        <v>2.2</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40288-2026</t>
        </is>
      </c>
      <c r="B4369" t="inlineStr">
        <is>
          <t>avverkningsanmälan</t>
        </is>
      </c>
      <c r="C4369" t="inlineStr">
        <is>
          <t>Föryngringsavverkning</t>
        </is>
      </c>
      <c r="D4369" s="1" t="n">
        <v>46294</v>
      </c>
      <c r="E4369" s="1" t="n">
        <v>46312</v>
      </c>
      <c r="F4369" t="inlineStr">
        <is>
          <t>SKÅNE LÄN</t>
        </is>
      </c>
      <c r="G4369" t="inlineStr">
        <is>
          <t>ÖSTRA GÖINGE</t>
        </is>
      </c>
      <c r="I4369" t="n">
        <v>0.4</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67456-2021</t>
        </is>
      </c>
      <c r="B4370" t="inlineStr">
        <is>
          <t>avverkningsanmälan</t>
        </is>
      </c>
      <c r="C4370" t="inlineStr">
        <is>
          <t>Föryngringsavverkning</t>
        </is>
      </c>
      <c r="D4370" s="1" t="n">
        <v>44524</v>
      </c>
      <c r="E4370" s="1" t="n">
        <v>46312</v>
      </c>
      <c r="F4370" t="inlineStr">
        <is>
          <t>SKÅNE LÄN</t>
        </is>
      </c>
      <c r="G4370" t="inlineStr">
        <is>
          <t>SVEDALA</t>
        </is>
      </c>
      <c r="I4370" t="n">
        <v>8.1</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25508-2023</t>
        </is>
      </c>
      <c r="B4371" t="inlineStr">
        <is>
          <t>avverkningsanmälan</t>
        </is>
      </c>
      <c r="C4371" t="inlineStr">
        <is>
          <t>Föryngringsavverkning</t>
        </is>
      </c>
      <c r="D4371" s="1" t="n">
        <v>45089</v>
      </c>
      <c r="E4371" s="1" t="n">
        <v>46312</v>
      </c>
      <c r="F4371" t="inlineStr">
        <is>
          <t>SKÅNE LÄN</t>
        </is>
      </c>
      <c r="G4371" t="inlineStr">
        <is>
          <t>ESLÖV</t>
        </is>
      </c>
      <c r="I4371" t="n">
        <v>0.4</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42281-2024</t>
        </is>
      </c>
      <c r="B4372" t="inlineStr">
        <is>
          <t>avverkningsanmälan</t>
        </is>
      </c>
      <c r="C4372" t="inlineStr">
        <is>
          <t>Föryngringsavverkning</t>
        </is>
      </c>
      <c r="D4372" s="1" t="n">
        <v>45562</v>
      </c>
      <c r="E4372" s="1" t="n">
        <v>46312</v>
      </c>
      <c r="F4372" t="inlineStr">
        <is>
          <t>SKÅNE LÄN</t>
        </is>
      </c>
      <c r="G4372" t="inlineStr">
        <is>
          <t>KLIPPAN</t>
        </is>
      </c>
      <c r="H4372" t="inlineStr">
        <is>
          <t>Sveaskog</t>
        </is>
      </c>
      <c r="I4372" t="n">
        <v>0.6</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37743-2026</t>
        </is>
      </c>
      <c r="B4373" t="inlineStr">
        <is>
          <t>avverkningsanmälan</t>
        </is>
      </c>
      <c r="C4373" t="inlineStr">
        <is>
          <t>Föryngringsavverkning</t>
        </is>
      </c>
      <c r="D4373" s="1" t="n">
        <v>46279</v>
      </c>
      <c r="E4373" s="1" t="n">
        <v>46312</v>
      </c>
      <c r="F4373" t="inlineStr">
        <is>
          <t>SKÅNE LÄN</t>
        </is>
      </c>
      <c r="G4373" t="inlineStr">
        <is>
          <t>TOMELILLA</t>
        </is>
      </c>
      <c r="I4373" t="n">
        <v>1.2</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42284-2024</t>
        </is>
      </c>
      <c r="B4374" t="inlineStr">
        <is>
          <t>avverkningsanmälan</t>
        </is>
      </c>
      <c r="C4374" t="inlineStr">
        <is>
          <t>Föryngringsavverkning</t>
        </is>
      </c>
      <c r="D4374" s="1" t="n">
        <v>45562</v>
      </c>
      <c r="E4374" s="1" t="n">
        <v>46312</v>
      </c>
      <c r="F4374" t="inlineStr">
        <is>
          <t>SKÅNE LÄN</t>
        </is>
      </c>
      <c r="G4374" t="inlineStr">
        <is>
          <t>KLIPPAN</t>
        </is>
      </c>
      <c r="H4374" t="inlineStr">
        <is>
          <t>Sveaskog</t>
        </is>
      </c>
      <c r="I4374" t="n">
        <v>1</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44739-2024</t>
        </is>
      </c>
      <c r="B4375" t="inlineStr">
        <is>
          <t>avverkningsanmälan</t>
        </is>
      </c>
      <c r="C4375" t="inlineStr">
        <is>
          <t>Föryngringsavverkning</t>
        </is>
      </c>
      <c r="D4375" s="1" t="n">
        <v>45574</v>
      </c>
      <c r="E4375" s="1" t="n">
        <v>46312</v>
      </c>
      <c r="F4375" t="inlineStr">
        <is>
          <t>SKÅNE LÄN</t>
        </is>
      </c>
      <c r="G4375" t="inlineStr">
        <is>
          <t>HÖÖR</t>
        </is>
      </c>
      <c r="I4375" t="n">
        <v>3.1</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3402-2024</t>
        </is>
      </c>
      <c r="B4376" t="inlineStr">
        <is>
          <t>avverkningsanmälan</t>
        </is>
      </c>
      <c r="C4376" t="inlineStr">
        <is>
          <t>Föryngringsavverkning</t>
        </is>
      </c>
      <c r="D4376" s="1" t="n">
        <v>45318</v>
      </c>
      <c r="E4376" s="1" t="n">
        <v>46312</v>
      </c>
      <c r="F4376" t="inlineStr">
        <is>
          <t>SKÅNE LÄN</t>
        </is>
      </c>
      <c r="G4376" t="inlineStr">
        <is>
          <t>SIMRISHAMN</t>
        </is>
      </c>
      <c r="I4376" t="n">
        <v>0.5</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3489-2024</t>
        </is>
      </c>
      <c r="B4377" t="inlineStr">
        <is>
          <t>avverkningsanmälan</t>
        </is>
      </c>
      <c r="C4377" t="inlineStr">
        <is>
          <t>Föryngringsavverkning</t>
        </is>
      </c>
      <c r="D4377" s="1" t="n">
        <v>45320</v>
      </c>
      <c r="E4377" s="1" t="n">
        <v>46312</v>
      </c>
      <c r="F4377" t="inlineStr">
        <is>
          <t>SKÅNE LÄN</t>
        </is>
      </c>
      <c r="G4377" t="inlineStr">
        <is>
          <t>KLIPPAN</t>
        </is>
      </c>
      <c r="I4377" t="n">
        <v>1.7</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3507-2024</t>
        </is>
      </c>
      <c r="B4378" t="inlineStr">
        <is>
          <t>avverkningsanmälan</t>
        </is>
      </c>
      <c r="C4378" t="inlineStr">
        <is>
          <t>Föryngringsavverkning</t>
        </is>
      </c>
      <c r="D4378" s="1" t="n">
        <v>45320</v>
      </c>
      <c r="E4378" s="1" t="n">
        <v>46312</v>
      </c>
      <c r="F4378" t="inlineStr">
        <is>
          <t>SKÅNE LÄN</t>
        </is>
      </c>
      <c r="G4378" t="inlineStr">
        <is>
          <t>HÄSSLEHOLM</t>
        </is>
      </c>
      <c r="I4378" t="n">
        <v>6.4</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55469-2024</t>
        </is>
      </c>
      <c r="B4379" t="inlineStr">
        <is>
          <t>avverkningsanmälan</t>
        </is>
      </c>
      <c r="C4379" t="inlineStr">
        <is>
          <t>Föryngringsavverkning</t>
        </is>
      </c>
      <c r="D4379" s="1" t="n">
        <v>45622</v>
      </c>
      <c r="E4379" s="1" t="n">
        <v>46312</v>
      </c>
      <c r="F4379" t="inlineStr">
        <is>
          <t>SKÅNE LÄN</t>
        </is>
      </c>
      <c r="G4379" t="inlineStr">
        <is>
          <t>KRISTIANSTAD</t>
        </is>
      </c>
      <c r="I4379" t="n">
        <v>0.6</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49111-2023</t>
        </is>
      </c>
      <c r="B4380" t="inlineStr">
        <is>
          <t>avverkningsanmälan</t>
        </is>
      </c>
      <c r="C4380" t="inlineStr">
        <is>
          <t>Föryngringsavverkning</t>
        </is>
      </c>
      <c r="D4380" s="1" t="n">
        <v>45210</v>
      </c>
      <c r="E4380" s="1" t="n">
        <v>46312</v>
      </c>
      <c r="F4380" t="inlineStr">
        <is>
          <t>SKÅNE LÄN</t>
        </is>
      </c>
      <c r="G4380" t="inlineStr">
        <is>
          <t>HÄSSLEHOLM</t>
        </is>
      </c>
      <c r="I4380" t="n">
        <v>0.2</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61178-2022</t>
        </is>
      </c>
      <c r="B4381" t="inlineStr">
        <is>
          <t>avverkningsanmälan</t>
        </is>
      </c>
      <c r="C4381" t="inlineStr">
        <is>
          <t>Föryngringsavverkning</t>
        </is>
      </c>
      <c r="D4381" s="1" t="n">
        <v>44915</v>
      </c>
      <c r="E4381" s="1" t="n">
        <v>46312</v>
      </c>
      <c r="F4381" t="inlineStr">
        <is>
          <t>SKÅNE LÄN</t>
        </is>
      </c>
      <c r="G4381" t="inlineStr">
        <is>
          <t>HÄSSLEHOLM</t>
        </is>
      </c>
      <c r="I4381" t="n">
        <v>1.2</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61185-2022</t>
        </is>
      </c>
      <c r="B4382" t="inlineStr">
        <is>
          <t>avverkningsanmälan</t>
        </is>
      </c>
      <c r="C4382" t="inlineStr">
        <is>
          <t>Föryngringsavverkning</t>
        </is>
      </c>
      <c r="D4382" s="1" t="n">
        <v>44915</v>
      </c>
      <c r="E4382" s="1" t="n">
        <v>46312</v>
      </c>
      <c r="F4382" t="inlineStr">
        <is>
          <t>SKÅNE LÄN</t>
        </is>
      </c>
      <c r="G4382" t="inlineStr">
        <is>
          <t>HÄSSLEHOLM</t>
        </is>
      </c>
      <c r="I4382" t="n">
        <v>0.7</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58562-2022</t>
        </is>
      </c>
      <c r="B4383" t="inlineStr">
        <is>
          <t>avverkningsanmälan</t>
        </is>
      </c>
      <c r="C4383" t="inlineStr">
        <is>
          <t>Föryngringsavverkning</t>
        </is>
      </c>
      <c r="D4383" s="1" t="n">
        <v>44902</v>
      </c>
      <c r="E4383" s="1" t="n">
        <v>46312</v>
      </c>
      <c r="F4383" t="inlineStr">
        <is>
          <t>SKÅNE LÄN</t>
        </is>
      </c>
      <c r="G4383" t="inlineStr">
        <is>
          <t>OSBY</t>
        </is>
      </c>
      <c r="H4383" t="inlineStr">
        <is>
          <t>Sveaskog</t>
        </is>
      </c>
      <c r="I4383" t="n">
        <v>2</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40983-2026</t>
        </is>
      </c>
      <c r="B4384" t="inlineStr">
        <is>
          <t>avverkningsanmälan</t>
        </is>
      </c>
      <c r="C4384" t="inlineStr">
        <is>
          <t>Föryngringsavverkning</t>
        </is>
      </c>
      <c r="D4384" s="1" t="n">
        <v>46297</v>
      </c>
      <c r="E4384" s="1" t="n">
        <v>46312</v>
      </c>
      <c r="F4384" t="inlineStr">
        <is>
          <t>SKÅNE LÄN</t>
        </is>
      </c>
      <c r="G4384" t="inlineStr">
        <is>
          <t>HÄSSLEHOLM</t>
        </is>
      </c>
      <c r="I4384" t="n">
        <v>1.5</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25867-2026</t>
        </is>
      </c>
      <c r="B4385" t="inlineStr">
        <is>
          <t>avverkningsanmälan</t>
        </is>
      </c>
      <c r="C4385" t="inlineStr">
        <is>
          <t>Föryngringsavverkning</t>
        </is>
      </c>
      <c r="D4385" s="1" t="n">
        <v>46178</v>
      </c>
      <c r="E4385" s="1" t="n">
        <v>46312</v>
      </c>
      <c r="F4385" t="inlineStr">
        <is>
          <t>SKÅNE LÄN</t>
        </is>
      </c>
      <c r="G4385" t="inlineStr">
        <is>
          <t>PERSTORP</t>
        </is>
      </c>
      <c r="H4385" t="inlineStr">
        <is>
          <t>Övriga Aktiebolag</t>
        </is>
      </c>
      <c r="I4385" t="n">
        <v>1.5</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58915-2023</t>
        </is>
      </c>
      <c r="B4386" t="inlineStr">
        <is>
          <t>avverkningsanmälan</t>
        </is>
      </c>
      <c r="C4386" t="inlineStr">
        <is>
          <t>Föryngringsavverkning</t>
        </is>
      </c>
      <c r="D4386" s="1" t="n">
        <v>45250</v>
      </c>
      <c r="E4386" s="1" t="n">
        <v>46312</v>
      </c>
      <c r="F4386" t="inlineStr">
        <is>
          <t>SKÅNE LÄN</t>
        </is>
      </c>
      <c r="G4386" t="inlineStr">
        <is>
          <t>HÄSSLEHOLM</t>
        </is>
      </c>
      <c r="I4386" t="n">
        <v>0.8</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49206-2024</t>
        </is>
      </c>
      <c r="B4387" t="inlineStr">
        <is>
          <t>avverkningsanmälan</t>
        </is>
      </c>
      <c r="C4387" t="inlineStr">
        <is>
          <t>Föryngringsavverkning</t>
        </is>
      </c>
      <c r="D4387" s="1" t="n">
        <v>45595</v>
      </c>
      <c r="E4387" s="1" t="n">
        <v>46312</v>
      </c>
      <c r="F4387" t="inlineStr">
        <is>
          <t>SKÅNE LÄN</t>
        </is>
      </c>
      <c r="G4387" t="inlineStr">
        <is>
          <t>ÄNGELHOLM</t>
        </is>
      </c>
      <c r="I4387" t="n">
        <v>1.7</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15111-2023</t>
        </is>
      </c>
      <c r="B4388" t="inlineStr">
        <is>
          <t>avverkningsanmälan</t>
        </is>
      </c>
      <c r="C4388" t="inlineStr">
        <is>
          <t>Föryngringsavverkning</t>
        </is>
      </c>
      <c r="D4388" s="1" t="n">
        <v>45015</v>
      </c>
      <c r="E4388" s="1" t="n">
        <v>46312</v>
      </c>
      <c r="F4388" t="inlineStr">
        <is>
          <t>SKÅNE LÄN</t>
        </is>
      </c>
      <c r="G4388" t="inlineStr">
        <is>
          <t>KRISTIANSTAD</t>
        </is>
      </c>
      <c r="H4388" t="inlineStr">
        <is>
          <t>Kyrkan</t>
        </is>
      </c>
      <c r="I4388" t="n">
        <v>5.9</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19503-2022</t>
        </is>
      </c>
      <c r="B4389" t="inlineStr">
        <is>
          <t>avverkningsanmälan</t>
        </is>
      </c>
      <c r="C4389" t="inlineStr">
        <is>
          <t>Föryngringsavverkning</t>
        </is>
      </c>
      <c r="D4389" s="1" t="n">
        <v>44693</v>
      </c>
      <c r="E4389" s="1" t="n">
        <v>46312</v>
      </c>
      <c r="F4389" t="inlineStr">
        <is>
          <t>SKÅNE LÄN</t>
        </is>
      </c>
      <c r="G4389" t="inlineStr">
        <is>
          <t>ÄNGELHOLM</t>
        </is>
      </c>
      <c r="I4389" t="n">
        <v>5.1</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15508-2023</t>
        </is>
      </c>
      <c r="B4390" t="inlineStr">
        <is>
          <t>avverkningsanmälan</t>
        </is>
      </c>
      <c r="C4390" t="inlineStr">
        <is>
          <t>Föryngringsavverkning</t>
        </is>
      </c>
      <c r="D4390" s="1" t="n">
        <v>45020</v>
      </c>
      <c r="E4390" s="1" t="n">
        <v>46312</v>
      </c>
      <c r="F4390" t="inlineStr">
        <is>
          <t>SKÅNE LÄN</t>
        </is>
      </c>
      <c r="G4390" t="inlineStr">
        <is>
          <t>HÄSSLEHOLM</t>
        </is>
      </c>
      <c r="I4390" t="n">
        <v>0.6</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41253-2023</t>
        </is>
      </c>
      <c r="B4391" t="inlineStr">
        <is>
          <t>avverkningsanmälan</t>
        </is>
      </c>
      <c r="C4391" t="inlineStr">
        <is>
          <t>Föryngringsavverkning</t>
        </is>
      </c>
      <c r="D4391" s="1" t="n">
        <v>45174</v>
      </c>
      <c r="E4391" s="1" t="n">
        <v>46312</v>
      </c>
      <c r="F4391" t="inlineStr">
        <is>
          <t>SKÅNE LÄN</t>
        </is>
      </c>
      <c r="G4391" t="inlineStr">
        <is>
          <t>BROMÖLLA</t>
        </is>
      </c>
      <c r="I4391" t="n">
        <v>0.5</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38684-2022</t>
        </is>
      </c>
      <c r="B4392" t="inlineStr">
        <is>
          <t>avverkningsanmälan</t>
        </is>
      </c>
      <c r="C4392" t="inlineStr">
        <is>
          <t>Föryngringsavverkning</t>
        </is>
      </c>
      <c r="D4392" s="1" t="n">
        <v>44814</v>
      </c>
      <c r="E4392" s="1" t="n">
        <v>46312</v>
      </c>
      <c r="F4392" t="inlineStr">
        <is>
          <t>SKÅNE LÄN</t>
        </is>
      </c>
      <c r="G4392" t="inlineStr">
        <is>
          <t>HÖRBY</t>
        </is>
      </c>
      <c r="I4392" t="n">
        <v>2.5</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5096-2022</t>
        </is>
      </c>
      <c r="B4393" t="inlineStr">
        <is>
          <t>avverkningsanmälan</t>
        </is>
      </c>
      <c r="C4393" t="inlineStr">
        <is>
          <t>Föryngringsavverkning</t>
        </is>
      </c>
      <c r="D4393" s="1" t="n">
        <v>44593</v>
      </c>
      <c r="E4393" s="1" t="n">
        <v>46312</v>
      </c>
      <c r="F4393" t="inlineStr">
        <is>
          <t>SKÅNE LÄN</t>
        </is>
      </c>
      <c r="G4393" t="inlineStr">
        <is>
          <t>ÖSTRA GÖINGE</t>
        </is>
      </c>
      <c r="I4393" t="n">
        <v>4.2</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40899-2026</t>
        </is>
      </c>
      <c r="B4394" t="inlineStr">
        <is>
          <t>avverkningsanmälan</t>
        </is>
      </c>
      <c r="C4394" t="inlineStr">
        <is>
          <t>Föryngringsavverkning</t>
        </is>
      </c>
      <c r="D4394" s="1" t="n">
        <v>46297</v>
      </c>
      <c r="E4394" s="1" t="n">
        <v>46312</v>
      </c>
      <c r="F4394" t="inlineStr">
        <is>
          <t>SKÅNE LÄN</t>
        </is>
      </c>
      <c r="G4394" t="inlineStr">
        <is>
          <t>HÄSSLEHOLM</t>
        </is>
      </c>
      <c r="I4394" t="n">
        <v>2.7</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39015-2023</t>
        </is>
      </c>
      <c r="B4395" t="inlineStr">
        <is>
          <t>avverkningsanmälan</t>
        </is>
      </c>
      <c r="C4395" t="inlineStr">
        <is>
          <t>Föryngringsavverkning</t>
        </is>
      </c>
      <c r="D4395" s="1" t="n">
        <v>45162</v>
      </c>
      <c r="E4395" s="1" t="n">
        <v>46312</v>
      </c>
      <c r="F4395" t="inlineStr">
        <is>
          <t>SKÅNE LÄN</t>
        </is>
      </c>
      <c r="G4395" t="inlineStr">
        <is>
          <t>SIMRISHAMN</t>
        </is>
      </c>
      <c r="I4395" t="n">
        <v>9</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40835-2026</t>
        </is>
      </c>
      <c r="B4396" t="inlineStr">
        <is>
          <t>avverkningsanmälan</t>
        </is>
      </c>
      <c r="C4396" t="inlineStr">
        <is>
          <t>Föryngringsavverkning</t>
        </is>
      </c>
      <c r="D4396" s="1" t="n">
        <v>46296</v>
      </c>
      <c r="E4396" s="1" t="n">
        <v>46312</v>
      </c>
      <c r="F4396" t="inlineStr">
        <is>
          <t>SKÅNE LÄN</t>
        </is>
      </c>
      <c r="G4396" t="inlineStr">
        <is>
          <t>KRISTIANSTAD</t>
        </is>
      </c>
      <c r="I4396" t="n">
        <v>1.6</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56820-2024</t>
        </is>
      </c>
      <c r="B4397" t="inlineStr">
        <is>
          <t>avverkningsanmälan</t>
        </is>
      </c>
      <c r="C4397" t="inlineStr">
        <is>
          <t>Avverkning för annat ändamål</t>
        </is>
      </c>
      <c r="D4397" s="1" t="n">
        <v>45628</v>
      </c>
      <c r="E4397" s="1" t="n">
        <v>46312</v>
      </c>
      <c r="F4397" t="inlineStr">
        <is>
          <t>SKÅNE LÄN</t>
        </is>
      </c>
      <c r="G4397" t="inlineStr">
        <is>
          <t>SIMRISHAMN</t>
        </is>
      </c>
      <c r="I4397" t="n">
        <v>1.5</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28247-2022</t>
        </is>
      </c>
      <c r="B4398" t="inlineStr">
        <is>
          <t>avverkningsanmälan</t>
        </is>
      </c>
      <c r="C4398" t="inlineStr">
        <is>
          <t>Föryngringsavverkning</t>
        </is>
      </c>
      <c r="D4398" s="1" t="n">
        <v>44746</v>
      </c>
      <c r="E4398" s="1" t="n">
        <v>46312</v>
      </c>
      <c r="F4398" t="inlineStr">
        <is>
          <t>SKÅNE LÄN</t>
        </is>
      </c>
      <c r="G4398" t="inlineStr">
        <is>
          <t>PERSTORP</t>
        </is>
      </c>
      <c r="I4398" t="n">
        <v>0.9</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12025-2025</t>
        </is>
      </c>
      <c r="B4399" t="inlineStr">
        <is>
          <t>avverkningsanmälan</t>
        </is>
      </c>
      <c r="C4399" t="inlineStr">
        <is>
          <t>Föryngringsavverkning</t>
        </is>
      </c>
      <c r="D4399" s="1" t="n">
        <v>45728</v>
      </c>
      <c r="E4399" s="1" t="n">
        <v>46312</v>
      </c>
      <c r="F4399" t="inlineStr">
        <is>
          <t>SKÅNE LÄN</t>
        </is>
      </c>
      <c r="G4399" t="inlineStr">
        <is>
          <t>HÖÖR</t>
        </is>
      </c>
      <c r="I4399" t="n">
        <v>3.6</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44442-2023</t>
        </is>
      </c>
      <c r="B4400" t="inlineStr">
        <is>
          <t>avverkningsanmälan</t>
        </is>
      </c>
      <c r="C4400" t="inlineStr">
        <is>
          <t>Föryngringsavverkning</t>
        </is>
      </c>
      <c r="D4400" s="1" t="n">
        <v>45189</v>
      </c>
      <c r="E4400" s="1" t="n">
        <v>46312</v>
      </c>
      <c r="F4400" t="inlineStr">
        <is>
          <t>SKÅNE LÄN</t>
        </is>
      </c>
      <c r="G4400" t="inlineStr">
        <is>
          <t>KRISTIANSTAD</t>
        </is>
      </c>
      <c r="H4400" t="inlineStr">
        <is>
          <t>Sveaskog</t>
        </is>
      </c>
      <c r="I4400" t="n">
        <v>0.2</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62277-2025</t>
        </is>
      </c>
      <c r="B4401" t="inlineStr">
        <is>
          <t>avverkningsanmälan</t>
        </is>
      </c>
      <c r="C4401" t="inlineStr">
        <is>
          <t>Föryngringsavverkning</t>
        </is>
      </c>
      <c r="D4401" s="1" t="n">
        <v>46006</v>
      </c>
      <c r="E4401" s="1" t="n">
        <v>46312</v>
      </c>
      <c r="F4401" t="inlineStr">
        <is>
          <t>SKÅNE LÄN</t>
        </is>
      </c>
      <c r="G4401" t="inlineStr">
        <is>
          <t>HÖRBY</t>
        </is>
      </c>
      <c r="I4401" t="n">
        <v>2.4</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13245-2024</t>
        </is>
      </c>
      <c r="B4402" t="inlineStr">
        <is>
          <t>avverkningsanmälan</t>
        </is>
      </c>
      <c r="C4402" t="inlineStr">
        <is>
          <t>Föryngringsavverkning</t>
        </is>
      </c>
      <c r="D4402" s="1" t="n">
        <v>45386</v>
      </c>
      <c r="E4402" s="1" t="n">
        <v>46312</v>
      </c>
      <c r="F4402" t="inlineStr">
        <is>
          <t>SKÅNE LÄN</t>
        </is>
      </c>
      <c r="G4402" t="inlineStr">
        <is>
          <t>SVALÖV</t>
        </is>
      </c>
      <c r="I4402" t="n">
        <v>13</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13522-2024</t>
        </is>
      </c>
      <c r="B4403" t="inlineStr">
        <is>
          <t>avverkningsanmälan</t>
        </is>
      </c>
      <c r="C4403" t="inlineStr">
        <is>
          <t>Föryngringsavverkning</t>
        </is>
      </c>
      <c r="D4403" s="1" t="n">
        <v>45387</v>
      </c>
      <c r="E4403" s="1" t="n">
        <v>46312</v>
      </c>
      <c r="F4403" t="inlineStr">
        <is>
          <t>SKÅNE LÄN</t>
        </is>
      </c>
      <c r="G4403" t="inlineStr">
        <is>
          <t>KRISTIANSTAD</t>
        </is>
      </c>
      <c r="I4403" t="n">
        <v>0.8</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41003-2026</t>
        </is>
      </c>
      <c r="B4404" t="inlineStr">
        <is>
          <t>avverkningsanmälan</t>
        </is>
      </c>
      <c r="C4404" t="inlineStr">
        <is>
          <t>Föryngringsavverkning</t>
        </is>
      </c>
      <c r="D4404" s="1" t="n">
        <v>46297</v>
      </c>
      <c r="E4404" s="1" t="n">
        <v>46312</v>
      </c>
      <c r="F4404" t="inlineStr">
        <is>
          <t>SKÅNE LÄN</t>
        </is>
      </c>
      <c r="G4404" t="inlineStr">
        <is>
          <t>HÄSSLEHOLM</t>
        </is>
      </c>
      <c r="I4404" t="n">
        <v>1.1</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61934-2023</t>
        </is>
      </c>
      <c r="B4405" t="inlineStr">
        <is>
          <t>avverkningsanmälan</t>
        </is>
      </c>
      <c r="C4405" t="inlineStr">
        <is>
          <t>Föryngringsavverkning</t>
        </is>
      </c>
      <c r="D4405" s="1" t="n">
        <v>45266</v>
      </c>
      <c r="E4405" s="1" t="n">
        <v>46312</v>
      </c>
      <c r="F4405" t="inlineStr">
        <is>
          <t>SKÅNE LÄN</t>
        </is>
      </c>
      <c r="G4405" t="inlineStr">
        <is>
          <t>HÄSSLEHOLM</t>
        </is>
      </c>
      <c r="I4405" t="n">
        <v>1.4</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62138-2023</t>
        </is>
      </c>
      <c r="B4406" t="inlineStr">
        <is>
          <t>avverkningsanmälan</t>
        </is>
      </c>
      <c r="C4406" t="inlineStr">
        <is>
          <t>Föryngringsavverkning</t>
        </is>
      </c>
      <c r="D4406" s="1" t="n">
        <v>45267</v>
      </c>
      <c r="E4406" s="1" t="n">
        <v>46312</v>
      </c>
      <c r="F4406" t="inlineStr">
        <is>
          <t>SKÅNE LÄN</t>
        </is>
      </c>
      <c r="G4406" t="inlineStr">
        <is>
          <t>ÖSTRA GÖINGE</t>
        </is>
      </c>
      <c r="I4406" t="n">
        <v>3.7</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4798-2023</t>
        </is>
      </c>
      <c r="B4407" t="inlineStr">
        <is>
          <t>avverkningsanmälan</t>
        </is>
      </c>
      <c r="C4407" t="inlineStr">
        <is>
          <t>Föryngringsavverkning</t>
        </is>
      </c>
      <c r="D4407" s="1" t="n">
        <v>44957</v>
      </c>
      <c r="E4407" s="1" t="n">
        <v>46312</v>
      </c>
      <c r="F4407" t="inlineStr">
        <is>
          <t>SKÅNE LÄN</t>
        </is>
      </c>
      <c r="G4407" t="inlineStr">
        <is>
          <t>OSBY</t>
        </is>
      </c>
      <c r="I4407" t="n">
        <v>9.199999999999999</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41024-2026</t>
        </is>
      </c>
      <c r="B4408" t="inlineStr">
        <is>
          <t>avverkningsanmälan</t>
        </is>
      </c>
      <c r="C4408" t="inlineStr">
        <is>
          <t>Föryngringsavverkning</t>
        </is>
      </c>
      <c r="D4408" s="1" t="n">
        <v>46297</v>
      </c>
      <c r="E4408" s="1" t="n">
        <v>46312</v>
      </c>
      <c r="F4408" t="inlineStr">
        <is>
          <t>SKÅNE LÄN</t>
        </is>
      </c>
      <c r="G4408" t="inlineStr">
        <is>
          <t>ÖSTRA GÖINGE</t>
        </is>
      </c>
      <c r="I4408" t="n">
        <v>1.2</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11701-2023</t>
        </is>
      </c>
      <c r="B4409" t="inlineStr">
        <is>
          <t>avverkningsanmälan</t>
        </is>
      </c>
      <c r="C4409" t="inlineStr">
        <is>
          <t>Föryngringsavverkning</t>
        </is>
      </c>
      <c r="D4409" s="1" t="n">
        <v>44992</v>
      </c>
      <c r="E4409" s="1" t="n">
        <v>46312</v>
      </c>
      <c r="F4409" t="inlineStr">
        <is>
          <t>SKÅNE LÄN</t>
        </is>
      </c>
      <c r="G4409" t="inlineStr">
        <is>
          <t>PERSTORP</t>
        </is>
      </c>
      <c r="H4409" t="inlineStr">
        <is>
          <t>Övriga Aktiebolag</t>
        </is>
      </c>
      <c r="I4409" t="n">
        <v>6</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11715-2023</t>
        </is>
      </c>
      <c r="B4410" t="inlineStr">
        <is>
          <t>avverkningsanmälan</t>
        </is>
      </c>
      <c r="C4410" t="inlineStr">
        <is>
          <t>Föryngringsavverkning</t>
        </is>
      </c>
      <c r="D4410" s="1" t="n">
        <v>44992</v>
      </c>
      <c r="E4410" s="1" t="n">
        <v>46312</v>
      </c>
      <c r="F4410" t="inlineStr">
        <is>
          <t>SKÅNE LÄN</t>
        </is>
      </c>
      <c r="G4410" t="inlineStr">
        <is>
          <t>HÄSSLEHOLM</t>
        </is>
      </c>
      <c r="H4410" t="inlineStr">
        <is>
          <t>Övriga Aktiebolag</t>
        </is>
      </c>
      <c r="I4410" t="n">
        <v>2</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11722-2023</t>
        </is>
      </c>
      <c r="B4411" t="inlineStr">
        <is>
          <t>avverkningsanmälan</t>
        </is>
      </c>
      <c r="C4411" t="inlineStr">
        <is>
          <t>Föryngringsavverkning</t>
        </is>
      </c>
      <c r="D4411" s="1" t="n">
        <v>44992</v>
      </c>
      <c r="E4411" s="1" t="n">
        <v>46312</v>
      </c>
      <c r="F4411" t="inlineStr">
        <is>
          <t>SKÅNE LÄN</t>
        </is>
      </c>
      <c r="G4411" t="inlineStr">
        <is>
          <t>ÖSTRA GÖINGE</t>
        </is>
      </c>
      <c r="I4411" t="n">
        <v>0.8</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38888-2023</t>
        </is>
      </c>
      <c r="B4412" t="inlineStr">
        <is>
          <t>avverkningsanmälan</t>
        </is>
      </c>
      <c r="C4412" t="inlineStr">
        <is>
          <t>Föryngringsavverkning</t>
        </is>
      </c>
      <c r="D4412" s="1" t="n">
        <v>45161</v>
      </c>
      <c r="E4412" s="1" t="n">
        <v>46312</v>
      </c>
      <c r="F4412" t="inlineStr">
        <is>
          <t>SKÅNE LÄN</t>
        </is>
      </c>
      <c r="G4412" t="inlineStr">
        <is>
          <t>HÄSSLEHOLM</t>
        </is>
      </c>
      <c r="I4412" t="n">
        <v>1.6</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40917-2026</t>
        </is>
      </c>
      <c r="B4413" t="inlineStr">
        <is>
          <t>avverkningsanmälan</t>
        </is>
      </c>
      <c r="C4413" t="inlineStr">
        <is>
          <t>Föryngringsavverkning</t>
        </is>
      </c>
      <c r="D4413" s="1" t="n">
        <v>46297</v>
      </c>
      <c r="E4413" s="1" t="n">
        <v>46312</v>
      </c>
      <c r="F4413" t="inlineStr">
        <is>
          <t>SKÅNE LÄN</t>
        </is>
      </c>
      <c r="G4413" t="inlineStr">
        <is>
          <t>SVALÖV</t>
        </is>
      </c>
      <c r="I4413" t="n">
        <v>8.1</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61602-2023</t>
        </is>
      </c>
      <c r="B4414" t="inlineStr">
        <is>
          <t>avverkningsanmälan</t>
        </is>
      </c>
      <c r="C4414" t="inlineStr">
        <is>
          <t>Föryngringsavverkning</t>
        </is>
      </c>
      <c r="D4414" s="1" t="n">
        <v>45265</v>
      </c>
      <c r="E4414" s="1" t="n">
        <v>46312</v>
      </c>
      <c r="F4414" t="inlineStr">
        <is>
          <t>SKÅNE LÄN</t>
        </is>
      </c>
      <c r="G4414" t="inlineStr">
        <is>
          <t>OSBY</t>
        </is>
      </c>
      <c r="I4414" t="n">
        <v>1.2</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7305-2025</t>
        </is>
      </c>
      <c r="B4415" t="inlineStr">
        <is>
          <t>avverkningsanmälan</t>
        </is>
      </c>
      <c r="C4415" t="inlineStr">
        <is>
          <t>Föryngringsavverkning</t>
        </is>
      </c>
      <c r="D4415" s="1" t="n">
        <v>45702</v>
      </c>
      <c r="E4415" s="1" t="n">
        <v>46312</v>
      </c>
      <c r="F4415" t="inlineStr">
        <is>
          <t>SKÅNE LÄN</t>
        </is>
      </c>
      <c r="G4415" t="inlineStr">
        <is>
          <t>HÄSSLEHOLM</t>
        </is>
      </c>
      <c r="H4415" t="inlineStr">
        <is>
          <t>Övriga Aktiebolag</t>
        </is>
      </c>
      <c r="I4415" t="n">
        <v>2.2</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56764-2024</t>
        </is>
      </c>
      <c r="B4416" t="inlineStr">
        <is>
          <t>avverkningsanmälan</t>
        </is>
      </c>
      <c r="C4416" t="inlineStr">
        <is>
          <t>Föryngringsavverkning</t>
        </is>
      </c>
      <c r="D4416" s="1" t="n">
        <v>45628</v>
      </c>
      <c r="E4416" s="1" t="n">
        <v>46312</v>
      </c>
      <c r="F4416" t="inlineStr">
        <is>
          <t>SKÅNE LÄN</t>
        </is>
      </c>
      <c r="G4416" t="inlineStr">
        <is>
          <t>SIMRISHAMN</t>
        </is>
      </c>
      <c r="I4416" t="n">
        <v>7.5</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40895-2026</t>
        </is>
      </c>
      <c r="B4417" t="inlineStr">
        <is>
          <t>avverkningsanmälan</t>
        </is>
      </c>
      <c r="C4417" t="inlineStr">
        <is>
          <t>Föryngringsavverkning</t>
        </is>
      </c>
      <c r="D4417" s="1" t="n">
        <v>46297</v>
      </c>
      <c r="E4417" s="1" t="n">
        <v>46312</v>
      </c>
      <c r="F4417" t="inlineStr">
        <is>
          <t>SKÅNE LÄN</t>
        </is>
      </c>
      <c r="G4417" t="inlineStr">
        <is>
          <t>SVALÖV</t>
        </is>
      </c>
      <c r="I4417" t="n">
        <v>0.7</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12310-2023</t>
        </is>
      </c>
      <c r="B4418" t="inlineStr">
        <is>
          <t>avverkningsanmälan</t>
        </is>
      </c>
      <c r="C4418" t="inlineStr">
        <is>
          <t>Föryngringsavverkning</t>
        </is>
      </c>
      <c r="D4418" s="1" t="n">
        <v>44999</v>
      </c>
      <c r="E4418" s="1" t="n">
        <v>46312</v>
      </c>
      <c r="F4418" t="inlineStr">
        <is>
          <t>SKÅNE LÄN</t>
        </is>
      </c>
      <c r="G4418" t="inlineStr">
        <is>
          <t>TOMELILLA</t>
        </is>
      </c>
      <c r="H4418" t="inlineStr">
        <is>
          <t>Sveaskog</t>
        </is>
      </c>
      <c r="I4418" t="n">
        <v>2.2</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27561-2026</t>
        </is>
      </c>
      <c r="B4419" t="inlineStr">
        <is>
          <t>avverkningsanmälan</t>
        </is>
      </c>
      <c r="C4419" t="inlineStr">
        <is>
          <t>Föryngringsavverkning</t>
        </is>
      </c>
      <c r="D4419" s="1" t="n">
        <v>46190</v>
      </c>
      <c r="E4419" s="1" t="n">
        <v>46312</v>
      </c>
      <c r="F4419" t="inlineStr">
        <is>
          <t>SKÅNE LÄN</t>
        </is>
      </c>
      <c r="G4419" t="inlineStr">
        <is>
          <t>KRISTIANSTAD</t>
        </is>
      </c>
      <c r="I4419" t="n">
        <v>1.9</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10971-2023</t>
        </is>
      </c>
      <c r="B4420" t="inlineStr">
        <is>
          <t>avverkningsanmälan</t>
        </is>
      </c>
      <c r="C4420" t="inlineStr">
        <is>
          <t>Föryngringsavverkning</t>
        </is>
      </c>
      <c r="D4420" s="1" t="n">
        <v>44991</v>
      </c>
      <c r="E4420" s="1" t="n">
        <v>46312</v>
      </c>
      <c r="F4420" t="inlineStr">
        <is>
          <t>SKÅNE LÄN</t>
        </is>
      </c>
      <c r="G4420" t="inlineStr">
        <is>
          <t>KRISTIANSTAD</t>
        </is>
      </c>
      <c r="I4420" t="n">
        <v>1.6</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34310-2026</t>
        </is>
      </c>
      <c r="B4421" t="inlineStr">
        <is>
          <t>avverkningsanmälan</t>
        </is>
      </c>
      <c r="C4421" t="inlineStr">
        <is>
          <t>Föryngringsavverkning</t>
        </is>
      </c>
      <c r="D4421" s="1" t="n">
        <v>46254</v>
      </c>
      <c r="E4421" s="1" t="n">
        <v>46312</v>
      </c>
      <c r="F4421" t="inlineStr">
        <is>
          <t>SKÅNE LÄN</t>
        </is>
      </c>
      <c r="G4421" t="inlineStr">
        <is>
          <t>OSBY</t>
        </is>
      </c>
      <c r="I4421" t="n">
        <v>2.4</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40882-2026</t>
        </is>
      </c>
      <c r="B4422" t="inlineStr">
        <is>
          <t>avverkningsanmälan</t>
        </is>
      </c>
      <c r="C4422" t="inlineStr">
        <is>
          <t>Föryngringsavverkning</t>
        </is>
      </c>
      <c r="D4422" s="1" t="n">
        <v>46297</v>
      </c>
      <c r="E4422" s="1" t="n">
        <v>46312</v>
      </c>
      <c r="F4422" t="inlineStr">
        <is>
          <t>SKÅNE LÄN</t>
        </is>
      </c>
      <c r="G4422" t="inlineStr">
        <is>
          <t>SVALÖV</t>
        </is>
      </c>
      <c r="I4422" t="n">
        <v>2</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40897-2026</t>
        </is>
      </c>
      <c r="B4423" t="inlineStr">
        <is>
          <t>avverkningsanmälan</t>
        </is>
      </c>
      <c r="C4423" t="inlineStr">
        <is>
          <t>Föryngringsavverkning</t>
        </is>
      </c>
      <c r="D4423" s="1" t="n">
        <v>46297</v>
      </c>
      <c r="E4423" s="1" t="n">
        <v>46312</v>
      </c>
      <c r="F4423" t="inlineStr">
        <is>
          <t>SKÅNE LÄN</t>
        </is>
      </c>
      <c r="G4423" t="inlineStr">
        <is>
          <t>HÄSSLEHOLM</t>
        </is>
      </c>
      <c r="I4423" t="n">
        <v>2.1</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40758-2026</t>
        </is>
      </c>
      <c r="B4424" t="inlineStr">
        <is>
          <t>avverkningsanmälan</t>
        </is>
      </c>
      <c r="C4424" t="inlineStr">
        <is>
          <t>Föryngringsavverkning</t>
        </is>
      </c>
      <c r="D4424" s="1" t="n">
        <v>46296</v>
      </c>
      <c r="E4424" s="1" t="n">
        <v>46312</v>
      </c>
      <c r="F4424" t="inlineStr">
        <is>
          <t>SKÅNE LÄN</t>
        </is>
      </c>
      <c r="G4424" t="inlineStr">
        <is>
          <t>ÄNGELHOLM</t>
        </is>
      </c>
      <c r="I4424" t="n">
        <v>1.7</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34159-2026</t>
        </is>
      </c>
      <c r="B4425" t="inlineStr">
        <is>
          <t>avverkningsanmälan</t>
        </is>
      </c>
      <c r="C4425" t="inlineStr">
        <is>
          <t>Föryngringsavverkning</t>
        </is>
      </c>
      <c r="D4425" s="1" t="n">
        <v>46253</v>
      </c>
      <c r="E4425" s="1" t="n">
        <v>46312</v>
      </c>
      <c r="F4425" t="inlineStr">
        <is>
          <t>SKÅNE LÄN</t>
        </is>
      </c>
      <c r="G4425" t="inlineStr">
        <is>
          <t>KRISTIANSTAD</t>
        </is>
      </c>
      <c r="I4425" t="n">
        <v>2.3</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34108-2026</t>
        </is>
      </c>
      <c r="B4426" t="inlineStr">
        <is>
          <t>avverkningsanmälan</t>
        </is>
      </c>
      <c r="C4426" t="inlineStr">
        <is>
          <t>Föryngringsavverkning</t>
        </is>
      </c>
      <c r="D4426" s="1" t="n">
        <v>46253</v>
      </c>
      <c r="E4426" s="1" t="n">
        <v>46312</v>
      </c>
      <c r="F4426" t="inlineStr">
        <is>
          <t>SKÅNE LÄN</t>
        </is>
      </c>
      <c r="G4426" t="inlineStr">
        <is>
          <t>OSBY</t>
        </is>
      </c>
      <c r="I4426" t="n">
        <v>0.9</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40910-2026</t>
        </is>
      </c>
      <c r="B4427" t="inlineStr">
        <is>
          <t>avverkningsanmälan</t>
        </is>
      </c>
      <c r="C4427" t="inlineStr">
        <is>
          <t>Föryngringsavverkning</t>
        </is>
      </c>
      <c r="D4427" s="1" t="n">
        <v>46297</v>
      </c>
      <c r="E4427" s="1" t="n">
        <v>46312</v>
      </c>
      <c r="F4427" t="inlineStr">
        <is>
          <t>SKÅNE LÄN</t>
        </is>
      </c>
      <c r="G4427" t="inlineStr">
        <is>
          <t>SVALÖV</t>
        </is>
      </c>
      <c r="I4427" t="n">
        <v>3.8</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40981-2026</t>
        </is>
      </c>
      <c r="B4428" t="inlineStr">
        <is>
          <t>avverkningsanmälan</t>
        </is>
      </c>
      <c r="C4428" t="inlineStr">
        <is>
          <t>Föryngringsavverkning</t>
        </is>
      </c>
      <c r="D4428" s="1" t="n">
        <v>46297</v>
      </c>
      <c r="E4428" s="1" t="n">
        <v>46312</v>
      </c>
      <c r="F4428" t="inlineStr">
        <is>
          <t>SKÅNE LÄN</t>
        </is>
      </c>
      <c r="G4428" t="inlineStr">
        <is>
          <t>HÄSSLEHOLM</t>
        </is>
      </c>
      <c r="I4428" t="n">
        <v>1.7</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38065-2026</t>
        </is>
      </c>
      <c r="B4429" t="inlineStr">
        <is>
          <t>avverkningsanmälan</t>
        </is>
      </c>
      <c r="C4429" t="inlineStr">
        <is>
          <t>Föryngringsavverkning</t>
        </is>
      </c>
      <c r="D4429" s="1" t="n">
        <v>46280</v>
      </c>
      <c r="E4429" s="1" t="n">
        <v>46312</v>
      </c>
      <c r="F4429" t="inlineStr">
        <is>
          <t>SKÅNE LÄN</t>
        </is>
      </c>
      <c r="G4429" t="inlineStr">
        <is>
          <t>ÖRKELLJUNGA</t>
        </is>
      </c>
      <c r="I4429" t="n">
        <v>2.2</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30561-2026</t>
        </is>
      </c>
      <c r="B4430" t="inlineStr">
        <is>
          <t>avverkningsanmälan</t>
        </is>
      </c>
      <c r="C4430" t="inlineStr">
        <is>
          <t>Föryngringsavverkning</t>
        </is>
      </c>
      <c r="D4430" s="1" t="n">
        <v>46210</v>
      </c>
      <c r="E4430" s="1" t="n">
        <v>46312</v>
      </c>
      <c r="F4430" t="inlineStr">
        <is>
          <t>SKÅNE LÄN</t>
        </is>
      </c>
      <c r="G4430" t="inlineStr">
        <is>
          <t>HÄSSLEHOLM</t>
        </is>
      </c>
      <c r="I4430" t="n">
        <v>3</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40806-2026</t>
        </is>
      </c>
      <c r="B4431" t="inlineStr">
        <is>
          <t>avverkningsanmälan</t>
        </is>
      </c>
      <c r="C4431" t="inlineStr">
        <is>
          <t>Föryngringsavverkning</t>
        </is>
      </c>
      <c r="D4431" s="1" t="n">
        <v>46296</v>
      </c>
      <c r="E4431" s="1" t="n">
        <v>46312</v>
      </c>
      <c r="F4431" t="inlineStr">
        <is>
          <t>SKÅNE LÄN</t>
        </is>
      </c>
      <c r="G4431" t="inlineStr">
        <is>
          <t>ÄNGELHOLM</t>
        </is>
      </c>
      <c r="I4431" t="n">
        <v>0.5</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40785-2026</t>
        </is>
      </c>
      <c r="B4432" t="inlineStr">
        <is>
          <t>avverkningsanmälan</t>
        </is>
      </c>
      <c r="C4432" t="inlineStr">
        <is>
          <t>Föryngringsavverkning</t>
        </is>
      </c>
      <c r="D4432" s="1" t="n">
        <v>46295</v>
      </c>
      <c r="E4432" s="1" t="n">
        <v>46312</v>
      </c>
      <c r="F4432" t="inlineStr">
        <is>
          <t>SKÅNE LÄN</t>
        </is>
      </c>
      <c r="G4432" t="inlineStr">
        <is>
          <t>KRISTIANSTAD</t>
        </is>
      </c>
      <c r="I4432" t="n">
        <v>1.2</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34291-2026</t>
        </is>
      </c>
      <c r="B4433" t="inlineStr">
        <is>
          <t>avverkningsanmälan</t>
        </is>
      </c>
      <c r="C4433" t="inlineStr">
        <is>
          <t>Föryngringsavverkning</t>
        </is>
      </c>
      <c r="D4433" s="1" t="n">
        <v>46253</v>
      </c>
      <c r="E4433" s="1" t="n">
        <v>46312</v>
      </c>
      <c r="F4433" t="inlineStr">
        <is>
          <t>SKÅNE LÄN</t>
        </is>
      </c>
      <c r="G4433" t="inlineStr">
        <is>
          <t>KRISTIANSTAD</t>
        </is>
      </c>
      <c r="H4433" t="inlineStr">
        <is>
          <t>Sveaskog</t>
        </is>
      </c>
      <c r="I4433" t="n">
        <v>6.6</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34767-2026</t>
        </is>
      </c>
      <c r="B4434" t="inlineStr">
        <is>
          <t>avverkningsanmälan</t>
        </is>
      </c>
      <c r="C4434" t="inlineStr">
        <is>
          <t>Föryngringsavverkning</t>
        </is>
      </c>
      <c r="D4434" s="1" t="n">
        <v>46255</v>
      </c>
      <c r="E4434" s="1" t="n">
        <v>46312</v>
      </c>
      <c r="F4434" t="inlineStr">
        <is>
          <t>SKÅNE LÄN</t>
        </is>
      </c>
      <c r="G4434" t="inlineStr">
        <is>
          <t>HÄSSLEHOLM</t>
        </is>
      </c>
      <c r="I4434" t="n">
        <v>1.2</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34293-2026</t>
        </is>
      </c>
      <c r="B4435" t="inlineStr">
        <is>
          <t>avverkningsanmälan</t>
        </is>
      </c>
      <c r="C4435" t="inlineStr">
        <is>
          <t>Föryngringsavverkning</t>
        </is>
      </c>
      <c r="D4435" s="1" t="n">
        <v>46253</v>
      </c>
      <c r="E4435" s="1" t="n">
        <v>46312</v>
      </c>
      <c r="F4435" t="inlineStr">
        <is>
          <t>SKÅNE LÄN</t>
        </is>
      </c>
      <c r="G4435" t="inlineStr">
        <is>
          <t>KRISTIANSTAD</t>
        </is>
      </c>
      <c r="H4435" t="inlineStr">
        <is>
          <t>Sveaskog</t>
        </is>
      </c>
      <c r="I4435" t="n">
        <v>3.8</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34294-2026</t>
        </is>
      </c>
      <c r="B4436" t="inlineStr">
        <is>
          <t>avverkningsanmälan</t>
        </is>
      </c>
      <c r="C4436" t="inlineStr">
        <is>
          <t>Föryngringsavverkning</t>
        </is>
      </c>
      <c r="D4436" s="1" t="n">
        <v>46253</v>
      </c>
      <c r="E4436" s="1" t="n">
        <v>46312</v>
      </c>
      <c r="F4436" t="inlineStr">
        <is>
          <t>SKÅNE LÄN</t>
        </is>
      </c>
      <c r="G4436" t="inlineStr">
        <is>
          <t>KRISTIANSTAD</t>
        </is>
      </c>
      <c r="H4436" t="inlineStr">
        <is>
          <t>Sveaskog</t>
        </is>
      </c>
      <c r="I4436" t="n">
        <v>0.7</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40759-2026</t>
        </is>
      </c>
      <c r="B4437" t="inlineStr">
        <is>
          <t>avverkningsanmälan</t>
        </is>
      </c>
      <c r="C4437" t="inlineStr">
        <is>
          <t>Föryngringsavverkning</t>
        </is>
      </c>
      <c r="D4437" s="1" t="n">
        <v>46296</v>
      </c>
      <c r="E4437" s="1" t="n">
        <v>46312</v>
      </c>
      <c r="F4437" t="inlineStr">
        <is>
          <t>SKÅNE LÄN</t>
        </is>
      </c>
      <c r="G4437" t="inlineStr">
        <is>
          <t>ÄNGELHOLM</t>
        </is>
      </c>
      <c r="I4437" t="n">
        <v>4.7</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41009-2026</t>
        </is>
      </c>
      <c r="B4438" t="inlineStr">
        <is>
          <t>avverkningsanmälan</t>
        </is>
      </c>
      <c r="C4438" t="inlineStr">
        <is>
          <t>Föryngringsavverkning</t>
        </is>
      </c>
      <c r="D4438" s="1" t="n">
        <v>46297</v>
      </c>
      <c r="E4438" s="1" t="n">
        <v>46312</v>
      </c>
      <c r="F4438" t="inlineStr">
        <is>
          <t>SKÅNE LÄN</t>
        </is>
      </c>
      <c r="G4438" t="inlineStr">
        <is>
          <t>HÄSSLEHOLM</t>
        </is>
      </c>
      <c r="I4438" t="n">
        <v>3.2</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33429-2026</t>
        </is>
      </c>
      <c r="B4439" t="inlineStr">
        <is>
          <t>avverkningsanmälan</t>
        </is>
      </c>
      <c r="C4439" t="inlineStr">
        <is>
          <t>Föryngringsavverkning</t>
        </is>
      </c>
      <c r="D4439" s="1" t="n">
        <v>46247</v>
      </c>
      <c r="E4439" s="1" t="n">
        <v>46312</v>
      </c>
      <c r="F4439" t="inlineStr">
        <is>
          <t>SKÅNE LÄN</t>
        </is>
      </c>
      <c r="G4439" t="inlineStr">
        <is>
          <t>OSBY</t>
        </is>
      </c>
      <c r="I4439" t="n">
        <v>4.4</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34199-2026</t>
        </is>
      </c>
      <c r="B4440" t="inlineStr">
        <is>
          <t>avverkningsanmälan</t>
        </is>
      </c>
      <c r="C4440" t="inlineStr">
        <is>
          <t>Föryngringsavverkning</t>
        </is>
      </c>
      <c r="D4440" s="1" t="n">
        <v>46253</v>
      </c>
      <c r="E4440" s="1" t="n">
        <v>46312</v>
      </c>
      <c r="F4440" t="inlineStr">
        <is>
          <t>SKÅNE LÄN</t>
        </is>
      </c>
      <c r="G4440" t="inlineStr">
        <is>
          <t>KLIPPAN</t>
        </is>
      </c>
      <c r="I4440" t="n">
        <v>2.3</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34783-2026</t>
        </is>
      </c>
      <c r="B4441" t="inlineStr">
        <is>
          <t>avverkningsanmälan</t>
        </is>
      </c>
      <c r="C4441" t="inlineStr">
        <is>
          <t>Föryngringsavverkning</t>
        </is>
      </c>
      <c r="D4441" s="1" t="n">
        <v>46255</v>
      </c>
      <c r="E4441" s="1" t="n">
        <v>46312</v>
      </c>
      <c r="F4441" t="inlineStr">
        <is>
          <t>SKÅNE LÄN</t>
        </is>
      </c>
      <c r="G4441" t="inlineStr">
        <is>
          <t>KRISTIANSTAD</t>
        </is>
      </c>
      <c r="I4441" t="n">
        <v>1.3</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19255-2026</t>
        </is>
      </c>
      <c r="B4442" t="inlineStr">
        <is>
          <t>avverkningsanmälan</t>
        </is>
      </c>
      <c r="C4442" t="inlineStr">
        <is>
          <t>Föryngringsavverkning</t>
        </is>
      </c>
      <c r="D4442" s="1" t="n">
        <v>46132</v>
      </c>
      <c r="E4442" s="1" t="n">
        <v>46312</v>
      </c>
      <c r="F4442" t="inlineStr">
        <is>
          <t>SKÅNE LÄN</t>
        </is>
      </c>
      <c r="G4442" t="inlineStr">
        <is>
          <t>ÄNGELHOLM</t>
        </is>
      </c>
      <c r="I4442" t="n">
        <v>1</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34388-2026</t>
        </is>
      </c>
      <c r="B4443" t="inlineStr">
        <is>
          <t>avverkningsanmälan</t>
        </is>
      </c>
      <c r="C4443" t="inlineStr">
        <is>
          <t>Föryngringsavverkning</t>
        </is>
      </c>
      <c r="D4443" s="1" t="n">
        <v>46254</v>
      </c>
      <c r="E4443" s="1" t="n">
        <v>46312</v>
      </c>
      <c r="F4443" t="inlineStr">
        <is>
          <t>SKÅNE LÄN</t>
        </is>
      </c>
      <c r="G4443" t="inlineStr">
        <is>
          <t>HÄSSLEHOLM</t>
        </is>
      </c>
      <c r="I4443" t="n">
        <v>5</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59625-2022</t>
        </is>
      </c>
      <c r="B4444" t="inlineStr">
        <is>
          <t>avverkningsanmälan</t>
        </is>
      </c>
      <c r="C4444" t="inlineStr">
        <is>
          <t>Avverkning för annat ändamål</t>
        </is>
      </c>
      <c r="D4444" s="1" t="n">
        <v>44907</v>
      </c>
      <c r="E4444" s="1" t="n">
        <v>46312</v>
      </c>
      <c r="F4444" t="inlineStr">
        <is>
          <t>SKÅNE LÄN</t>
        </is>
      </c>
      <c r="G4444" t="inlineStr">
        <is>
          <t>KRISTIANSTAD</t>
        </is>
      </c>
      <c r="I4444" t="n">
        <v>0.5</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48663-2024</t>
        </is>
      </c>
      <c r="B4445" t="inlineStr">
        <is>
          <t>avverkningsanmälan</t>
        </is>
      </c>
      <c r="C4445" t="inlineStr">
        <is>
          <t>Föryngringsavverkning</t>
        </is>
      </c>
      <c r="D4445" s="1" t="n">
        <v>45593</v>
      </c>
      <c r="E4445" s="1" t="n">
        <v>46312</v>
      </c>
      <c r="F4445" t="inlineStr">
        <is>
          <t>SKÅNE LÄN</t>
        </is>
      </c>
      <c r="G4445" t="inlineStr">
        <is>
          <t>HÄSSLEHOLM</t>
        </is>
      </c>
      <c r="I4445" t="n">
        <v>1.8</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57923-2024</t>
        </is>
      </c>
      <c r="B4446" t="inlineStr">
        <is>
          <t>avverkningsanmälan</t>
        </is>
      </c>
      <c r="C4446" t="inlineStr">
        <is>
          <t>Föryngringsavverkning</t>
        </is>
      </c>
      <c r="D4446" s="1" t="n">
        <v>45631</v>
      </c>
      <c r="E4446" s="1" t="n">
        <v>46312</v>
      </c>
      <c r="F4446" t="inlineStr">
        <is>
          <t>SKÅNE LÄN</t>
        </is>
      </c>
      <c r="G4446" t="inlineStr">
        <is>
          <t>ÄNGELHOLM</t>
        </is>
      </c>
      <c r="I4446" t="n">
        <v>4.5</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34827-2026</t>
        </is>
      </c>
      <c r="B4447" t="inlineStr">
        <is>
          <t>avverkningsanmälan</t>
        </is>
      </c>
      <c r="C4447" t="inlineStr">
        <is>
          <t>Föryngringsavverkning</t>
        </is>
      </c>
      <c r="D4447" s="1" t="n">
        <v>46258</v>
      </c>
      <c r="E4447" s="1" t="n">
        <v>46312</v>
      </c>
      <c r="F4447" t="inlineStr">
        <is>
          <t>SKÅNE LÄN</t>
        </is>
      </c>
      <c r="G4447" t="inlineStr">
        <is>
          <t>HÄSSLEHOLM</t>
        </is>
      </c>
      <c r="I4447" t="n">
        <v>5.4</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63681-2023</t>
        </is>
      </c>
      <c r="B4448" t="inlineStr">
        <is>
          <t>avverkningsanmälan</t>
        </is>
      </c>
      <c r="C4448" t="inlineStr">
        <is>
          <t>Föryngringsavverkning</t>
        </is>
      </c>
      <c r="D4448" s="1" t="n">
        <v>45275</v>
      </c>
      <c r="E4448" s="1" t="n">
        <v>46312</v>
      </c>
      <c r="F4448" t="inlineStr">
        <is>
          <t>SKÅNE LÄN</t>
        </is>
      </c>
      <c r="G4448" t="inlineStr">
        <is>
          <t>KRISTIANSTAD</t>
        </is>
      </c>
      <c r="H4448" t="inlineStr">
        <is>
          <t>Sveaskog</t>
        </is>
      </c>
      <c r="I4448" t="n">
        <v>4.4</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14473-2024</t>
        </is>
      </c>
      <c r="B4449" t="inlineStr">
        <is>
          <t>avverkningsanmälan</t>
        </is>
      </c>
      <c r="C4449" t="inlineStr">
        <is>
          <t>Avverkning för annat ändamål</t>
        </is>
      </c>
      <c r="D4449" s="1" t="n">
        <v>45394</v>
      </c>
      <c r="E4449" s="1" t="n">
        <v>46312</v>
      </c>
      <c r="F4449" t="inlineStr">
        <is>
          <t>SKÅNE LÄN</t>
        </is>
      </c>
      <c r="G4449" t="inlineStr">
        <is>
          <t>PERSTORP</t>
        </is>
      </c>
      <c r="I4449" t="n">
        <v>2.5</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32013-2023</t>
        </is>
      </c>
      <c r="B4450" t="inlineStr">
        <is>
          <t>avverkningsanmälan</t>
        </is>
      </c>
      <c r="C4450" t="inlineStr">
        <is>
          <t>Föryngringsavverkning</t>
        </is>
      </c>
      <c r="D4450" s="1" t="n">
        <v>45119</v>
      </c>
      <c r="E4450" s="1" t="n">
        <v>46312</v>
      </c>
      <c r="F4450" t="inlineStr">
        <is>
          <t>SKÅNE LÄN</t>
        </is>
      </c>
      <c r="G4450" t="inlineStr">
        <is>
          <t>KRISTIANSTAD</t>
        </is>
      </c>
      <c r="I4450" t="n">
        <v>7.2</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47591-2023</t>
        </is>
      </c>
      <c r="B4451" t="inlineStr">
        <is>
          <t>avverkningsanmälan</t>
        </is>
      </c>
      <c r="C4451" t="inlineStr">
        <is>
          <t>Föryngringsavverkning</t>
        </is>
      </c>
      <c r="D4451" s="1" t="n">
        <v>45203</v>
      </c>
      <c r="E4451" s="1" t="n">
        <v>46312</v>
      </c>
      <c r="F4451" t="inlineStr">
        <is>
          <t>SKÅNE LÄN</t>
        </is>
      </c>
      <c r="G4451" t="inlineStr">
        <is>
          <t>ÖSTRA GÖINGE</t>
        </is>
      </c>
      <c r="I4451" t="n">
        <v>1.8</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54798-2023</t>
        </is>
      </c>
      <c r="B4452" t="inlineStr">
        <is>
          <t>avverkningsanmälan</t>
        </is>
      </c>
      <c r="C4452" t="inlineStr">
        <is>
          <t>Föryngringsavverkning</t>
        </is>
      </c>
      <c r="D4452" s="1" t="n">
        <v>45236</v>
      </c>
      <c r="E4452" s="1" t="n">
        <v>46312</v>
      </c>
      <c r="F4452" t="inlineStr">
        <is>
          <t>SKÅNE LÄN</t>
        </is>
      </c>
      <c r="G4452" t="inlineStr">
        <is>
          <t>HÖÖR</t>
        </is>
      </c>
      <c r="I4452" t="n">
        <v>1.6</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41082-2026</t>
        </is>
      </c>
      <c r="B4453" t="inlineStr">
        <is>
          <t>avverkningsanmälan</t>
        </is>
      </c>
      <c r="C4453" t="inlineStr">
        <is>
          <t>Föryngringsavverkning</t>
        </is>
      </c>
      <c r="D4453" s="1" t="n">
        <v>46300</v>
      </c>
      <c r="E4453" s="1" t="n">
        <v>46312</v>
      </c>
      <c r="F4453" t="inlineStr">
        <is>
          <t>SKÅNE LÄN</t>
        </is>
      </c>
      <c r="G4453" t="inlineStr">
        <is>
          <t>KRISTIANSTAD</t>
        </is>
      </c>
      <c r="I4453" t="n">
        <v>1.6</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23234-2024</t>
        </is>
      </c>
      <c r="B4454" t="inlineStr">
        <is>
          <t>avverkningsanmälan</t>
        </is>
      </c>
      <c r="C4454" t="inlineStr">
        <is>
          <t>Föryngringsavverkning</t>
        </is>
      </c>
      <c r="D4454" s="1" t="n">
        <v>45453</v>
      </c>
      <c r="E4454" s="1" t="n">
        <v>46312</v>
      </c>
      <c r="F4454" t="inlineStr">
        <is>
          <t>SKÅNE LÄN</t>
        </is>
      </c>
      <c r="G4454" t="inlineStr">
        <is>
          <t>OSBY</t>
        </is>
      </c>
      <c r="I4454" t="n">
        <v>0.8</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2366-2024</t>
        </is>
      </c>
      <c r="B4455" t="inlineStr">
        <is>
          <t>avverkningsanmälan</t>
        </is>
      </c>
      <c r="C4455" t="inlineStr">
        <is>
          <t>Föryngringsavverkning</t>
        </is>
      </c>
      <c r="D4455" s="1" t="n">
        <v>45310</v>
      </c>
      <c r="E4455" s="1" t="n">
        <v>46312</v>
      </c>
      <c r="F4455" t="inlineStr">
        <is>
          <t>SKÅNE LÄN</t>
        </is>
      </c>
      <c r="G4455" t="inlineStr">
        <is>
          <t>ÖSTRA GÖINGE</t>
        </is>
      </c>
      <c r="I4455" t="n">
        <v>1.4</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34823-2026</t>
        </is>
      </c>
      <c r="B4456" t="inlineStr">
        <is>
          <t>avverkningsanmälan</t>
        </is>
      </c>
      <c r="C4456" t="inlineStr">
        <is>
          <t>Föryngringsavverkning</t>
        </is>
      </c>
      <c r="D4456" s="1" t="n">
        <v>46258</v>
      </c>
      <c r="E4456" s="1" t="n">
        <v>46312</v>
      </c>
      <c r="F4456" t="inlineStr">
        <is>
          <t>SKÅNE LÄN</t>
        </is>
      </c>
      <c r="G4456" t="inlineStr">
        <is>
          <t>HÄSSLEHOLM</t>
        </is>
      </c>
      <c r="I4456" t="n">
        <v>1.2</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48771-2024</t>
        </is>
      </c>
      <c r="B4457" t="inlineStr">
        <is>
          <t>avverkningsanmälan</t>
        </is>
      </c>
      <c r="C4457" t="inlineStr">
        <is>
          <t>Föryngringsavverkning</t>
        </is>
      </c>
      <c r="D4457" s="1" t="n">
        <v>45593</v>
      </c>
      <c r="E4457" s="1" t="n">
        <v>46312</v>
      </c>
      <c r="F4457" t="inlineStr">
        <is>
          <t>SKÅNE LÄN</t>
        </is>
      </c>
      <c r="G4457" t="inlineStr">
        <is>
          <t>HÄSSLEHOLM</t>
        </is>
      </c>
      <c r="I4457" t="n">
        <v>0.5</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19642-2022</t>
        </is>
      </c>
      <c r="B4458" t="inlineStr">
        <is>
          <t>avverkningsanmälan</t>
        </is>
      </c>
      <c r="C4458" t="inlineStr">
        <is>
          <t>Föryngringsavverkning</t>
        </is>
      </c>
      <c r="D4458" s="1" t="n">
        <v>44694</v>
      </c>
      <c r="E4458" s="1" t="n">
        <v>46312</v>
      </c>
      <c r="F4458" t="inlineStr">
        <is>
          <t>SKÅNE LÄN</t>
        </is>
      </c>
      <c r="G4458" t="inlineStr">
        <is>
          <t>KRISTIANSTAD</t>
        </is>
      </c>
      <c r="I4458" t="n">
        <v>2.1</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32514-2023</t>
        </is>
      </c>
      <c r="B4459" t="inlineStr">
        <is>
          <t>avverkningsanmälan</t>
        </is>
      </c>
      <c r="C4459" t="inlineStr">
        <is>
          <t>Föryngringsavverkning</t>
        </is>
      </c>
      <c r="D4459" s="1" t="n">
        <v>45121</v>
      </c>
      <c r="E4459" s="1" t="n">
        <v>46312</v>
      </c>
      <c r="F4459" t="inlineStr">
        <is>
          <t>SKÅNE LÄN</t>
        </is>
      </c>
      <c r="G4459" t="inlineStr">
        <is>
          <t>ÖSTRA GÖINGE</t>
        </is>
      </c>
      <c r="I4459" t="n">
        <v>2.7</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17649-2023</t>
        </is>
      </c>
      <c r="B4460" t="inlineStr">
        <is>
          <t>avverkningsanmälan</t>
        </is>
      </c>
      <c r="C4460" t="inlineStr">
        <is>
          <t>Föryngringsavverkning</t>
        </is>
      </c>
      <c r="D4460" s="1" t="n">
        <v>45035</v>
      </c>
      <c r="E4460" s="1" t="n">
        <v>46312</v>
      </c>
      <c r="F4460" t="inlineStr">
        <is>
          <t>SKÅNE LÄN</t>
        </is>
      </c>
      <c r="G4460" t="inlineStr">
        <is>
          <t>OSBY</t>
        </is>
      </c>
      <c r="I4460" t="n">
        <v>11.3</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3608-2023</t>
        </is>
      </c>
      <c r="B4461" t="inlineStr">
        <is>
          <t>avverkningsanmälan</t>
        </is>
      </c>
      <c r="C4461" t="inlineStr">
        <is>
          <t>Föryngringsavverkning</t>
        </is>
      </c>
      <c r="D4461" s="1" t="n">
        <v>44946</v>
      </c>
      <c r="E4461" s="1" t="n">
        <v>46312</v>
      </c>
      <c r="F4461" t="inlineStr">
        <is>
          <t>SKÅNE LÄN</t>
        </is>
      </c>
      <c r="G4461" t="inlineStr">
        <is>
          <t>KRISTIANSTAD</t>
        </is>
      </c>
      <c r="I4461" t="n">
        <v>5.2</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12344-2023</t>
        </is>
      </c>
      <c r="B4462" t="inlineStr">
        <is>
          <t>avverkningsanmälan</t>
        </is>
      </c>
      <c r="C4462" t="inlineStr">
        <is>
          <t>Föryngringsavverkning</t>
        </is>
      </c>
      <c r="D4462" s="1" t="n">
        <v>44999</v>
      </c>
      <c r="E4462" s="1" t="n">
        <v>46312</v>
      </c>
      <c r="F4462" t="inlineStr">
        <is>
          <t>SKÅNE LÄN</t>
        </is>
      </c>
      <c r="G4462" t="inlineStr">
        <is>
          <t>HÄSSLEHOLM</t>
        </is>
      </c>
      <c r="I4462" t="n">
        <v>2.4</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41545-2026</t>
        </is>
      </c>
      <c r="B4463" t="inlineStr">
        <is>
          <t>avverkningsanmälan</t>
        </is>
      </c>
      <c r="C4463" t="inlineStr">
        <is>
          <t>Föryngringsavverkning</t>
        </is>
      </c>
      <c r="D4463" s="1" t="n">
        <v>46301</v>
      </c>
      <c r="E4463" s="1" t="n">
        <v>46312</v>
      </c>
      <c r="F4463" t="inlineStr">
        <is>
          <t>SKÅNE LÄN</t>
        </is>
      </c>
      <c r="G4463" t="inlineStr">
        <is>
          <t>HÄSSLEHOLM</t>
        </is>
      </c>
      <c r="I4463" t="n">
        <v>2.8</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20492-2024</t>
        </is>
      </c>
      <c r="B4464" t="inlineStr">
        <is>
          <t>avverkningsanmälan</t>
        </is>
      </c>
      <c r="C4464" t="inlineStr">
        <is>
          <t>Föryngringsavverkning</t>
        </is>
      </c>
      <c r="D4464" s="1" t="n">
        <v>45435</v>
      </c>
      <c r="E4464" s="1" t="n">
        <v>46312</v>
      </c>
      <c r="F4464" t="inlineStr">
        <is>
          <t>SKÅNE LÄN</t>
        </is>
      </c>
      <c r="G4464" t="inlineStr">
        <is>
          <t>ÖRKELLJUNGA</t>
        </is>
      </c>
      <c r="I4464" t="n">
        <v>0.5</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34824-2026</t>
        </is>
      </c>
      <c r="B4465" t="inlineStr">
        <is>
          <t>avverkningsanmälan</t>
        </is>
      </c>
      <c r="C4465" t="inlineStr">
        <is>
          <t>Föryngringsavverkning</t>
        </is>
      </c>
      <c r="D4465" s="1" t="n">
        <v>46258</v>
      </c>
      <c r="E4465" s="1" t="n">
        <v>46312</v>
      </c>
      <c r="F4465" t="inlineStr">
        <is>
          <t>SKÅNE LÄN</t>
        </is>
      </c>
      <c r="G4465" t="inlineStr">
        <is>
          <t>HÄSSLEHOLM</t>
        </is>
      </c>
      <c r="I4465" t="n">
        <v>0.8</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17517-2024</t>
        </is>
      </c>
      <c r="B4466" t="inlineStr">
        <is>
          <t>avverkningsanmälan</t>
        </is>
      </c>
      <c r="C4466" t="inlineStr">
        <is>
          <t>Föryngringsavverkning</t>
        </is>
      </c>
      <c r="D4466" s="1" t="n">
        <v>45415</v>
      </c>
      <c r="E4466" s="1" t="n">
        <v>46312</v>
      </c>
      <c r="F4466" t="inlineStr">
        <is>
          <t>SKÅNE LÄN</t>
        </is>
      </c>
      <c r="G4466" t="inlineStr">
        <is>
          <t>BROMÖLLA</t>
        </is>
      </c>
      <c r="I4466" t="n">
        <v>0.5</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34511-2026</t>
        </is>
      </c>
      <c r="B4467" t="inlineStr">
        <is>
          <t>avverkningsanmälan</t>
        </is>
      </c>
      <c r="C4467" t="inlineStr">
        <is>
          <t>Föryngringsavverkning</t>
        </is>
      </c>
      <c r="D4467" s="1" t="n">
        <v>46255</v>
      </c>
      <c r="E4467" s="1" t="n">
        <v>46312</v>
      </c>
      <c r="F4467" t="inlineStr">
        <is>
          <t>SKÅNE LÄN</t>
        </is>
      </c>
      <c r="G4467" t="inlineStr">
        <is>
          <t>HÄSSLEHOLM</t>
        </is>
      </c>
      <c r="I4467" t="n">
        <v>3.5</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16690-2023</t>
        </is>
      </c>
      <c r="B4468" t="inlineStr">
        <is>
          <t>avverkningsanmälan</t>
        </is>
      </c>
      <c r="C4468" t="inlineStr">
        <is>
          <t>Föryngringsavverkning</t>
        </is>
      </c>
      <c r="D4468" s="1" t="n">
        <v>45030</v>
      </c>
      <c r="E4468" s="1" t="n">
        <v>46312</v>
      </c>
      <c r="F4468" t="inlineStr">
        <is>
          <t>SKÅNE LÄN</t>
        </is>
      </c>
      <c r="G4468" t="inlineStr">
        <is>
          <t>SVEDALA</t>
        </is>
      </c>
      <c r="I4468" t="n">
        <v>0.9</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13953-2025</t>
        </is>
      </c>
      <c r="B4469" t="inlineStr">
        <is>
          <t>avverkningsanmälan</t>
        </is>
      </c>
      <c r="C4469" t="inlineStr">
        <is>
          <t>Avverkning för annat ändamål</t>
        </is>
      </c>
      <c r="D4469" s="1" t="n">
        <v>45737</v>
      </c>
      <c r="E4469" s="1" t="n">
        <v>46312</v>
      </c>
      <c r="F4469" t="inlineStr">
        <is>
          <t>SKÅNE LÄN</t>
        </is>
      </c>
      <c r="G4469" t="inlineStr">
        <is>
          <t>KRISTIANSTAD</t>
        </is>
      </c>
      <c r="I4469" t="n">
        <v>0.5</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58868-2021</t>
        </is>
      </c>
      <c r="B4470" t="inlineStr">
        <is>
          <t>avverkningsanmälan</t>
        </is>
      </c>
      <c r="C4470" t="inlineStr">
        <is>
          <t>Föryngringsavverkning</t>
        </is>
      </c>
      <c r="D4470" s="1" t="n">
        <v>44489</v>
      </c>
      <c r="E4470" s="1" t="n">
        <v>46312</v>
      </c>
      <c r="F4470" t="inlineStr">
        <is>
          <t>SKÅNE LÄN</t>
        </is>
      </c>
      <c r="G4470" t="inlineStr">
        <is>
          <t>ÖSTRA GÖINGE</t>
        </is>
      </c>
      <c r="I4470" t="n">
        <v>0.8</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59433-2023</t>
        </is>
      </c>
      <c r="B4471" t="inlineStr">
        <is>
          <t>avverkningsanmälan</t>
        </is>
      </c>
      <c r="C4471" t="inlineStr">
        <is>
          <t>Föryngringsavverkning</t>
        </is>
      </c>
      <c r="D4471" s="1" t="n">
        <v>45254</v>
      </c>
      <c r="E4471" s="1" t="n">
        <v>46312</v>
      </c>
      <c r="F4471" t="inlineStr">
        <is>
          <t>SKÅNE LÄN</t>
        </is>
      </c>
      <c r="G4471" t="inlineStr">
        <is>
          <t>HÄSSLEHOLM</t>
        </is>
      </c>
      <c r="I4471" t="n">
        <v>3.1</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15921-2025</t>
        </is>
      </c>
      <c r="B4472" t="inlineStr">
        <is>
          <t>avverkningsanmälan</t>
        </is>
      </c>
      <c r="C4472" t="inlineStr">
        <is>
          <t>Föryngringsavverkning</t>
        </is>
      </c>
      <c r="D4472" s="1" t="n">
        <v>45749</v>
      </c>
      <c r="E4472" s="1" t="n">
        <v>46312</v>
      </c>
      <c r="F4472" t="inlineStr">
        <is>
          <t>SKÅNE LÄN</t>
        </is>
      </c>
      <c r="G4472" t="inlineStr">
        <is>
          <t>TOMELILLA</t>
        </is>
      </c>
      <c r="I4472" t="n">
        <v>2.8</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46733-2023</t>
        </is>
      </c>
      <c r="B4473" t="inlineStr">
        <is>
          <t>avverkningsanmälan</t>
        </is>
      </c>
      <c r="C4473" t="inlineStr">
        <is>
          <t>Avverkning för annat ändamål</t>
        </is>
      </c>
      <c r="D4473" s="1" t="n">
        <v>45195</v>
      </c>
      <c r="E4473" s="1" t="n">
        <v>46312</v>
      </c>
      <c r="F4473" t="inlineStr">
        <is>
          <t>SKÅNE LÄN</t>
        </is>
      </c>
      <c r="G4473" t="inlineStr">
        <is>
          <t>BROMÖLLA</t>
        </is>
      </c>
      <c r="I4473" t="n">
        <v>0.8</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28980-2026</t>
        </is>
      </c>
      <c r="B4474" t="inlineStr">
        <is>
          <t>avverkningsanmälan</t>
        </is>
      </c>
      <c r="C4474" t="inlineStr">
        <is>
          <t>Föryngringsavverkning</t>
        </is>
      </c>
      <c r="D4474" s="1" t="n">
        <v>46199</v>
      </c>
      <c r="E4474" s="1" t="n">
        <v>46312</v>
      </c>
      <c r="F4474" t="inlineStr">
        <is>
          <t>SKÅNE LÄN</t>
        </is>
      </c>
      <c r="G4474" t="inlineStr">
        <is>
          <t>ÖRKELLJUNGA</t>
        </is>
      </c>
      <c r="I4474" t="n">
        <v>4.5</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6165-2023</t>
        </is>
      </c>
      <c r="B4475" t="inlineStr">
        <is>
          <t>avverkningsanmälan</t>
        </is>
      </c>
      <c r="C4475" t="inlineStr">
        <is>
          <t>Föryngringsavverkning</t>
        </is>
      </c>
      <c r="D4475" s="1" t="n">
        <v>44964</v>
      </c>
      <c r="E4475" s="1" t="n">
        <v>46312</v>
      </c>
      <c r="F4475" t="inlineStr">
        <is>
          <t>SKÅNE LÄN</t>
        </is>
      </c>
      <c r="G4475" t="inlineStr">
        <is>
          <t>HÄSSLEHOLM</t>
        </is>
      </c>
      <c r="I4475" t="n">
        <v>0.7</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33938-2023</t>
        </is>
      </c>
      <c r="B4476" t="inlineStr">
        <is>
          <t>avverkningsanmälan</t>
        </is>
      </c>
      <c r="C4476" t="inlineStr">
        <is>
          <t>Föryngringsavverkning</t>
        </is>
      </c>
      <c r="D4476" s="1" t="n">
        <v>45124</v>
      </c>
      <c r="E4476" s="1" t="n">
        <v>46312</v>
      </c>
      <c r="F4476" t="inlineStr">
        <is>
          <t>SKÅNE LÄN</t>
        </is>
      </c>
      <c r="G4476" t="inlineStr">
        <is>
          <t>HÄSSLEHOLM</t>
        </is>
      </c>
      <c r="I4476" t="n">
        <v>1.8</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41293-2026</t>
        </is>
      </c>
      <c r="B4477" t="inlineStr">
        <is>
          <t>avverkningsanmälan</t>
        </is>
      </c>
      <c r="C4477" t="inlineStr">
        <is>
          <t>Föryngringsavverkning</t>
        </is>
      </c>
      <c r="D4477" s="1" t="n">
        <v>46300</v>
      </c>
      <c r="E4477" s="1" t="n">
        <v>46312</v>
      </c>
      <c r="F4477" t="inlineStr">
        <is>
          <t>SKÅNE LÄN</t>
        </is>
      </c>
      <c r="G4477" t="inlineStr">
        <is>
          <t>HÄSSLEHOLM</t>
        </is>
      </c>
      <c r="I4477" t="n">
        <v>3.6</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677-2024</t>
        </is>
      </c>
      <c r="B4478" t="inlineStr">
        <is>
          <t>avverkningsanmälan</t>
        </is>
      </c>
      <c r="C4478" t="inlineStr">
        <is>
          <t>Föryngringsavverkning</t>
        </is>
      </c>
      <c r="D4478" s="1" t="n">
        <v>45300</v>
      </c>
      <c r="E4478" s="1" t="n">
        <v>46312</v>
      </c>
      <c r="F4478" t="inlineStr">
        <is>
          <t>SKÅNE LÄN</t>
        </is>
      </c>
      <c r="G4478" t="inlineStr">
        <is>
          <t>HÄSSLEHOLM</t>
        </is>
      </c>
      <c r="I4478" t="n">
        <v>6.8</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23596-2026</t>
        </is>
      </c>
      <c r="B4479" t="inlineStr">
        <is>
          <t>avverkningsanmälan</t>
        </is>
      </c>
      <c r="C4479" t="inlineStr">
        <is>
          <t>Föryngringsavverkning</t>
        </is>
      </c>
      <c r="D4479" s="1" t="n">
        <v>46163</v>
      </c>
      <c r="E4479" s="1" t="n">
        <v>46312</v>
      </c>
      <c r="F4479" t="inlineStr">
        <is>
          <t>SKÅNE LÄN</t>
        </is>
      </c>
      <c r="G4479" t="inlineStr">
        <is>
          <t>ÖSTRA GÖINGE</t>
        </is>
      </c>
      <c r="I4479" t="n">
        <v>4</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41087-2026</t>
        </is>
      </c>
      <c r="B4480" t="inlineStr">
        <is>
          <t>avverkningsanmälan</t>
        </is>
      </c>
      <c r="C4480" t="inlineStr">
        <is>
          <t>Föryngringsavverkning</t>
        </is>
      </c>
      <c r="D4480" s="1" t="n">
        <v>46300</v>
      </c>
      <c r="E4480" s="1" t="n">
        <v>46312</v>
      </c>
      <c r="F4480" t="inlineStr">
        <is>
          <t>SKÅNE LÄN</t>
        </is>
      </c>
      <c r="G4480" t="inlineStr">
        <is>
          <t>KRISTIANSTAD</t>
        </is>
      </c>
      <c r="I4480" t="n">
        <v>1.3</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7804-2025</t>
        </is>
      </c>
      <c r="B4481" t="inlineStr">
        <is>
          <t>avverkningsanmälan</t>
        </is>
      </c>
      <c r="C4481" t="inlineStr">
        <is>
          <t>Föryngringsavverkning</t>
        </is>
      </c>
      <c r="D4481" s="1" t="n">
        <v>45706</v>
      </c>
      <c r="E4481" s="1" t="n">
        <v>46312</v>
      </c>
      <c r="F4481" t="inlineStr">
        <is>
          <t>SKÅNE LÄN</t>
        </is>
      </c>
      <c r="G4481" t="inlineStr">
        <is>
          <t>ÖSTRA GÖINGE</t>
        </is>
      </c>
      <c r="I4481" t="n">
        <v>1.4</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29401-2026</t>
        </is>
      </c>
      <c r="B4482" t="inlineStr">
        <is>
          <t>avverkningsanmälan</t>
        </is>
      </c>
      <c r="C4482" t="inlineStr">
        <is>
          <t>Föryngringsavverkning</t>
        </is>
      </c>
      <c r="D4482" s="1" t="n">
        <v>46203</v>
      </c>
      <c r="E4482" s="1" t="n">
        <v>46312</v>
      </c>
      <c r="F4482" t="inlineStr">
        <is>
          <t>SKÅNE LÄN</t>
        </is>
      </c>
      <c r="G4482" t="inlineStr">
        <is>
          <t>ÖRKELLJUNGA</t>
        </is>
      </c>
      <c r="I4482" t="n">
        <v>2.3</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25765-2026</t>
        </is>
      </c>
      <c r="B4483" t="inlineStr">
        <is>
          <t>avverkningsanmälan</t>
        </is>
      </c>
      <c r="C4483" t="inlineStr">
        <is>
          <t>Föryngringsavverkning</t>
        </is>
      </c>
      <c r="D4483" s="1" t="n">
        <v>46178</v>
      </c>
      <c r="E4483" s="1" t="n">
        <v>46312</v>
      </c>
      <c r="F4483" t="inlineStr">
        <is>
          <t>SKÅNE LÄN</t>
        </is>
      </c>
      <c r="G4483" t="inlineStr">
        <is>
          <t>ÖRKELLJUNGA</t>
        </is>
      </c>
      <c r="I4483" t="n">
        <v>2.4</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20894-2025</t>
        </is>
      </c>
      <c r="B4484" t="inlineStr">
        <is>
          <t>avverkningsanmälan</t>
        </is>
      </c>
      <c r="C4484" t="inlineStr">
        <is>
          <t>Föryngringsavverkning</t>
        </is>
      </c>
      <c r="D4484" s="1" t="n">
        <v>45777</v>
      </c>
      <c r="E4484" s="1" t="n">
        <v>46312</v>
      </c>
      <c r="F4484" t="inlineStr">
        <is>
          <t>SKÅNE LÄN</t>
        </is>
      </c>
      <c r="G4484" t="inlineStr">
        <is>
          <t>OSBY</t>
        </is>
      </c>
      <c r="I4484" t="n">
        <v>0.6</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34495-2026</t>
        </is>
      </c>
      <c r="B4485" t="inlineStr">
        <is>
          <t>avverkningsanmälan</t>
        </is>
      </c>
      <c r="C4485" t="inlineStr">
        <is>
          <t>Föryngringsavverkning</t>
        </is>
      </c>
      <c r="D4485" s="1" t="n">
        <v>46255</v>
      </c>
      <c r="E4485" s="1" t="n">
        <v>46312</v>
      </c>
      <c r="F4485" t="inlineStr">
        <is>
          <t>SKÅNE LÄN</t>
        </is>
      </c>
      <c r="G4485" t="inlineStr">
        <is>
          <t>HÖÖR</t>
        </is>
      </c>
      <c r="I4485" t="n">
        <v>0.9</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37598-2026</t>
        </is>
      </c>
      <c r="B4486" t="inlineStr">
        <is>
          <t>avverkningsanmälan</t>
        </is>
      </c>
      <c r="C4486" t="inlineStr">
        <is>
          <t>Föryngringsavverkning</t>
        </is>
      </c>
      <c r="D4486" s="1" t="n">
        <v>46276</v>
      </c>
      <c r="E4486" s="1" t="n">
        <v>46312</v>
      </c>
      <c r="F4486" t="inlineStr">
        <is>
          <t>SKÅNE LÄN</t>
        </is>
      </c>
      <c r="G4486" t="inlineStr">
        <is>
          <t>PERSTORP</t>
        </is>
      </c>
      <c r="I4486" t="n">
        <v>1.7</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35742-2024</t>
        </is>
      </c>
      <c r="B4487" t="inlineStr">
        <is>
          <t>avverkningsanmälan</t>
        </is>
      </c>
      <c r="C4487" t="inlineStr">
        <is>
          <t>Föryngringsavverkning</t>
        </is>
      </c>
      <c r="D4487" s="1" t="n">
        <v>45532</v>
      </c>
      <c r="E4487" s="1" t="n">
        <v>46312</v>
      </c>
      <c r="F4487" t="inlineStr">
        <is>
          <t>SKÅNE LÄN</t>
        </is>
      </c>
      <c r="G4487" t="inlineStr">
        <is>
          <t>TOMELILLA</t>
        </is>
      </c>
      <c r="I4487" t="n">
        <v>1</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41495-2026</t>
        </is>
      </c>
      <c r="B4488" t="inlineStr">
        <is>
          <t>avverkningsanmälan</t>
        </is>
      </c>
      <c r="C4488" t="inlineStr">
        <is>
          <t>Avverkning för annat ändamål</t>
        </is>
      </c>
      <c r="D4488" s="1" t="n">
        <v>46301</v>
      </c>
      <c r="E4488" s="1" t="n">
        <v>46312</v>
      </c>
      <c r="F4488" t="inlineStr">
        <is>
          <t>SKÅNE LÄN</t>
        </is>
      </c>
      <c r="G4488" t="inlineStr">
        <is>
          <t>HÄSSLEHOLM</t>
        </is>
      </c>
      <c r="I4488" t="n">
        <v>0.9</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20714-2025</t>
        </is>
      </c>
      <c r="B4489" t="inlineStr">
        <is>
          <t>avverkningsanmälan</t>
        </is>
      </c>
      <c r="C4489" t="inlineStr">
        <is>
          <t>Föryngringsavverkning</t>
        </is>
      </c>
      <c r="D4489" s="1" t="n">
        <v>45776</v>
      </c>
      <c r="E4489" s="1" t="n">
        <v>46312</v>
      </c>
      <c r="F4489" t="inlineStr">
        <is>
          <t>SKÅNE LÄN</t>
        </is>
      </c>
      <c r="G4489" t="inlineStr">
        <is>
          <t>KRISTIANSTAD</t>
        </is>
      </c>
      <c r="I4489" t="n">
        <v>1.3</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41398-2026</t>
        </is>
      </c>
      <c r="B4490" t="inlineStr">
        <is>
          <t>avverkningsanmälan</t>
        </is>
      </c>
      <c r="C4490" t="inlineStr">
        <is>
          <t>Föryngringsavverkning</t>
        </is>
      </c>
      <c r="D4490" s="1" t="n">
        <v>46300</v>
      </c>
      <c r="E4490" s="1" t="n">
        <v>46312</v>
      </c>
      <c r="F4490" t="inlineStr">
        <is>
          <t>SKÅNE LÄN</t>
        </is>
      </c>
      <c r="G4490" t="inlineStr">
        <is>
          <t>BROMÖLLA</t>
        </is>
      </c>
      <c r="I4490" t="n">
        <v>1.5</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25795-2026</t>
        </is>
      </c>
      <c r="B4491" t="inlineStr">
        <is>
          <t>avverkningsanmälan</t>
        </is>
      </c>
      <c r="C4491" t="inlineStr">
        <is>
          <t>Föryngringsavverkning</t>
        </is>
      </c>
      <c r="D4491" s="1" t="n">
        <v>46178</v>
      </c>
      <c r="E4491" s="1" t="n">
        <v>46312</v>
      </c>
      <c r="F4491" t="inlineStr">
        <is>
          <t>SKÅNE LÄN</t>
        </is>
      </c>
      <c r="G4491" t="inlineStr">
        <is>
          <t>HÖÖR</t>
        </is>
      </c>
      <c r="I4491" t="n">
        <v>1</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34515-2026</t>
        </is>
      </c>
      <c r="B4492" t="inlineStr">
        <is>
          <t>avverkningsanmälan</t>
        </is>
      </c>
      <c r="C4492" t="inlineStr">
        <is>
          <t>Föryngringsavverkning</t>
        </is>
      </c>
      <c r="D4492" s="1" t="n">
        <v>46255</v>
      </c>
      <c r="E4492" s="1" t="n">
        <v>46312</v>
      </c>
      <c r="F4492" t="inlineStr">
        <is>
          <t>SKÅNE LÄN</t>
        </is>
      </c>
      <c r="G4492" t="inlineStr">
        <is>
          <t>HÄSSLEHOLM</t>
        </is>
      </c>
      <c r="I4492" t="n">
        <v>4.9</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41574-2026</t>
        </is>
      </c>
      <c r="B4493" t="inlineStr">
        <is>
          <t>avverkningsanmälan</t>
        </is>
      </c>
      <c r="C4493" t="inlineStr">
        <is>
          <t>Föryngringsavverkning</t>
        </is>
      </c>
      <c r="D4493" s="1" t="n">
        <v>46301</v>
      </c>
      <c r="E4493" s="1" t="n">
        <v>46312</v>
      </c>
      <c r="F4493" t="inlineStr">
        <is>
          <t>SKÅNE LÄN</t>
        </is>
      </c>
      <c r="G4493" t="inlineStr">
        <is>
          <t>ÖRKELLJUNGA</t>
        </is>
      </c>
      <c r="I4493" t="n">
        <v>1.8</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21206-2025</t>
        </is>
      </c>
      <c r="B4494" t="inlineStr">
        <is>
          <t>avverkningsanmälan</t>
        </is>
      </c>
      <c r="C4494" t="inlineStr">
        <is>
          <t>Föryngringsavverkning</t>
        </is>
      </c>
      <c r="D4494" s="1" t="n">
        <v>45779</v>
      </c>
      <c r="E4494" s="1" t="n">
        <v>46312</v>
      </c>
      <c r="F4494" t="inlineStr">
        <is>
          <t>SKÅNE LÄN</t>
        </is>
      </c>
      <c r="G4494" t="inlineStr">
        <is>
          <t>HÄSSLEHOLM</t>
        </is>
      </c>
      <c r="I4494" t="n">
        <v>2.2</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34740-2026</t>
        </is>
      </c>
      <c r="B4495" t="inlineStr">
        <is>
          <t>avverkningsanmälan</t>
        </is>
      </c>
      <c r="C4495" t="inlineStr">
        <is>
          <t>Föryngringsavverkning</t>
        </is>
      </c>
      <c r="D4495" s="1" t="n">
        <v>46258</v>
      </c>
      <c r="E4495" s="1" t="n">
        <v>46312</v>
      </c>
      <c r="F4495" t="inlineStr">
        <is>
          <t>SKÅNE LÄN</t>
        </is>
      </c>
      <c r="G4495" t="inlineStr">
        <is>
          <t>HÖRBY</t>
        </is>
      </c>
      <c r="I4495" t="n">
        <v>2.1</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34770-2026</t>
        </is>
      </c>
      <c r="B4496" t="inlineStr">
        <is>
          <t>avverkningsanmälan</t>
        </is>
      </c>
      <c r="C4496" t="inlineStr">
        <is>
          <t>Föryngringsavverkning</t>
        </is>
      </c>
      <c r="D4496" s="1" t="n">
        <v>46258</v>
      </c>
      <c r="E4496" s="1" t="n">
        <v>46312</v>
      </c>
      <c r="F4496" t="inlineStr">
        <is>
          <t>SKÅNE LÄN</t>
        </is>
      </c>
      <c r="G4496" t="inlineStr">
        <is>
          <t>ÖRKELLJUNGA</t>
        </is>
      </c>
      <c r="I4496" t="n">
        <v>6</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49362-2024</t>
        </is>
      </c>
      <c r="B4497" t="inlineStr">
        <is>
          <t>avverkningsanmälan</t>
        </is>
      </c>
      <c r="C4497" t="inlineStr">
        <is>
          <t>Föryngringsavverkning</t>
        </is>
      </c>
      <c r="D4497" s="1" t="n">
        <v>45595</v>
      </c>
      <c r="E4497" s="1" t="n">
        <v>46312</v>
      </c>
      <c r="F4497" t="inlineStr">
        <is>
          <t>SKÅNE LÄN</t>
        </is>
      </c>
      <c r="G4497" t="inlineStr">
        <is>
          <t>ÖRKELLJUNGA</t>
        </is>
      </c>
      <c r="I4497" t="n">
        <v>3.1</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52959-2024</t>
        </is>
      </c>
      <c r="B4498" t="inlineStr">
        <is>
          <t>avverkningsanmälan</t>
        </is>
      </c>
      <c r="C4498" t="inlineStr">
        <is>
          <t>Föryngringsavverkning</t>
        </is>
      </c>
      <c r="D4498" s="1" t="n">
        <v>45611</v>
      </c>
      <c r="E4498" s="1" t="n">
        <v>46312</v>
      </c>
      <c r="F4498" t="inlineStr">
        <is>
          <t>SKÅNE LÄN</t>
        </is>
      </c>
      <c r="G4498" t="inlineStr">
        <is>
          <t>SJÖBO</t>
        </is>
      </c>
      <c r="I4498" t="n">
        <v>2.3</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21091-2025</t>
        </is>
      </c>
      <c r="B4499" t="inlineStr">
        <is>
          <t>avverkningsanmälan</t>
        </is>
      </c>
      <c r="C4499" t="inlineStr">
        <is>
          <t>Föryngringsavverkning</t>
        </is>
      </c>
      <c r="D4499" s="1" t="n">
        <v>45777</v>
      </c>
      <c r="E4499" s="1" t="n">
        <v>46312</v>
      </c>
      <c r="F4499" t="inlineStr">
        <is>
          <t>SKÅNE LÄN</t>
        </is>
      </c>
      <c r="G4499" t="inlineStr">
        <is>
          <t>HÄSSLEHOLM</t>
        </is>
      </c>
      <c r="I4499" t="n">
        <v>3.4</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19240-2026</t>
        </is>
      </c>
      <c r="B4500" t="inlineStr">
        <is>
          <t>avverkningsanmälan</t>
        </is>
      </c>
      <c r="C4500" t="inlineStr">
        <is>
          <t>Föryngringsavverkning</t>
        </is>
      </c>
      <c r="D4500" s="1" t="n">
        <v>46132</v>
      </c>
      <c r="E4500" s="1" t="n">
        <v>46312</v>
      </c>
      <c r="F4500" t="inlineStr">
        <is>
          <t>SKÅNE LÄN</t>
        </is>
      </c>
      <c r="G4500" t="inlineStr">
        <is>
          <t>HÄSSLEHOLM</t>
        </is>
      </c>
      <c r="I4500" t="n">
        <v>4</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317-2025</t>
        </is>
      </c>
      <c r="B4501" t="inlineStr">
        <is>
          <t>avverkningsanmälan</t>
        </is>
      </c>
      <c r="C4501" t="inlineStr">
        <is>
          <t>Föryngringsavverkning</t>
        </is>
      </c>
      <c r="D4501" s="1" t="n">
        <v>45660</v>
      </c>
      <c r="E4501" s="1" t="n">
        <v>46312</v>
      </c>
      <c r="F4501" t="inlineStr">
        <is>
          <t>SKÅNE LÄN</t>
        </is>
      </c>
      <c r="G4501" t="inlineStr">
        <is>
          <t>HÄSSLEHOLM</t>
        </is>
      </c>
      <c r="I4501" t="n">
        <v>1.6</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52310-2023</t>
        </is>
      </c>
      <c r="B4502" t="inlineStr">
        <is>
          <t>avverkningsanmälan</t>
        </is>
      </c>
      <c r="C4502" t="inlineStr">
        <is>
          <t>Föryngringsavverkning</t>
        </is>
      </c>
      <c r="D4502" s="1" t="n">
        <v>45224</v>
      </c>
      <c r="E4502" s="1" t="n">
        <v>46312</v>
      </c>
      <c r="F4502" t="inlineStr">
        <is>
          <t>SKÅNE LÄN</t>
        </is>
      </c>
      <c r="G4502" t="inlineStr">
        <is>
          <t>HÖRBY</t>
        </is>
      </c>
      <c r="I4502" t="n">
        <v>3.5</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61859-2023</t>
        </is>
      </c>
      <c r="B4503" t="inlineStr">
        <is>
          <t>avverkningsanmälan</t>
        </is>
      </c>
      <c r="C4503" t="inlineStr">
        <is>
          <t>Föryngringsavverkning</t>
        </is>
      </c>
      <c r="D4503" s="1" t="n">
        <v>45265</v>
      </c>
      <c r="E4503" s="1" t="n">
        <v>46312</v>
      </c>
      <c r="F4503" t="inlineStr">
        <is>
          <t>SKÅNE LÄN</t>
        </is>
      </c>
      <c r="G4503" t="inlineStr">
        <is>
          <t>PERSTORP</t>
        </is>
      </c>
      <c r="H4503" t="inlineStr">
        <is>
          <t>Övriga Aktiebolag</t>
        </is>
      </c>
      <c r="I4503" t="n">
        <v>6.8</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34588-2026</t>
        </is>
      </c>
      <c r="B4504" t="inlineStr">
        <is>
          <t>avverkningsanmälan</t>
        </is>
      </c>
      <c r="C4504" t="inlineStr">
        <is>
          <t>Föryngringsavverkning</t>
        </is>
      </c>
      <c r="D4504" s="1" t="n">
        <v>46255</v>
      </c>
      <c r="E4504" s="1" t="n">
        <v>46312</v>
      </c>
      <c r="F4504" t="inlineStr">
        <is>
          <t>SKÅNE LÄN</t>
        </is>
      </c>
      <c r="G4504" t="inlineStr">
        <is>
          <t>HÄSSLEHOLM</t>
        </is>
      </c>
      <c r="I4504" t="n">
        <v>0.7</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27371-2026</t>
        </is>
      </c>
      <c r="B4505" t="inlineStr">
        <is>
          <t>avverkningsanmälan</t>
        </is>
      </c>
      <c r="C4505" t="inlineStr">
        <is>
          <t>Föryngringsavverkning</t>
        </is>
      </c>
      <c r="D4505" s="1" t="n">
        <v>46188</v>
      </c>
      <c r="E4505" s="1" t="n">
        <v>46312</v>
      </c>
      <c r="F4505" t="inlineStr">
        <is>
          <t>SKÅNE LÄN</t>
        </is>
      </c>
      <c r="G4505" t="inlineStr">
        <is>
          <t>HÄSSLEHOLM</t>
        </is>
      </c>
      <c r="I4505" t="n">
        <v>1.1</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21992-2024</t>
        </is>
      </c>
      <c r="B4506" t="inlineStr">
        <is>
          <t>avverkningsanmälan</t>
        </is>
      </c>
      <c r="C4506" t="inlineStr">
        <is>
          <t>Föryngringsavverkning</t>
        </is>
      </c>
      <c r="D4506" s="1" t="n">
        <v>45443</v>
      </c>
      <c r="E4506" s="1" t="n">
        <v>46312</v>
      </c>
      <c r="F4506" t="inlineStr">
        <is>
          <t>SKÅNE LÄN</t>
        </is>
      </c>
      <c r="G4506" t="inlineStr">
        <is>
          <t>KRISTIANSTAD</t>
        </is>
      </c>
      <c r="I4506" t="n">
        <v>1.4</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32201-2024</t>
        </is>
      </c>
      <c r="B4507" t="inlineStr">
        <is>
          <t>avverkningsanmälan</t>
        </is>
      </c>
      <c r="C4507" t="inlineStr">
        <is>
          <t>Föryngringsavverkning</t>
        </is>
      </c>
      <c r="D4507" s="1" t="n">
        <v>45511</v>
      </c>
      <c r="E4507" s="1" t="n">
        <v>46312</v>
      </c>
      <c r="F4507" t="inlineStr">
        <is>
          <t>SKÅNE LÄN</t>
        </is>
      </c>
      <c r="G4507" t="inlineStr">
        <is>
          <t>PERSTORP</t>
        </is>
      </c>
      <c r="I4507" t="n">
        <v>2.9</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35715-2024</t>
        </is>
      </c>
      <c r="B4508" t="inlineStr">
        <is>
          <t>avverkningsanmälan</t>
        </is>
      </c>
      <c r="C4508" t="inlineStr">
        <is>
          <t>Föryngringsavverkning</t>
        </is>
      </c>
      <c r="D4508" s="1" t="n">
        <v>45532</v>
      </c>
      <c r="E4508" s="1" t="n">
        <v>46312</v>
      </c>
      <c r="F4508" t="inlineStr">
        <is>
          <t>SKÅNE LÄN</t>
        </is>
      </c>
      <c r="G4508" t="inlineStr">
        <is>
          <t>TOMELILLA</t>
        </is>
      </c>
      <c r="I4508" t="n">
        <v>1.2</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21814-2025</t>
        </is>
      </c>
      <c r="B4509" t="inlineStr">
        <is>
          <t>avverkningsanmälan</t>
        </is>
      </c>
      <c r="C4509" t="inlineStr">
        <is>
          <t>Föryngringsavverkning</t>
        </is>
      </c>
      <c r="D4509" s="1" t="n">
        <v>45783</v>
      </c>
      <c r="E4509" s="1" t="n">
        <v>46312</v>
      </c>
      <c r="F4509" t="inlineStr">
        <is>
          <t>SKÅNE LÄN</t>
        </is>
      </c>
      <c r="G4509" t="inlineStr">
        <is>
          <t>SVALÖV</t>
        </is>
      </c>
      <c r="I4509" t="n">
        <v>2.4</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20635-2024</t>
        </is>
      </c>
      <c r="B4510" t="inlineStr">
        <is>
          <t>avverkningsanmälan</t>
        </is>
      </c>
      <c r="C4510" t="inlineStr">
        <is>
          <t>Föryngringsavverkning</t>
        </is>
      </c>
      <c r="D4510" s="1" t="n">
        <v>45436</v>
      </c>
      <c r="E4510" s="1" t="n">
        <v>46312</v>
      </c>
      <c r="F4510" t="inlineStr">
        <is>
          <t>SKÅNE LÄN</t>
        </is>
      </c>
      <c r="G4510" t="inlineStr">
        <is>
          <t>ÄNGELHOLM</t>
        </is>
      </c>
      <c r="I4510" t="n">
        <v>4.8</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39111-2023</t>
        </is>
      </c>
      <c r="B4511" t="inlineStr">
        <is>
          <t>avverkningsanmälan</t>
        </is>
      </c>
      <c r="C4511" t="inlineStr">
        <is>
          <t>Föryngringsavverkning</t>
        </is>
      </c>
      <c r="D4511" s="1" t="n">
        <v>45164</v>
      </c>
      <c r="E4511" s="1" t="n">
        <v>46312</v>
      </c>
      <c r="F4511" t="inlineStr">
        <is>
          <t>SKÅNE LÄN</t>
        </is>
      </c>
      <c r="G4511" t="inlineStr">
        <is>
          <t>HÄSSLEHOLM</t>
        </is>
      </c>
      <c r="I4511" t="n">
        <v>0.9</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60851-2024</t>
        </is>
      </c>
      <c r="B4512" t="inlineStr">
        <is>
          <t>avverkningsanmälan</t>
        </is>
      </c>
      <c r="C4512" t="inlineStr">
        <is>
          <t>Föryngringsavverkning</t>
        </is>
      </c>
      <c r="D4512" s="1" t="n">
        <v>45644</v>
      </c>
      <c r="E4512" s="1" t="n">
        <v>46312</v>
      </c>
      <c r="F4512" t="inlineStr">
        <is>
          <t>SKÅNE LÄN</t>
        </is>
      </c>
      <c r="G4512" t="inlineStr">
        <is>
          <t>HÄSSLEHOLM</t>
        </is>
      </c>
      <c r="I4512" t="n">
        <v>1.5</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168-2025</t>
        </is>
      </c>
      <c r="B4513" t="inlineStr">
        <is>
          <t>avverkningsanmälan</t>
        </is>
      </c>
      <c r="C4513" t="inlineStr">
        <is>
          <t>Föryngringsavverkning</t>
        </is>
      </c>
      <c r="D4513" s="1" t="n">
        <v>45659</v>
      </c>
      <c r="E4513" s="1" t="n">
        <v>46312</v>
      </c>
      <c r="F4513" t="inlineStr">
        <is>
          <t>SKÅNE LÄN</t>
        </is>
      </c>
      <c r="G4513" t="inlineStr">
        <is>
          <t>ÖRKELLJUNGA</t>
        </is>
      </c>
      <c r="I4513" t="n">
        <v>6.9</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21541-2025</t>
        </is>
      </c>
      <c r="B4514" t="inlineStr">
        <is>
          <t>avverkningsanmälan</t>
        </is>
      </c>
      <c r="C4514" t="inlineStr">
        <is>
          <t>Föryngringsavverkning</t>
        </is>
      </c>
      <c r="D4514" s="1" t="n">
        <v>45782</v>
      </c>
      <c r="E4514" s="1" t="n">
        <v>46312</v>
      </c>
      <c r="F4514" t="inlineStr">
        <is>
          <t>SKÅNE LÄN</t>
        </is>
      </c>
      <c r="G4514" t="inlineStr">
        <is>
          <t>SVALÖV</t>
        </is>
      </c>
      <c r="I4514" t="n">
        <v>3.1</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34737-2026</t>
        </is>
      </c>
      <c r="B4515" t="inlineStr">
        <is>
          <t>avverkningsanmälan</t>
        </is>
      </c>
      <c r="C4515" t="inlineStr">
        <is>
          <t>Föryngringsavverkning</t>
        </is>
      </c>
      <c r="D4515" s="1" t="n">
        <v>46258</v>
      </c>
      <c r="E4515" s="1" t="n">
        <v>46312</v>
      </c>
      <c r="F4515" t="inlineStr">
        <is>
          <t>SKÅNE LÄN</t>
        </is>
      </c>
      <c r="G4515" t="inlineStr">
        <is>
          <t>HÖRBY</t>
        </is>
      </c>
      <c r="I4515" t="n">
        <v>0.7</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34494-2026</t>
        </is>
      </c>
      <c r="B4516" t="inlineStr">
        <is>
          <t>avverkningsanmälan</t>
        </is>
      </c>
      <c r="C4516" t="inlineStr">
        <is>
          <t>Föryngringsavverkning</t>
        </is>
      </c>
      <c r="D4516" s="1" t="n">
        <v>46255</v>
      </c>
      <c r="E4516" s="1" t="n">
        <v>46312</v>
      </c>
      <c r="F4516" t="inlineStr">
        <is>
          <t>SKÅNE LÄN</t>
        </is>
      </c>
      <c r="G4516" t="inlineStr">
        <is>
          <t>HÖÖR</t>
        </is>
      </c>
      <c r="I4516" t="n">
        <v>1.2</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21556-2025</t>
        </is>
      </c>
      <c r="B4517" t="inlineStr">
        <is>
          <t>avverkningsanmälan</t>
        </is>
      </c>
      <c r="C4517" t="inlineStr">
        <is>
          <t>Föryngringsavverkning</t>
        </is>
      </c>
      <c r="D4517" s="1" t="n">
        <v>45782</v>
      </c>
      <c r="E4517" s="1" t="n">
        <v>46312</v>
      </c>
      <c r="F4517" t="inlineStr">
        <is>
          <t>SKÅNE LÄN</t>
        </is>
      </c>
      <c r="G4517" t="inlineStr">
        <is>
          <t>SVALÖV</t>
        </is>
      </c>
      <c r="I4517" t="n">
        <v>1.3</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7818-2024</t>
        </is>
      </c>
      <c r="B4518" t="inlineStr">
        <is>
          <t>avverkningsanmälan</t>
        </is>
      </c>
      <c r="C4518" t="inlineStr">
        <is>
          <t>Föryngringsavverkning</t>
        </is>
      </c>
      <c r="D4518" s="1" t="n">
        <v>45349</v>
      </c>
      <c r="E4518" s="1" t="n">
        <v>46312</v>
      </c>
      <c r="F4518" t="inlineStr">
        <is>
          <t>SKÅNE LÄN</t>
        </is>
      </c>
      <c r="G4518" t="inlineStr">
        <is>
          <t>HÄSSLEHOLM</t>
        </is>
      </c>
      <c r="I4518" t="n">
        <v>2.5</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21570-2025</t>
        </is>
      </c>
      <c r="B4519" t="inlineStr">
        <is>
          <t>avverkningsanmälan</t>
        </is>
      </c>
      <c r="C4519" t="inlineStr">
        <is>
          <t>Föryngringsavverkning</t>
        </is>
      </c>
      <c r="D4519" s="1" t="n">
        <v>45782</v>
      </c>
      <c r="E4519" s="1" t="n">
        <v>46312</v>
      </c>
      <c r="F4519" t="inlineStr">
        <is>
          <t>SKÅNE LÄN</t>
        </is>
      </c>
      <c r="G4519" t="inlineStr">
        <is>
          <t>OSBY</t>
        </is>
      </c>
      <c r="I4519" t="n">
        <v>15.1</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34930-2026</t>
        </is>
      </c>
      <c r="B4520" t="inlineStr">
        <is>
          <t>avverkningsanmälan</t>
        </is>
      </c>
      <c r="C4520" t="inlineStr">
        <is>
          <t>Föryngringsavverkning</t>
        </is>
      </c>
      <c r="D4520" s="1" t="n">
        <v>46256</v>
      </c>
      <c r="E4520" s="1" t="n">
        <v>46312</v>
      </c>
      <c r="F4520" t="inlineStr">
        <is>
          <t>SKÅNE LÄN</t>
        </is>
      </c>
      <c r="G4520" t="inlineStr">
        <is>
          <t>KRISTIANSTAD</t>
        </is>
      </c>
      <c r="I4520" t="n">
        <v>3.8</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44538-2024</t>
        </is>
      </c>
      <c r="B4521" t="inlineStr">
        <is>
          <t>avverkningsanmälan</t>
        </is>
      </c>
      <c r="C4521" t="inlineStr">
        <is>
          <t>Föryngringsavverkning</t>
        </is>
      </c>
      <c r="D4521" s="1" t="n">
        <v>45574</v>
      </c>
      <c r="E4521" s="1" t="n">
        <v>46312</v>
      </c>
      <c r="F4521" t="inlineStr">
        <is>
          <t>SKÅNE LÄN</t>
        </is>
      </c>
      <c r="G4521" t="inlineStr">
        <is>
          <t>KRISTIANSTAD</t>
        </is>
      </c>
      <c r="I4521" t="n">
        <v>1.5</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62295-2025</t>
        </is>
      </c>
      <c r="B4522" t="inlineStr">
        <is>
          <t>avverkningsanmälan</t>
        </is>
      </c>
      <c r="C4522" t="inlineStr">
        <is>
          <t>Föryngringsavverkning</t>
        </is>
      </c>
      <c r="D4522" s="1" t="n">
        <v>46006</v>
      </c>
      <c r="E4522" s="1" t="n">
        <v>46312</v>
      </c>
      <c r="F4522" t="inlineStr">
        <is>
          <t>SKÅNE LÄN</t>
        </is>
      </c>
      <c r="G4522" t="inlineStr">
        <is>
          <t>KRISTIANSTAD</t>
        </is>
      </c>
      <c r="I4522" t="n">
        <v>1.8</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34670-2026</t>
        </is>
      </c>
      <c r="B4523" t="inlineStr">
        <is>
          <t>avverkningsanmälan</t>
        </is>
      </c>
      <c r="C4523" t="inlineStr">
        <is>
          <t>Föryngringsavverkning</t>
        </is>
      </c>
      <c r="D4523" s="1" t="n">
        <v>46258</v>
      </c>
      <c r="E4523" s="1" t="n">
        <v>46312</v>
      </c>
      <c r="F4523" t="inlineStr">
        <is>
          <t>SKÅNE LÄN</t>
        </is>
      </c>
      <c r="G4523" t="inlineStr">
        <is>
          <t>HÖÖR</t>
        </is>
      </c>
      <c r="I4523" t="n">
        <v>1.6</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13149-2024</t>
        </is>
      </c>
      <c r="B4524" t="inlineStr">
        <is>
          <t>avverkningsanmälan</t>
        </is>
      </c>
      <c r="C4524" t="inlineStr">
        <is>
          <t>Föryngringsavverkning</t>
        </is>
      </c>
      <c r="D4524" s="1" t="n">
        <v>45386</v>
      </c>
      <c r="E4524" s="1" t="n">
        <v>46312</v>
      </c>
      <c r="F4524" t="inlineStr">
        <is>
          <t>SKÅNE LÄN</t>
        </is>
      </c>
      <c r="G4524" t="inlineStr">
        <is>
          <t>HÄSSLEHOLM</t>
        </is>
      </c>
      <c r="I4524" t="n">
        <v>1.1</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32154-2024</t>
        </is>
      </c>
      <c r="B4525" t="inlineStr">
        <is>
          <t>avverkningsanmälan</t>
        </is>
      </c>
      <c r="C4525" t="inlineStr">
        <is>
          <t>Föryngringsavverkning</t>
        </is>
      </c>
      <c r="D4525" s="1" t="n">
        <v>45511</v>
      </c>
      <c r="E4525" s="1" t="n">
        <v>46312</v>
      </c>
      <c r="F4525" t="inlineStr">
        <is>
          <t>SKÅNE LÄN</t>
        </is>
      </c>
      <c r="G4525" t="inlineStr">
        <is>
          <t>HÄSSLEHOLM</t>
        </is>
      </c>
      <c r="I4525" t="n">
        <v>6.4</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29845-2024</t>
        </is>
      </c>
      <c r="B4526" t="inlineStr">
        <is>
          <t>avverkningsanmälan</t>
        </is>
      </c>
      <c r="C4526" t="inlineStr">
        <is>
          <t>Föryngringsavverkning</t>
        </is>
      </c>
      <c r="D4526" s="1" t="n">
        <v>45485</v>
      </c>
      <c r="E4526" s="1" t="n">
        <v>46312</v>
      </c>
      <c r="F4526" t="inlineStr">
        <is>
          <t>SKÅNE LÄN</t>
        </is>
      </c>
      <c r="G4526" t="inlineStr">
        <is>
          <t>HÄSSLEHOLM</t>
        </is>
      </c>
      <c r="I4526" t="n">
        <v>1.3</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1703-2025</t>
        </is>
      </c>
      <c r="B4527" t="inlineStr">
        <is>
          <t>avverkningsanmälan</t>
        </is>
      </c>
      <c r="C4527" t="inlineStr">
        <is>
          <t>Föryngringsavverkning</t>
        </is>
      </c>
      <c r="D4527" s="1" t="n">
        <v>45670</v>
      </c>
      <c r="E4527" s="1" t="n">
        <v>46312</v>
      </c>
      <c r="F4527" t="inlineStr">
        <is>
          <t>SKÅNE LÄN</t>
        </is>
      </c>
      <c r="G4527" t="inlineStr">
        <is>
          <t>HÄSSLEHOLM</t>
        </is>
      </c>
      <c r="I4527" t="n">
        <v>0.9</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65018-2023</t>
        </is>
      </c>
      <c r="B4528" t="inlineStr">
        <is>
          <t>avverkningsanmälan</t>
        </is>
      </c>
      <c r="C4528" t="inlineStr">
        <is>
          <t>Avverkning för annat ändamål</t>
        </is>
      </c>
      <c r="D4528" s="1" t="n">
        <v>45287</v>
      </c>
      <c r="E4528" s="1" t="n">
        <v>46312</v>
      </c>
      <c r="F4528" t="inlineStr">
        <is>
          <t>SKÅNE LÄN</t>
        </is>
      </c>
      <c r="G4528" t="inlineStr">
        <is>
          <t>KÄVLINGE</t>
        </is>
      </c>
      <c r="I4528" t="n">
        <v>1.1</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57710-2024</t>
        </is>
      </c>
      <c r="B4529" t="inlineStr">
        <is>
          <t>avverkningsanmälan</t>
        </is>
      </c>
      <c r="C4529" t="inlineStr">
        <is>
          <t>Föryngringsavverkning</t>
        </is>
      </c>
      <c r="D4529" s="1" t="n">
        <v>45630</v>
      </c>
      <c r="E4529" s="1" t="n">
        <v>46312</v>
      </c>
      <c r="F4529" t="inlineStr">
        <is>
          <t>SKÅNE LÄN</t>
        </is>
      </c>
      <c r="G4529" t="inlineStr">
        <is>
          <t>OSBY</t>
        </is>
      </c>
      <c r="I4529" t="n">
        <v>9.5</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41092-2026</t>
        </is>
      </c>
      <c r="B4530" t="inlineStr">
        <is>
          <t>avverkningsanmälan</t>
        </is>
      </c>
      <c r="C4530" t="inlineStr">
        <is>
          <t>Föryngringsavverkning</t>
        </is>
      </c>
      <c r="D4530" s="1" t="n">
        <v>46300</v>
      </c>
      <c r="E4530" s="1" t="n">
        <v>46312</v>
      </c>
      <c r="F4530" t="inlineStr">
        <is>
          <t>SKÅNE LÄN</t>
        </is>
      </c>
      <c r="G4530" t="inlineStr">
        <is>
          <t>KRISTIANSTAD</t>
        </is>
      </c>
      <c r="I4530" t="n">
        <v>0.5</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41093-2026</t>
        </is>
      </c>
      <c r="B4531" t="inlineStr">
        <is>
          <t>avverkningsanmälan</t>
        </is>
      </c>
      <c r="C4531" t="inlineStr">
        <is>
          <t>Föryngringsavverkning</t>
        </is>
      </c>
      <c r="D4531" s="1" t="n">
        <v>46300</v>
      </c>
      <c r="E4531" s="1" t="n">
        <v>46312</v>
      </c>
      <c r="F4531" t="inlineStr">
        <is>
          <t>SKÅNE LÄN</t>
        </is>
      </c>
      <c r="G4531" t="inlineStr">
        <is>
          <t>KRISTIANSTAD</t>
        </is>
      </c>
      <c r="I4531" t="n">
        <v>1.7</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33254-2024</t>
        </is>
      </c>
      <c r="B4532" t="inlineStr">
        <is>
          <t>avverkningsanmälan</t>
        </is>
      </c>
      <c r="C4532" t="inlineStr">
        <is>
          <t>Föryngringsavverkning</t>
        </is>
      </c>
      <c r="D4532" s="1" t="n">
        <v>45518</v>
      </c>
      <c r="E4532" s="1" t="n">
        <v>46312</v>
      </c>
      <c r="F4532" t="inlineStr">
        <is>
          <t>SKÅNE LÄN</t>
        </is>
      </c>
      <c r="G4532" t="inlineStr">
        <is>
          <t>OSBY</t>
        </is>
      </c>
      <c r="H4532" t="inlineStr">
        <is>
          <t>Naturvårdsverket</t>
        </is>
      </c>
      <c r="I4532" t="n">
        <v>6.4</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33950-2025</t>
        </is>
      </c>
      <c r="B4533" t="inlineStr">
        <is>
          <t>avverkningsanmälan</t>
        </is>
      </c>
      <c r="C4533" t="inlineStr">
        <is>
          <t>Föryngringsavverkning</t>
        </is>
      </c>
      <c r="D4533" s="1" t="n">
        <v>45842</v>
      </c>
      <c r="E4533" s="1" t="n">
        <v>46312</v>
      </c>
      <c r="F4533" t="inlineStr">
        <is>
          <t>SKÅNE LÄN</t>
        </is>
      </c>
      <c r="G4533" t="inlineStr">
        <is>
          <t>HÄSSLEHOLM</t>
        </is>
      </c>
      <c r="I4533" t="n">
        <v>5.7</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53466-2024</t>
        </is>
      </c>
      <c r="B4534" t="inlineStr">
        <is>
          <t>avverkningsanmälan</t>
        </is>
      </c>
      <c r="C4534" t="inlineStr">
        <is>
          <t>Föryngringsavverkning</t>
        </is>
      </c>
      <c r="D4534" s="1" t="n">
        <v>45614</v>
      </c>
      <c r="E4534" s="1" t="n">
        <v>46312</v>
      </c>
      <c r="F4534" t="inlineStr">
        <is>
          <t>SKÅNE LÄN</t>
        </is>
      </c>
      <c r="G4534" t="inlineStr">
        <is>
          <t>HÄSSLEHOLM</t>
        </is>
      </c>
      <c r="I4534" t="n">
        <v>1.3</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40173-2024</t>
        </is>
      </c>
      <c r="B4535" t="inlineStr">
        <is>
          <t>avverkningsanmälan</t>
        </is>
      </c>
      <c r="C4535" t="inlineStr">
        <is>
          <t>Föryngringsavverkning</t>
        </is>
      </c>
      <c r="D4535" s="1" t="n">
        <v>45554</v>
      </c>
      <c r="E4535" s="1" t="n">
        <v>46312</v>
      </c>
      <c r="F4535" t="inlineStr">
        <is>
          <t>SKÅNE LÄN</t>
        </is>
      </c>
      <c r="G4535" t="inlineStr">
        <is>
          <t>KLIPPAN</t>
        </is>
      </c>
      <c r="H4535" t="inlineStr">
        <is>
          <t>Sveaskog</t>
        </is>
      </c>
      <c r="I4535" t="n">
        <v>2.4</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61533-2024</t>
        </is>
      </c>
      <c r="B4536" t="inlineStr">
        <is>
          <t>avverkningsanmälan</t>
        </is>
      </c>
      <c r="C4536" t="inlineStr">
        <is>
          <t>Föryngringsavverkning</t>
        </is>
      </c>
      <c r="D4536" s="1" t="n">
        <v>45646</v>
      </c>
      <c r="E4536" s="1" t="n">
        <v>46312</v>
      </c>
      <c r="F4536" t="inlineStr">
        <is>
          <t>SKÅNE LÄN</t>
        </is>
      </c>
      <c r="G4536" t="inlineStr">
        <is>
          <t>HÄSSLEHOLM</t>
        </is>
      </c>
      <c r="I4536" t="n">
        <v>4.5</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19735-2023</t>
        </is>
      </c>
      <c r="B4537" t="inlineStr">
        <is>
          <t>avverkningsanmälan</t>
        </is>
      </c>
      <c r="C4537" t="inlineStr">
        <is>
          <t>Föryngringsavverkning</t>
        </is>
      </c>
      <c r="D4537" s="1" t="n">
        <v>45051</v>
      </c>
      <c r="E4537" s="1" t="n">
        <v>46312</v>
      </c>
      <c r="F4537" t="inlineStr">
        <is>
          <t>SKÅNE LÄN</t>
        </is>
      </c>
      <c r="G4537" t="inlineStr">
        <is>
          <t>HÄSSLEHOLM</t>
        </is>
      </c>
      <c r="I4537" t="n">
        <v>4</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21973-2025</t>
        </is>
      </c>
      <c r="B4538" t="inlineStr">
        <is>
          <t>avverkningsanmälan</t>
        </is>
      </c>
      <c r="C4538" t="inlineStr">
        <is>
          <t>Föryngringsavverkning</t>
        </is>
      </c>
      <c r="D4538" s="1" t="n">
        <v>45784</v>
      </c>
      <c r="E4538" s="1" t="n">
        <v>46312</v>
      </c>
      <c r="F4538" t="inlineStr">
        <is>
          <t>SKÅNE LÄN</t>
        </is>
      </c>
      <c r="G4538" t="inlineStr">
        <is>
          <t>SJÖBO</t>
        </is>
      </c>
      <c r="I4538" t="n">
        <v>6.4</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2490-2024</t>
        </is>
      </c>
      <c r="B4539" t="inlineStr">
        <is>
          <t>avverkningsanmälan</t>
        </is>
      </c>
      <c r="C4539" t="inlineStr">
        <is>
          <t>Föryngringsavverkning</t>
        </is>
      </c>
      <c r="D4539" s="1" t="n">
        <v>45313</v>
      </c>
      <c r="E4539" s="1" t="n">
        <v>46312</v>
      </c>
      <c r="F4539" t="inlineStr">
        <is>
          <t>SKÅNE LÄN</t>
        </is>
      </c>
      <c r="G4539" t="inlineStr">
        <is>
          <t>HÄSSLEHOLM</t>
        </is>
      </c>
      <c r="I4539" t="n">
        <v>4</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7746-2024</t>
        </is>
      </c>
      <c r="B4540" t="inlineStr">
        <is>
          <t>avverkningsanmälan</t>
        </is>
      </c>
      <c r="C4540" t="inlineStr">
        <is>
          <t>Föryngringsavverkning</t>
        </is>
      </c>
      <c r="D4540" s="1" t="n">
        <v>45349</v>
      </c>
      <c r="E4540" s="1" t="n">
        <v>46312</v>
      </c>
      <c r="F4540" t="inlineStr">
        <is>
          <t>SKÅNE LÄN</t>
        </is>
      </c>
      <c r="G4540" t="inlineStr">
        <is>
          <t>KLIPPAN</t>
        </is>
      </c>
      <c r="H4540" t="inlineStr">
        <is>
          <t>Övriga Aktiebolag</t>
        </is>
      </c>
      <c r="I4540" t="n">
        <v>1.9</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61537-2024</t>
        </is>
      </c>
      <c r="B4541" t="inlineStr">
        <is>
          <t>avverkningsanmälan</t>
        </is>
      </c>
      <c r="C4541" t="inlineStr">
        <is>
          <t>Föryngringsavverkning</t>
        </is>
      </c>
      <c r="D4541" s="1" t="n">
        <v>45646</v>
      </c>
      <c r="E4541" s="1" t="n">
        <v>46312</v>
      </c>
      <c r="F4541" t="inlineStr">
        <is>
          <t>SKÅNE LÄN</t>
        </is>
      </c>
      <c r="G4541" t="inlineStr">
        <is>
          <t>HÄSSLEHOLM</t>
        </is>
      </c>
      <c r="I4541" t="n">
        <v>3.7</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34653-2026</t>
        </is>
      </c>
      <c r="B4542" t="inlineStr">
        <is>
          <t>avverkningsanmälan</t>
        </is>
      </c>
      <c r="C4542" t="inlineStr">
        <is>
          <t>Föryngringsavverkning</t>
        </is>
      </c>
      <c r="D4542" s="1" t="n">
        <v>46256</v>
      </c>
      <c r="E4542" s="1" t="n">
        <v>46312</v>
      </c>
      <c r="F4542" t="inlineStr">
        <is>
          <t>SKÅNE LÄN</t>
        </is>
      </c>
      <c r="G4542" t="inlineStr">
        <is>
          <t>HÄSSLEHOLM</t>
        </is>
      </c>
      <c r="I4542" t="n">
        <v>2.6</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41040-2026</t>
        </is>
      </c>
      <c r="B4543" t="inlineStr">
        <is>
          <t>avverkningsanmälan</t>
        </is>
      </c>
      <c r="C4543" t="inlineStr">
        <is>
          <t>Föryngringsavverkning</t>
        </is>
      </c>
      <c r="D4543" s="1" t="n">
        <v>46299</v>
      </c>
      <c r="E4543" s="1" t="n">
        <v>46312</v>
      </c>
      <c r="F4543" t="inlineStr">
        <is>
          <t>SKÅNE LÄN</t>
        </is>
      </c>
      <c r="G4543" t="inlineStr">
        <is>
          <t>ÖSTRA GÖINGE</t>
        </is>
      </c>
      <c r="I4543" t="n">
        <v>4.6</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43469-2024</t>
        </is>
      </c>
      <c r="B4544" t="inlineStr">
        <is>
          <t>avverkningsanmälan</t>
        </is>
      </c>
      <c r="C4544" t="inlineStr">
        <is>
          <t>Föryngringsavverkning</t>
        </is>
      </c>
      <c r="D4544" s="1" t="n">
        <v>45568</v>
      </c>
      <c r="E4544" s="1" t="n">
        <v>46312</v>
      </c>
      <c r="F4544" t="inlineStr">
        <is>
          <t>SKÅNE LÄN</t>
        </is>
      </c>
      <c r="G4544" t="inlineStr">
        <is>
          <t>HÖÖR</t>
        </is>
      </c>
      <c r="I4544" t="n">
        <v>2.3</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23220-2026</t>
        </is>
      </c>
      <c r="B4545" t="inlineStr">
        <is>
          <t>avverkningsanmälan</t>
        </is>
      </c>
      <c r="C4545" t="inlineStr">
        <is>
          <t>Föryngringsavverkning</t>
        </is>
      </c>
      <c r="D4545" s="1" t="n">
        <v>46162</v>
      </c>
      <c r="E4545" s="1" t="n">
        <v>46312</v>
      </c>
      <c r="F4545" t="inlineStr">
        <is>
          <t>SKÅNE LÄN</t>
        </is>
      </c>
      <c r="G4545" t="inlineStr">
        <is>
          <t>KLIPPAN</t>
        </is>
      </c>
      <c r="I4545" t="n">
        <v>1.4</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22024-2025</t>
        </is>
      </c>
      <c r="B4546" t="inlineStr">
        <is>
          <t>avverkningsanmälan</t>
        </is>
      </c>
      <c r="C4546" t="inlineStr">
        <is>
          <t>Föryngringsavverkning</t>
        </is>
      </c>
      <c r="D4546" s="1" t="n">
        <v>45784</v>
      </c>
      <c r="E4546" s="1" t="n">
        <v>46312</v>
      </c>
      <c r="F4546" t="inlineStr">
        <is>
          <t>SKÅNE LÄN</t>
        </is>
      </c>
      <c r="G4546" t="inlineStr">
        <is>
          <t>HÄSSLEHOLM</t>
        </is>
      </c>
      <c r="I4546" t="n">
        <v>0.6</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41453-2026</t>
        </is>
      </c>
      <c r="B4547" t="inlineStr">
        <is>
          <t>avverkningsanmälan</t>
        </is>
      </c>
      <c r="C4547" t="inlineStr">
        <is>
          <t>Föryngringsavverkning</t>
        </is>
      </c>
      <c r="D4547" s="1" t="n">
        <v>46301</v>
      </c>
      <c r="E4547" s="1" t="n">
        <v>46312</v>
      </c>
      <c r="F4547" t="inlineStr">
        <is>
          <t>SKÅNE LÄN</t>
        </is>
      </c>
      <c r="G4547" t="inlineStr">
        <is>
          <t>ÖRKELLJUNGA</t>
        </is>
      </c>
      <c r="I4547" t="n">
        <v>0.9</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2170-2025</t>
        </is>
      </c>
      <c r="B4548" t="inlineStr">
        <is>
          <t>avverkningsanmälan</t>
        </is>
      </c>
      <c r="C4548" t="inlineStr">
        <is>
          <t>Föryngringsavverkning</t>
        </is>
      </c>
      <c r="D4548" s="1" t="n">
        <v>45673</v>
      </c>
      <c r="E4548" s="1" t="n">
        <v>46312</v>
      </c>
      <c r="F4548" t="inlineStr">
        <is>
          <t>SKÅNE LÄN</t>
        </is>
      </c>
      <c r="G4548" t="inlineStr">
        <is>
          <t>HÖRBY</t>
        </is>
      </c>
      <c r="I4548" t="n">
        <v>3.6</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20006-2025</t>
        </is>
      </c>
      <c r="B4549" t="inlineStr">
        <is>
          <t>avverkningsanmälan</t>
        </is>
      </c>
      <c r="C4549" t="inlineStr">
        <is>
          <t>Föryngringsavverkning</t>
        </is>
      </c>
      <c r="D4549" s="1" t="n">
        <v>45772</v>
      </c>
      <c r="E4549" s="1" t="n">
        <v>46312</v>
      </c>
      <c r="F4549" t="inlineStr">
        <is>
          <t>SKÅNE LÄN</t>
        </is>
      </c>
      <c r="G4549" t="inlineStr">
        <is>
          <t>HÄSSLEHOLM</t>
        </is>
      </c>
      <c r="I4549" t="n">
        <v>3.9</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17270-2024</t>
        </is>
      </c>
      <c r="B4550" t="inlineStr">
        <is>
          <t>avverkningsanmälan</t>
        </is>
      </c>
      <c r="C4550" t="inlineStr">
        <is>
          <t>Föryngringsavverkning</t>
        </is>
      </c>
      <c r="D4550" s="1" t="n">
        <v>45414</v>
      </c>
      <c r="E4550" s="1" t="n">
        <v>46312</v>
      </c>
      <c r="F4550" t="inlineStr">
        <is>
          <t>SKÅNE LÄN</t>
        </is>
      </c>
      <c r="G4550" t="inlineStr">
        <is>
          <t>KRISTIANSTAD</t>
        </is>
      </c>
      <c r="I4550" t="n">
        <v>2.2</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47874-2023</t>
        </is>
      </c>
      <c r="B4551" t="inlineStr">
        <is>
          <t>avverkningsanmälan</t>
        </is>
      </c>
      <c r="C4551" t="inlineStr">
        <is>
          <t>Föryngringsavverkning</t>
        </is>
      </c>
      <c r="D4551" s="1" t="n">
        <v>45204</v>
      </c>
      <c r="E4551" s="1" t="n">
        <v>46312</v>
      </c>
      <c r="F4551" t="inlineStr">
        <is>
          <t>SKÅNE LÄN</t>
        </is>
      </c>
      <c r="G4551" t="inlineStr">
        <is>
          <t>SIMRISHAMN</t>
        </is>
      </c>
      <c r="H4551" t="inlineStr">
        <is>
          <t>Övriga Aktiebolag</t>
        </is>
      </c>
      <c r="I4551" t="n">
        <v>1.4</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41090-2026</t>
        </is>
      </c>
      <c r="B4552" t="inlineStr">
        <is>
          <t>avverkningsanmälan</t>
        </is>
      </c>
      <c r="C4552" t="inlineStr">
        <is>
          <t>Föryngringsavverkning</t>
        </is>
      </c>
      <c r="D4552" s="1" t="n">
        <v>46300</v>
      </c>
      <c r="E4552" s="1" t="n">
        <v>46312</v>
      </c>
      <c r="F4552" t="inlineStr">
        <is>
          <t>SKÅNE LÄN</t>
        </is>
      </c>
      <c r="G4552" t="inlineStr">
        <is>
          <t>KRISTIANSTAD</t>
        </is>
      </c>
      <c r="I4552" t="n">
        <v>0.7</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32099-2026</t>
        </is>
      </c>
      <c r="B4553" t="inlineStr">
        <is>
          <t>avverkningsanmälan</t>
        </is>
      </c>
      <c r="C4553" t="inlineStr">
        <is>
          <t>Föryngringsavverkning</t>
        </is>
      </c>
      <c r="D4553" s="1" t="n">
        <v>46234</v>
      </c>
      <c r="E4553" s="1" t="n">
        <v>46312</v>
      </c>
      <c r="F4553" t="inlineStr">
        <is>
          <t>SKÅNE LÄN</t>
        </is>
      </c>
      <c r="G4553" t="inlineStr">
        <is>
          <t>BJUV</t>
        </is>
      </c>
      <c r="I4553" t="n">
        <v>2.6</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73544-2021</t>
        </is>
      </c>
      <c r="B4554" t="inlineStr">
        <is>
          <t>avverkningsanmälan</t>
        </is>
      </c>
      <c r="C4554" t="inlineStr">
        <is>
          <t>Föryngringsavverkning</t>
        </is>
      </c>
      <c r="D4554" s="1" t="n">
        <v>44551</v>
      </c>
      <c r="E4554" s="1" t="n">
        <v>46312</v>
      </c>
      <c r="F4554" t="inlineStr">
        <is>
          <t>SKÅNE LÄN</t>
        </is>
      </c>
      <c r="G4554" t="inlineStr">
        <is>
          <t>HÖÖR</t>
        </is>
      </c>
      <c r="H4554" t="inlineStr">
        <is>
          <t>Övriga statliga verk och myndigheter</t>
        </is>
      </c>
      <c r="I4554" t="n">
        <v>4.2</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56735-2024</t>
        </is>
      </c>
      <c r="B4555" t="inlineStr">
        <is>
          <t>avverkningsanmälan</t>
        </is>
      </c>
      <c r="C4555" t="inlineStr">
        <is>
          <t>Föryngringsavverkning</t>
        </is>
      </c>
      <c r="D4555" s="1" t="n">
        <v>45628</v>
      </c>
      <c r="E4555" s="1" t="n">
        <v>46312</v>
      </c>
      <c r="F4555" t="inlineStr">
        <is>
          <t>SKÅNE LÄN</t>
        </is>
      </c>
      <c r="G4555" t="inlineStr">
        <is>
          <t>HÄSSLEHOLM</t>
        </is>
      </c>
      <c r="I4555" t="n">
        <v>0.7</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29844-2024</t>
        </is>
      </c>
      <c r="B4556" t="inlineStr">
        <is>
          <t>avverkningsanmälan</t>
        </is>
      </c>
      <c r="C4556" t="inlineStr">
        <is>
          <t>Föryngringsavverkning</t>
        </is>
      </c>
      <c r="D4556" s="1" t="n">
        <v>45485</v>
      </c>
      <c r="E4556" s="1" t="n">
        <v>46312</v>
      </c>
      <c r="F4556" t="inlineStr">
        <is>
          <t>SKÅNE LÄN</t>
        </is>
      </c>
      <c r="G4556" t="inlineStr">
        <is>
          <t>HÄSSLEHOLM</t>
        </is>
      </c>
      <c r="I4556" t="n">
        <v>1.9</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34652-2026</t>
        </is>
      </c>
      <c r="B4557" t="inlineStr">
        <is>
          <t>avverkningsanmälan</t>
        </is>
      </c>
      <c r="C4557" t="inlineStr">
        <is>
          <t>Föryngringsavverkning</t>
        </is>
      </c>
      <c r="D4557" s="1" t="n">
        <v>46256</v>
      </c>
      <c r="E4557" s="1" t="n">
        <v>46312</v>
      </c>
      <c r="F4557" t="inlineStr">
        <is>
          <t>SKÅNE LÄN</t>
        </is>
      </c>
      <c r="G4557" t="inlineStr">
        <is>
          <t>HÄSSLEHOLM</t>
        </is>
      </c>
      <c r="I4557" t="n">
        <v>2</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49137-2024</t>
        </is>
      </c>
      <c r="B4558" t="inlineStr">
        <is>
          <t>avverkningsanmälan</t>
        </is>
      </c>
      <c r="C4558" t="inlineStr">
        <is>
          <t>Föryngringsavverkning</t>
        </is>
      </c>
      <c r="D4558" s="1" t="n">
        <v>45594</v>
      </c>
      <c r="E4558" s="1" t="n">
        <v>46312</v>
      </c>
      <c r="F4558" t="inlineStr">
        <is>
          <t>SKÅNE LÄN</t>
        </is>
      </c>
      <c r="G4558" t="inlineStr">
        <is>
          <t>ESLÖV</t>
        </is>
      </c>
      <c r="I4558" t="n">
        <v>2.4</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34870-2026</t>
        </is>
      </c>
      <c r="B4559" t="inlineStr">
        <is>
          <t>avverkningsanmälan</t>
        </is>
      </c>
      <c r="C4559" t="inlineStr">
        <is>
          <t>Föryngringsavverkning</t>
        </is>
      </c>
      <c r="D4559" s="1" t="n">
        <v>46258</v>
      </c>
      <c r="E4559" s="1" t="n">
        <v>46312</v>
      </c>
      <c r="F4559" t="inlineStr">
        <is>
          <t>SKÅNE LÄN</t>
        </is>
      </c>
      <c r="G4559" t="inlineStr">
        <is>
          <t>HÖÖR</t>
        </is>
      </c>
      <c r="I4559" t="n">
        <v>1.4</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34819-2026</t>
        </is>
      </c>
      <c r="B4560" t="inlineStr">
        <is>
          <t>avverkningsanmälan</t>
        </is>
      </c>
      <c r="C4560" t="inlineStr">
        <is>
          <t>Föryngringsavverkning</t>
        </is>
      </c>
      <c r="D4560" s="1" t="n">
        <v>46258</v>
      </c>
      <c r="E4560" s="1" t="n">
        <v>46312</v>
      </c>
      <c r="F4560" t="inlineStr">
        <is>
          <t>SKÅNE LÄN</t>
        </is>
      </c>
      <c r="G4560" t="inlineStr">
        <is>
          <t>HÄSSLEHOLM</t>
        </is>
      </c>
      <c r="I4560" t="n">
        <v>1.7</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11806-2025</t>
        </is>
      </c>
      <c r="B4561" t="inlineStr">
        <is>
          <t>avverkningsanmälan</t>
        </is>
      </c>
      <c r="C4561" t="inlineStr">
        <is>
          <t>Föryngringsavverkning</t>
        </is>
      </c>
      <c r="D4561" s="1" t="n">
        <v>45727</v>
      </c>
      <c r="E4561" s="1" t="n">
        <v>46312</v>
      </c>
      <c r="F4561" t="inlineStr">
        <is>
          <t>SKÅNE LÄN</t>
        </is>
      </c>
      <c r="G4561" t="inlineStr">
        <is>
          <t>TOMELILLA</t>
        </is>
      </c>
      <c r="I4561" t="n">
        <v>3.1</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11810-2025</t>
        </is>
      </c>
      <c r="B4562" t="inlineStr">
        <is>
          <t>avverkningsanmälan</t>
        </is>
      </c>
      <c r="C4562" t="inlineStr">
        <is>
          <t>Föryngringsavverkning</t>
        </is>
      </c>
      <c r="D4562" s="1" t="n">
        <v>45727</v>
      </c>
      <c r="E4562" s="1" t="n">
        <v>46312</v>
      </c>
      <c r="F4562" t="inlineStr">
        <is>
          <t>SKÅNE LÄN</t>
        </is>
      </c>
      <c r="G4562" t="inlineStr">
        <is>
          <t>TOMELILLA</t>
        </is>
      </c>
      <c r="I4562" t="n">
        <v>2.9</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25958-2023</t>
        </is>
      </c>
      <c r="B4563" t="inlineStr">
        <is>
          <t>avverkningsanmälan</t>
        </is>
      </c>
      <c r="C4563" t="inlineStr">
        <is>
          <t>Föryngringsavverkning</t>
        </is>
      </c>
      <c r="D4563" s="1" t="n">
        <v>45090</v>
      </c>
      <c r="E4563" s="1" t="n">
        <v>46312</v>
      </c>
      <c r="F4563" t="inlineStr">
        <is>
          <t>SKÅNE LÄN</t>
        </is>
      </c>
      <c r="G4563" t="inlineStr">
        <is>
          <t>ÖRKELLJUNGA</t>
        </is>
      </c>
      <c r="I4563" t="n">
        <v>2.1</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4493-2024</t>
        </is>
      </c>
      <c r="B4564" t="inlineStr">
        <is>
          <t>avverkningsanmälan</t>
        </is>
      </c>
      <c r="C4564" t="inlineStr">
        <is>
          <t>Föryngringsavverkning</t>
        </is>
      </c>
      <c r="D4564" s="1" t="n">
        <v>45327</v>
      </c>
      <c r="E4564" s="1" t="n">
        <v>46312</v>
      </c>
      <c r="F4564" t="inlineStr">
        <is>
          <t>SKÅNE LÄN</t>
        </is>
      </c>
      <c r="G4564" t="inlineStr">
        <is>
          <t>BÅSTAD</t>
        </is>
      </c>
      <c r="I4564" t="n">
        <v>1.8</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41727-2026</t>
        </is>
      </c>
      <c r="B4565" t="inlineStr">
        <is>
          <t>avverkningsanmälan</t>
        </is>
      </c>
      <c r="C4565" t="inlineStr">
        <is>
          <t>Föryngringsavverkning</t>
        </is>
      </c>
      <c r="D4565" s="1" t="n">
        <v>46302</v>
      </c>
      <c r="E4565" s="1" t="n">
        <v>46312</v>
      </c>
      <c r="F4565" t="inlineStr">
        <is>
          <t>SKÅNE LÄN</t>
        </is>
      </c>
      <c r="G4565" t="inlineStr">
        <is>
          <t>HÖRBY</t>
        </is>
      </c>
      <c r="H4565" t="inlineStr">
        <is>
          <t>Sveaskog</t>
        </is>
      </c>
      <c r="I4565" t="n">
        <v>13.1</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34695-2026</t>
        </is>
      </c>
      <c r="B4566" t="inlineStr">
        <is>
          <t>avverkningsanmälan</t>
        </is>
      </c>
      <c r="C4566" t="inlineStr">
        <is>
          <t>Föryngringsavverkning</t>
        </is>
      </c>
      <c r="D4566" s="1" t="n">
        <v>46258</v>
      </c>
      <c r="E4566" s="1" t="n">
        <v>46312</v>
      </c>
      <c r="F4566" t="inlineStr">
        <is>
          <t>SKÅNE LÄN</t>
        </is>
      </c>
      <c r="G4566" t="inlineStr">
        <is>
          <t>ÖSTRA GÖINGE</t>
        </is>
      </c>
      <c r="I4566" t="n">
        <v>1.6</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55662-2022</t>
        </is>
      </c>
      <c r="B4567" t="inlineStr">
        <is>
          <t>avverkningsanmälan</t>
        </is>
      </c>
      <c r="C4567" t="inlineStr">
        <is>
          <t>Föryngringsavverkning</t>
        </is>
      </c>
      <c r="D4567" s="1" t="n">
        <v>44883</v>
      </c>
      <c r="E4567" s="1" t="n">
        <v>46312</v>
      </c>
      <c r="F4567" t="inlineStr">
        <is>
          <t>SKÅNE LÄN</t>
        </is>
      </c>
      <c r="G4567" t="inlineStr">
        <is>
          <t>HÄSSLEHOLM</t>
        </is>
      </c>
      <c r="H4567" t="inlineStr">
        <is>
          <t>Övriga Aktiebolag</t>
        </is>
      </c>
      <c r="I4567" t="n">
        <v>2.6</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42373-2024</t>
        </is>
      </c>
      <c r="B4568" t="inlineStr">
        <is>
          <t>avverkningsanmälan</t>
        </is>
      </c>
      <c r="C4568" t="inlineStr">
        <is>
          <t>Föryngringsavverkning</t>
        </is>
      </c>
      <c r="D4568" s="1" t="n">
        <v>45564</v>
      </c>
      <c r="E4568" s="1" t="n">
        <v>46312</v>
      </c>
      <c r="F4568" t="inlineStr">
        <is>
          <t>SKÅNE LÄN</t>
        </is>
      </c>
      <c r="G4568" t="inlineStr">
        <is>
          <t>ÖSTRA GÖINGE</t>
        </is>
      </c>
      <c r="I4568" t="n">
        <v>1.8</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54095-2022</t>
        </is>
      </c>
      <c r="B4569" t="inlineStr">
        <is>
          <t>avverkningsanmälan</t>
        </is>
      </c>
      <c r="C4569" t="inlineStr">
        <is>
          <t>Föryngringsavverkning</t>
        </is>
      </c>
      <c r="D4569" s="1" t="n">
        <v>44879</v>
      </c>
      <c r="E4569" s="1" t="n">
        <v>46312</v>
      </c>
      <c r="F4569" t="inlineStr">
        <is>
          <t>SKÅNE LÄN</t>
        </is>
      </c>
      <c r="G4569" t="inlineStr">
        <is>
          <t>PERSTORP</t>
        </is>
      </c>
      <c r="H4569" t="inlineStr">
        <is>
          <t>Övriga Aktiebolag</t>
        </is>
      </c>
      <c r="I4569" t="n">
        <v>1.6</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27578-2026</t>
        </is>
      </c>
      <c r="B4570" t="inlineStr">
        <is>
          <t>avverkningsanmälan</t>
        </is>
      </c>
      <c r="C4570" t="inlineStr">
        <is>
          <t>Föryngringsavverkning</t>
        </is>
      </c>
      <c r="D4570" s="1" t="n">
        <v>46190</v>
      </c>
      <c r="E4570" s="1" t="n">
        <v>46312</v>
      </c>
      <c r="F4570" t="inlineStr">
        <is>
          <t>SKÅNE LÄN</t>
        </is>
      </c>
      <c r="G4570" t="inlineStr">
        <is>
          <t>YSTAD</t>
        </is>
      </c>
      <c r="I4570" t="n">
        <v>6.6</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3886-2024</t>
        </is>
      </c>
      <c r="B4571" t="inlineStr">
        <is>
          <t>avverkningsanmälan</t>
        </is>
      </c>
      <c r="C4571" t="inlineStr">
        <is>
          <t>Föryngringsavverkning</t>
        </is>
      </c>
      <c r="D4571" s="1" t="n">
        <v>45322</v>
      </c>
      <c r="E4571" s="1" t="n">
        <v>46312</v>
      </c>
      <c r="F4571" t="inlineStr">
        <is>
          <t>SKÅNE LÄN</t>
        </is>
      </c>
      <c r="G4571" t="inlineStr">
        <is>
          <t>HÄSSLEHOLM</t>
        </is>
      </c>
      <c r="I4571" t="n">
        <v>9.199999999999999</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23980-2024</t>
        </is>
      </c>
      <c r="B4572" t="inlineStr">
        <is>
          <t>avverkningsanmälan</t>
        </is>
      </c>
      <c r="C4572" t="inlineStr">
        <is>
          <t>Föryngringsavverkning</t>
        </is>
      </c>
      <c r="D4572" s="1" t="n">
        <v>45456</v>
      </c>
      <c r="E4572" s="1" t="n">
        <v>46312</v>
      </c>
      <c r="F4572" t="inlineStr">
        <is>
          <t>SKÅNE LÄN</t>
        </is>
      </c>
      <c r="G4572" t="inlineStr">
        <is>
          <t>ÄNGELHOLM</t>
        </is>
      </c>
      <c r="I4572" t="n">
        <v>1.3</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9924-2025</t>
        </is>
      </c>
      <c r="B4573" t="inlineStr">
        <is>
          <t>avverkningsanmälan</t>
        </is>
      </c>
      <c r="C4573" t="inlineStr">
        <is>
          <t>Föryngringsavverkning</t>
        </is>
      </c>
      <c r="D4573" s="1" t="n">
        <v>45717</v>
      </c>
      <c r="E4573" s="1" t="n">
        <v>46312</v>
      </c>
      <c r="F4573" t="inlineStr">
        <is>
          <t>SKÅNE LÄN</t>
        </is>
      </c>
      <c r="G4573" t="inlineStr">
        <is>
          <t>HÄSSLEHOLM</t>
        </is>
      </c>
      <c r="I4573" t="n">
        <v>1.5</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41908-2026</t>
        </is>
      </c>
      <c r="B4574" t="inlineStr">
        <is>
          <t>avverkningsanmälan</t>
        </is>
      </c>
      <c r="C4574" t="inlineStr">
        <is>
          <t>Föryngringsavverkning</t>
        </is>
      </c>
      <c r="D4574" s="1" t="n">
        <v>46303</v>
      </c>
      <c r="E4574" s="1" t="n">
        <v>46312</v>
      </c>
      <c r="F4574" t="inlineStr">
        <is>
          <t>SKÅNE LÄN</t>
        </is>
      </c>
      <c r="G4574" t="inlineStr">
        <is>
          <t>OSBY</t>
        </is>
      </c>
      <c r="I4574" t="n">
        <v>0.7</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28982-2025</t>
        </is>
      </c>
      <c r="B4575" t="inlineStr">
        <is>
          <t>avverkningsanmälan</t>
        </is>
      </c>
      <c r="C4575" t="inlineStr">
        <is>
          <t>Föryngringsavverkning</t>
        </is>
      </c>
      <c r="D4575" s="1" t="n">
        <v>45821</v>
      </c>
      <c r="E4575" s="1" t="n">
        <v>46312</v>
      </c>
      <c r="F4575" t="inlineStr">
        <is>
          <t>SKÅNE LÄN</t>
        </is>
      </c>
      <c r="G4575" t="inlineStr">
        <is>
          <t>ÖSTRA GÖINGE</t>
        </is>
      </c>
      <c r="I4575" t="n">
        <v>2.9</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60920-2024</t>
        </is>
      </c>
      <c r="B4576" t="inlineStr">
        <is>
          <t>avverkningsanmälan</t>
        </is>
      </c>
      <c r="C4576" t="inlineStr">
        <is>
          <t>Föryngringsavverkning</t>
        </is>
      </c>
      <c r="D4576" s="1" t="n">
        <v>45645</v>
      </c>
      <c r="E4576" s="1" t="n">
        <v>46312</v>
      </c>
      <c r="F4576" t="inlineStr">
        <is>
          <t>SKÅNE LÄN</t>
        </is>
      </c>
      <c r="G4576" t="inlineStr">
        <is>
          <t>HÄSSLEHOLM</t>
        </is>
      </c>
      <c r="I4576" t="n">
        <v>2.6</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40536-2024</t>
        </is>
      </c>
      <c r="B4577" t="inlineStr">
        <is>
          <t>avverkningsanmälan</t>
        </is>
      </c>
      <c r="C4577" t="inlineStr">
        <is>
          <t>Föryngringsavverkning</t>
        </is>
      </c>
      <c r="D4577" s="1" t="n">
        <v>45555</v>
      </c>
      <c r="E4577" s="1" t="n">
        <v>46312</v>
      </c>
      <c r="F4577" t="inlineStr">
        <is>
          <t>SKÅNE LÄN</t>
        </is>
      </c>
      <c r="G4577" t="inlineStr">
        <is>
          <t>HÄSSLEHOLM</t>
        </is>
      </c>
      <c r="I4577" t="n">
        <v>1</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24138-2026</t>
        </is>
      </c>
      <c r="B4578" t="inlineStr">
        <is>
          <t>avverkningsanmälan</t>
        </is>
      </c>
      <c r="C4578" t="inlineStr">
        <is>
          <t>Föryngringsavverkning</t>
        </is>
      </c>
      <c r="D4578" s="1" t="n">
        <v>46168</v>
      </c>
      <c r="E4578" s="1" t="n">
        <v>46312</v>
      </c>
      <c r="F4578" t="inlineStr">
        <is>
          <t>SKÅNE LÄN</t>
        </is>
      </c>
      <c r="G4578" t="inlineStr">
        <is>
          <t>KLIPPAN</t>
        </is>
      </c>
      <c r="I4578" t="n">
        <v>3.3</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982-2025</t>
        </is>
      </c>
      <c r="B4579" t="inlineStr">
        <is>
          <t>avverkningsanmälan</t>
        </is>
      </c>
      <c r="C4579" t="inlineStr">
        <is>
          <t>Föryngringsavverkning</t>
        </is>
      </c>
      <c r="D4579" s="1" t="n">
        <v>45666</v>
      </c>
      <c r="E4579" s="1" t="n">
        <v>46312</v>
      </c>
      <c r="F4579" t="inlineStr">
        <is>
          <t>SKÅNE LÄN</t>
        </is>
      </c>
      <c r="G4579" t="inlineStr">
        <is>
          <t>PERSTORP</t>
        </is>
      </c>
      <c r="I4579" t="n">
        <v>1.6</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35153-2026</t>
        </is>
      </c>
      <c r="B4580" t="inlineStr">
        <is>
          <t>avverkningsanmälan</t>
        </is>
      </c>
      <c r="C4580" t="inlineStr">
        <is>
          <t>Föryngringsavverkning</t>
        </is>
      </c>
      <c r="D4580" s="1" t="n">
        <v>46260</v>
      </c>
      <c r="E4580" s="1" t="n">
        <v>46312</v>
      </c>
      <c r="F4580" t="inlineStr">
        <is>
          <t>SKÅNE LÄN</t>
        </is>
      </c>
      <c r="G4580" t="inlineStr">
        <is>
          <t>KRISTIANSTAD</t>
        </is>
      </c>
      <c r="I4580" t="n">
        <v>1.8</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34919-2026</t>
        </is>
      </c>
      <c r="B4581" t="inlineStr">
        <is>
          <t>avverkningsanmälan</t>
        </is>
      </c>
      <c r="C4581" t="inlineStr">
        <is>
          <t>Föryngringsavverkning</t>
        </is>
      </c>
      <c r="D4581" s="1" t="n">
        <v>46259</v>
      </c>
      <c r="E4581" s="1" t="n">
        <v>46312</v>
      </c>
      <c r="F4581" t="inlineStr">
        <is>
          <t>SKÅNE LÄN</t>
        </is>
      </c>
      <c r="G4581" t="inlineStr">
        <is>
          <t>ÖRKELLJUNGA</t>
        </is>
      </c>
      <c r="I4581" t="n">
        <v>1.1</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37144-2026</t>
        </is>
      </c>
      <c r="B4582" t="inlineStr">
        <is>
          <t>avverkningsanmälan</t>
        </is>
      </c>
      <c r="C4582" t="inlineStr">
        <is>
          <t>Föryngringsavverkning</t>
        </is>
      </c>
      <c r="D4582" s="1" t="n">
        <v>46274</v>
      </c>
      <c r="E4582" s="1" t="n">
        <v>46312</v>
      </c>
      <c r="F4582" t="inlineStr">
        <is>
          <t>SKÅNE LÄN</t>
        </is>
      </c>
      <c r="G4582" t="inlineStr">
        <is>
          <t>ÖSTRA GÖINGE</t>
        </is>
      </c>
      <c r="I4582" t="n">
        <v>1.1</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41645-2026</t>
        </is>
      </c>
      <c r="B4583" t="inlineStr">
        <is>
          <t>avverkningsanmälan</t>
        </is>
      </c>
      <c r="C4583" t="inlineStr">
        <is>
          <t>Föryngringsavverkning</t>
        </is>
      </c>
      <c r="D4583" s="1" t="n">
        <v>46302</v>
      </c>
      <c r="E4583" s="1" t="n">
        <v>46312</v>
      </c>
      <c r="F4583" t="inlineStr">
        <is>
          <t>SKÅNE LÄN</t>
        </is>
      </c>
      <c r="G4583" t="inlineStr">
        <is>
          <t>OSBY</t>
        </is>
      </c>
      <c r="I4583" t="n">
        <v>1.1</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56386-2023</t>
        </is>
      </c>
      <c r="B4584" t="inlineStr">
        <is>
          <t>avverkningsanmälan</t>
        </is>
      </c>
      <c r="C4584" t="inlineStr">
        <is>
          <t>Föryngringsavverkning</t>
        </is>
      </c>
      <c r="D4584" s="1" t="n">
        <v>45243</v>
      </c>
      <c r="E4584" s="1" t="n">
        <v>46312</v>
      </c>
      <c r="F4584" t="inlineStr">
        <is>
          <t>SKÅNE LÄN</t>
        </is>
      </c>
      <c r="G4584" t="inlineStr">
        <is>
          <t>HÄSSLEHOLM</t>
        </is>
      </c>
      <c r="I4584" t="n">
        <v>2</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12000-2025</t>
        </is>
      </c>
      <c r="B4585" t="inlineStr">
        <is>
          <t>avverkningsanmälan</t>
        </is>
      </c>
      <c r="C4585" t="inlineStr">
        <is>
          <t>Föryngringsavverkning</t>
        </is>
      </c>
      <c r="D4585" s="1" t="n">
        <v>45728</v>
      </c>
      <c r="E4585" s="1" t="n">
        <v>46312</v>
      </c>
      <c r="F4585" t="inlineStr">
        <is>
          <t>SKÅNE LÄN</t>
        </is>
      </c>
      <c r="G4585" t="inlineStr">
        <is>
          <t>SIMRISHAMN</t>
        </is>
      </c>
      <c r="H4585" t="inlineStr">
        <is>
          <t>Övriga Aktiebolag</t>
        </is>
      </c>
      <c r="I4585" t="n">
        <v>2.4</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61137-2021</t>
        </is>
      </c>
      <c r="B4586" t="inlineStr">
        <is>
          <t>avverkningsanmälan</t>
        </is>
      </c>
      <c r="C4586" t="inlineStr">
        <is>
          <t>Föryngringsavverkning</t>
        </is>
      </c>
      <c r="D4586" s="1" t="n">
        <v>44497</v>
      </c>
      <c r="E4586" s="1" t="n">
        <v>46312</v>
      </c>
      <c r="F4586" t="inlineStr">
        <is>
          <t>SKÅNE LÄN</t>
        </is>
      </c>
      <c r="G4586" t="inlineStr">
        <is>
          <t>KRISTIANSTAD</t>
        </is>
      </c>
      <c r="I4586" t="n">
        <v>2.7</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29274-2023</t>
        </is>
      </c>
      <c r="B4587" t="inlineStr">
        <is>
          <t>avverkningsanmälan</t>
        </is>
      </c>
      <c r="C4587" t="inlineStr">
        <is>
          <t>Föryngringsavverkning</t>
        </is>
      </c>
      <c r="D4587" s="1" t="n">
        <v>45105</v>
      </c>
      <c r="E4587" s="1" t="n">
        <v>46312</v>
      </c>
      <c r="F4587" t="inlineStr">
        <is>
          <t>SKÅNE LÄN</t>
        </is>
      </c>
      <c r="G4587" t="inlineStr">
        <is>
          <t>HÄSSLEHOLM</t>
        </is>
      </c>
      <c r="I4587" t="n">
        <v>3.4</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9002-2024</t>
        </is>
      </c>
      <c r="B4588" t="inlineStr">
        <is>
          <t>avverkningsanmälan</t>
        </is>
      </c>
      <c r="C4588" t="inlineStr">
        <is>
          <t>Föryngringsavverkning</t>
        </is>
      </c>
      <c r="D4588" s="1" t="n">
        <v>45357</v>
      </c>
      <c r="E4588" s="1" t="n">
        <v>46312</v>
      </c>
      <c r="F4588" t="inlineStr">
        <is>
          <t>SKÅNE LÄN</t>
        </is>
      </c>
      <c r="G4588" t="inlineStr">
        <is>
          <t>KRISTIANSTAD</t>
        </is>
      </c>
      <c r="I4588" t="n">
        <v>0.9</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61932-2023</t>
        </is>
      </c>
      <c r="B4589" t="inlineStr">
        <is>
          <t>avverkningsanmälan</t>
        </is>
      </c>
      <c r="C4589" t="inlineStr">
        <is>
          <t>Föryngringsavverkning</t>
        </is>
      </c>
      <c r="D4589" s="1" t="n">
        <v>45266</v>
      </c>
      <c r="E4589" s="1" t="n">
        <v>46312</v>
      </c>
      <c r="F4589" t="inlineStr">
        <is>
          <t>SKÅNE LÄN</t>
        </is>
      </c>
      <c r="G4589" t="inlineStr">
        <is>
          <t>HÄSSLEHOLM</t>
        </is>
      </c>
      <c r="I4589" t="n">
        <v>0.9</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27606-2024</t>
        </is>
      </c>
      <c r="B4590" t="inlineStr">
        <is>
          <t>avverkningsanmälan</t>
        </is>
      </c>
      <c r="C4590" t="inlineStr">
        <is>
          <t>Föryngringsavverkning</t>
        </is>
      </c>
      <c r="D4590" s="1" t="n">
        <v>45474</v>
      </c>
      <c r="E4590" s="1" t="n">
        <v>46312</v>
      </c>
      <c r="F4590" t="inlineStr">
        <is>
          <t>SKÅNE LÄN</t>
        </is>
      </c>
      <c r="G4590" t="inlineStr">
        <is>
          <t>HÄSSLEHOLM</t>
        </is>
      </c>
      <c r="I4590" t="n">
        <v>3.6</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11037-2024</t>
        </is>
      </c>
      <c r="B4591" t="inlineStr">
        <is>
          <t>avverkningsanmälan</t>
        </is>
      </c>
      <c r="C4591" t="inlineStr">
        <is>
          <t>Föryngringsavverkning</t>
        </is>
      </c>
      <c r="D4591" s="1" t="n">
        <v>45370</v>
      </c>
      <c r="E4591" s="1" t="n">
        <v>46312</v>
      </c>
      <c r="F4591" t="inlineStr">
        <is>
          <t>SKÅNE LÄN</t>
        </is>
      </c>
      <c r="G4591" t="inlineStr">
        <is>
          <t>KRISTIANSTAD</t>
        </is>
      </c>
      <c r="I4591" t="n">
        <v>1.5</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30407-2024</t>
        </is>
      </c>
      <c r="B4592" t="inlineStr">
        <is>
          <t>avverkningsanmälan</t>
        </is>
      </c>
      <c r="C4592" t="inlineStr">
        <is>
          <t>Föryngringsavverkning</t>
        </is>
      </c>
      <c r="D4592" s="1" t="n">
        <v>45491</v>
      </c>
      <c r="E4592" s="1" t="n">
        <v>46312</v>
      </c>
      <c r="F4592" t="inlineStr">
        <is>
          <t>SKÅNE LÄN</t>
        </is>
      </c>
      <c r="G4592" t="inlineStr">
        <is>
          <t>BROMÖLLA</t>
        </is>
      </c>
      <c r="I4592" t="n">
        <v>1</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50244-2024</t>
        </is>
      </c>
      <c r="B4593" t="inlineStr">
        <is>
          <t>avverkningsanmälan</t>
        </is>
      </c>
      <c r="C4593" t="inlineStr">
        <is>
          <t>Föryngringsavverkning</t>
        </is>
      </c>
      <c r="D4593" s="1" t="n">
        <v>45600</v>
      </c>
      <c r="E4593" s="1" t="n">
        <v>46312</v>
      </c>
      <c r="F4593" t="inlineStr">
        <is>
          <t>SKÅNE LÄN</t>
        </is>
      </c>
      <c r="G4593" t="inlineStr">
        <is>
          <t>HÄSSLEHOLM</t>
        </is>
      </c>
      <c r="I4593" t="n">
        <v>1.9</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51248-2024</t>
        </is>
      </c>
      <c r="B4594" t="inlineStr">
        <is>
          <t>avverkningsanmälan</t>
        </is>
      </c>
      <c r="C4594" t="inlineStr">
        <is>
          <t>Föryngringsavverkning</t>
        </is>
      </c>
      <c r="D4594" s="1" t="n">
        <v>45603</v>
      </c>
      <c r="E4594" s="1" t="n">
        <v>46312</v>
      </c>
      <c r="F4594" t="inlineStr">
        <is>
          <t>SKÅNE LÄN</t>
        </is>
      </c>
      <c r="G4594" t="inlineStr">
        <is>
          <t>KRISTIANSTAD</t>
        </is>
      </c>
      <c r="I4594" t="n">
        <v>1.3</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7211-2025</t>
        </is>
      </c>
      <c r="B4595" t="inlineStr">
        <is>
          <t>avverkningsanmälan</t>
        </is>
      </c>
      <c r="C4595" t="inlineStr">
        <is>
          <t>Föryngringsavverkning</t>
        </is>
      </c>
      <c r="D4595" s="1" t="n">
        <v>45702</v>
      </c>
      <c r="E4595" s="1" t="n">
        <v>46312</v>
      </c>
      <c r="F4595" t="inlineStr">
        <is>
          <t>SKÅNE LÄN</t>
        </is>
      </c>
      <c r="G4595" t="inlineStr">
        <is>
          <t>OSBY</t>
        </is>
      </c>
      <c r="I4595" t="n">
        <v>2.3</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7221-2025</t>
        </is>
      </c>
      <c r="B4596" t="inlineStr">
        <is>
          <t>avverkningsanmälan</t>
        </is>
      </c>
      <c r="C4596" t="inlineStr">
        <is>
          <t>Föryngringsavverkning</t>
        </is>
      </c>
      <c r="D4596" s="1" t="n">
        <v>45701</v>
      </c>
      <c r="E4596" s="1" t="n">
        <v>46312</v>
      </c>
      <c r="F4596" t="inlineStr">
        <is>
          <t>SKÅNE LÄN</t>
        </is>
      </c>
      <c r="G4596" t="inlineStr">
        <is>
          <t>HÄSSLEHOLM</t>
        </is>
      </c>
      <c r="I4596" t="n">
        <v>1.8</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5532-2025</t>
        </is>
      </c>
      <c r="B4597" t="inlineStr">
        <is>
          <t>avverkningsanmälan</t>
        </is>
      </c>
      <c r="C4597" t="inlineStr">
        <is>
          <t>Föryngringsavverkning</t>
        </is>
      </c>
      <c r="D4597" s="1" t="n">
        <v>45693</v>
      </c>
      <c r="E4597" s="1" t="n">
        <v>46312</v>
      </c>
      <c r="F4597" t="inlineStr">
        <is>
          <t>SKÅNE LÄN</t>
        </is>
      </c>
      <c r="G4597" t="inlineStr">
        <is>
          <t>HÄSSLEHOLM</t>
        </is>
      </c>
      <c r="I4597" t="n">
        <v>2.4</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10673-2025</t>
        </is>
      </c>
      <c r="B4598" t="inlineStr">
        <is>
          <t>avverkningsanmälan</t>
        </is>
      </c>
      <c r="C4598" t="inlineStr">
        <is>
          <t>Föryngringsavverkning</t>
        </is>
      </c>
      <c r="D4598" s="1" t="n">
        <v>45721</v>
      </c>
      <c r="E4598" s="1" t="n">
        <v>46312</v>
      </c>
      <c r="F4598" t="inlineStr">
        <is>
          <t>SKÅNE LÄN</t>
        </is>
      </c>
      <c r="G4598" t="inlineStr">
        <is>
          <t>OSBY</t>
        </is>
      </c>
      <c r="I4598" t="n">
        <v>1.7</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32948-2026</t>
        </is>
      </c>
      <c r="B4599" t="inlineStr">
        <is>
          <t>avverkningsanmälan</t>
        </is>
      </c>
      <c r="C4599" t="inlineStr">
        <is>
          <t>Föryngringsavverkning</t>
        </is>
      </c>
      <c r="D4599" s="1" t="n">
        <v>46244</v>
      </c>
      <c r="E4599" s="1" t="n">
        <v>46312</v>
      </c>
      <c r="F4599" t="inlineStr">
        <is>
          <t>SKÅNE LÄN</t>
        </is>
      </c>
      <c r="G4599" t="inlineStr">
        <is>
          <t>TOMELILLA</t>
        </is>
      </c>
      <c r="I4599" t="n">
        <v>1.9</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55748-2024</t>
        </is>
      </c>
      <c r="B4600" t="inlineStr">
        <is>
          <t>avverkningsanmälan</t>
        </is>
      </c>
      <c r="C4600" t="inlineStr">
        <is>
          <t>Föryngringsavverkning</t>
        </is>
      </c>
      <c r="D4600" s="1" t="n">
        <v>45623</v>
      </c>
      <c r="E4600" s="1" t="n">
        <v>46312</v>
      </c>
      <c r="F4600" t="inlineStr">
        <is>
          <t>SKÅNE LÄN</t>
        </is>
      </c>
      <c r="G4600" t="inlineStr">
        <is>
          <t>ÄNGELHOLM</t>
        </is>
      </c>
      <c r="I4600" t="n">
        <v>0.9</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52176-2023</t>
        </is>
      </c>
      <c r="B4601" t="inlineStr">
        <is>
          <t>avverkningsanmälan</t>
        </is>
      </c>
      <c r="C4601" t="inlineStr">
        <is>
          <t>Föryngringsavverkning</t>
        </is>
      </c>
      <c r="D4601" s="1" t="n">
        <v>45217</v>
      </c>
      <c r="E4601" s="1" t="n">
        <v>46312</v>
      </c>
      <c r="F4601" t="inlineStr">
        <is>
          <t>SKÅNE LÄN</t>
        </is>
      </c>
      <c r="G4601" t="inlineStr">
        <is>
          <t>KRISTIANSTAD</t>
        </is>
      </c>
      <c r="I4601" t="n">
        <v>4.4</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27486-2024</t>
        </is>
      </c>
      <c r="B4602" t="inlineStr">
        <is>
          <t>avverkningsanmälan</t>
        </is>
      </c>
      <c r="C4602" t="inlineStr">
        <is>
          <t>Föryngringsavverkning</t>
        </is>
      </c>
      <c r="D4602" s="1" t="n">
        <v>45474</v>
      </c>
      <c r="E4602" s="1" t="n">
        <v>46312</v>
      </c>
      <c r="F4602" t="inlineStr">
        <is>
          <t>SKÅNE LÄN</t>
        </is>
      </c>
      <c r="G4602" t="inlineStr">
        <is>
          <t>ÖRKELLJUNGA</t>
        </is>
      </c>
      <c r="I4602" t="n">
        <v>2.2</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10230-2025</t>
        </is>
      </c>
      <c r="B4603" t="inlineStr">
        <is>
          <t>avverkningsanmälan</t>
        </is>
      </c>
      <c r="C4603" t="inlineStr">
        <is>
          <t>Föryngringsavverkning</t>
        </is>
      </c>
      <c r="D4603" s="1" t="n">
        <v>45720</v>
      </c>
      <c r="E4603" s="1" t="n">
        <v>46312</v>
      </c>
      <c r="F4603" t="inlineStr">
        <is>
          <t>SKÅNE LÄN</t>
        </is>
      </c>
      <c r="G4603" t="inlineStr">
        <is>
          <t>HÄSSLEHOLM</t>
        </is>
      </c>
      <c r="I4603" t="n">
        <v>1.5</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33266-2024</t>
        </is>
      </c>
      <c r="B4604" t="inlineStr">
        <is>
          <t>avverkningsanmälan</t>
        </is>
      </c>
      <c r="C4604" t="inlineStr">
        <is>
          <t>Föryngringsavverkning</t>
        </is>
      </c>
      <c r="D4604" s="1" t="n">
        <v>45518</v>
      </c>
      <c r="E4604" s="1" t="n">
        <v>46312</v>
      </c>
      <c r="F4604" t="inlineStr">
        <is>
          <t>SKÅNE LÄN</t>
        </is>
      </c>
      <c r="G4604" t="inlineStr">
        <is>
          <t>HÄSSLEHOLM</t>
        </is>
      </c>
      <c r="I4604" t="n">
        <v>3.2</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22391-2024</t>
        </is>
      </c>
      <c r="B4605" t="inlineStr">
        <is>
          <t>avverkningsanmälan</t>
        </is>
      </c>
      <c r="C4605" t="inlineStr">
        <is>
          <t>Föryngringsavverkning</t>
        </is>
      </c>
      <c r="D4605" s="1" t="n">
        <v>45446</v>
      </c>
      <c r="E4605" s="1" t="n">
        <v>46312</v>
      </c>
      <c r="F4605" t="inlineStr">
        <is>
          <t>SKÅNE LÄN</t>
        </is>
      </c>
      <c r="G4605" t="inlineStr">
        <is>
          <t>ÖRKELLJUNGA</t>
        </is>
      </c>
      <c r="I4605" t="n">
        <v>3.3</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10908-2026</t>
        </is>
      </c>
      <c r="B4606" t="inlineStr">
        <is>
          <t>avverkningsanmälan</t>
        </is>
      </c>
      <c r="C4606" t="inlineStr">
        <is>
          <t>Föryngringsavverkning</t>
        </is>
      </c>
      <c r="D4606" s="1" t="n">
        <v>46079</v>
      </c>
      <c r="E4606" s="1" t="n">
        <v>46312</v>
      </c>
      <c r="F4606" t="inlineStr">
        <is>
          <t>SKÅNE LÄN</t>
        </is>
      </c>
      <c r="G4606" t="inlineStr">
        <is>
          <t>TOMELILLA</t>
        </is>
      </c>
      <c r="I4606" t="n">
        <v>1</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48797-2023</t>
        </is>
      </c>
      <c r="B4607" t="inlineStr">
        <is>
          <t>avverkningsanmälan</t>
        </is>
      </c>
      <c r="C4607" t="inlineStr">
        <is>
          <t>Föryngringsavverkning</t>
        </is>
      </c>
      <c r="D4607" s="1" t="n">
        <v>45209</v>
      </c>
      <c r="E4607" s="1" t="n">
        <v>46312</v>
      </c>
      <c r="F4607" t="inlineStr">
        <is>
          <t>SKÅNE LÄN</t>
        </is>
      </c>
      <c r="G4607" t="inlineStr">
        <is>
          <t>HÄSSLEHOLM</t>
        </is>
      </c>
      <c r="I4607" t="n">
        <v>1.2</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16261-2023</t>
        </is>
      </c>
      <c r="B4608" t="inlineStr">
        <is>
          <t>avverkningsanmälan</t>
        </is>
      </c>
      <c r="C4608" t="inlineStr">
        <is>
          <t>Föryngringsavverkning</t>
        </is>
      </c>
      <c r="D4608" s="1" t="n">
        <v>45022</v>
      </c>
      <c r="E4608" s="1" t="n">
        <v>46312</v>
      </c>
      <c r="F4608" t="inlineStr">
        <is>
          <t>SKÅNE LÄN</t>
        </is>
      </c>
      <c r="G4608" t="inlineStr">
        <is>
          <t>ÖSTRA GÖINGE</t>
        </is>
      </c>
      <c r="I4608" t="n">
        <v>3.7</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22592-2025</t>
        </is>
      </c>
      <c r="B4609" t="inlineStr">
        <is>
          <t>avverkningsanmälan</t>
        </is>
      </c>
      <c r="C4609" t="inlineStr">
        <is>
          <t>Föryngringsavverkning</t>
        </is>
      </c>
      <c r="D4609" s="1" t="n">
        <v>45789</v>
      </c>
      <c r="E4609" s="1" t="n">
        <v>46312</v>
      </c>
      <c r="F4609" t="inlineStr">
        <is>
          <t>SKÅNE LÄN</t>
        </is>
      </c>
      <c r="G4609" t="inlineStr">
        <is>
          <t>HÄSSLEHOLM</t>
        </is>
      </c>
      <c r="I4609" t="n">
        <v>7.1</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20047-2024</t>
        </is>
      </c>
      <c r="B4610" t="inlineStr">
        <is>
          <t>avverkningsanmälan</t>
        </is>
      </c>
      <c r="C4610" t="inlineStr">
        <is>
          <t>Föryngringsavverkning</t>
        </is>
      </c>
      <c r="D4610" s="1" t="n">
        <v>45434</v>
      </c>
      <c r="E4610" s="1" t="n">
        <v>46312</v>
      </c>
      <c r="F4610" t="inlineStr">
        <is>
          <t>SKÅNE LÄN</t>
        </is>
      </c>
      <c r="G4610" t="inlineStr">
        <is>
          <t>SVALÖV</t>
        </is>
      </c>
      <c r="I4610" t="n">
        <v>2.3</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27514-2024</t>
        </is>
      </c>
      <c r="B4611" t="inlineStr">
        <is>
          <t>avverkningsanmälan</t>
        </is>
      </c>
      <c r="C4611" t="inlineStr">
        <is>
          <t>Föryngringsavverkning</t>
        </is>
      </c>
      <c r="D4611" s="1" t="n">
        <v>45474</v>
      </c>
      <c r="E4611" s="1" t="n">
        <v>46312</v>
      </c>
      <c r="F4611" t="inlineStr">
        <is>
          <t>SKÅNE LÄN</t>
        </is>
      </c>
      <c r="G4611" t="inlineStr">
        <is>
          <t>OSBY</t>
        </is>
      </c>
      <c r="I4611" t="n">
        <v>1</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55961-2023</t>
        </is>
      </c>
      <c r="B4612" t="inlineStr">
        <is>
          <t>avverkningsanmälan</t>
        </is>
      </c>
      <c r="C4612" t="inlineStr">
        <is>
          <t>Föryngringsavverkning</t>
        </is>
      </c>
      <c r="D4612" s="1" t="n">
        <v>45233</v>
      </c>
      <c r="E4612" s="1" t="n">
        <v>46312</v>
      </c>
      <c r="F4612" t="inlineStr">
        <is>
          <t>SKÅNE LÄN</t>
        </is>
      </c>
      <c r="G4612" t="inlineStr">
        <is>
          <t>KRISTIANSTAD</t>
        </is>
      </c>
      <c r="I4612" t="n">
        <v>1.6</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35250-2026</t>
        </is>
      </c>
      <c r="B4613" t="inlineStr">
        <is>
          <t>avverkningsanmälan</t>
        </is>
      </c>
      <c r="C4613" t="inlineStr">
        <is>
          <t>Föryngringsavverkning</t>
        </is>
      </c>
      <c r="D4613" s="1" t="n">
        <v>46260</v>
      </c>
      <c r="E4613" s="1" t="n">
        <v>46312</v>
      </c>
      <c r="F4613" t="inlineStr">
        <is>
          <t>SKÅNE LÄN</t>
        </is>
      </c>
      <c r="G4613" t="inlineStr">
        <is>
          <t>HÄSSLEHOLM</t>
        </is>
      </c>
      <c r="I4613" t="n">
        <v>2.5</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18888-2024</t>
        </is>
      </c>
      <c r="B4614" t="inlineStr">
        <is>
          <t>avverkningsanmälan</t>
        </is>
      </c>
      <c r="C4614" t="inlineStr">
        <is>
          <t>Föryngringsavverkning</t>
        </is>
      </c>
      <c r="D4614" s="1" t="n">
        <v>45427</v>
      </c>
      <c r="E4614" s="1" t="n">
        <v>46312</v>
      </c>
      <c r="F4614" t="inlineStr">
        <is>
          <t>SKÅNE LÄN</t>
        </is>
      </c>
      <c r="G4614" t="inlineStr">
        <is>
          <t>SVEDALA</t>
        </is>
      </c>
      <c r="I4614" t="n">
        <v>3.5</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41652-2026</t>
        </is>
      </c>
      <c r="B4615" t="inlineStr">
        <is>
          <t>avverkningsanmälan</t>
        </is>
      </c>
      <c r="C4615" t="inlineStr">
        <is>
          <t>Föryngringsavverkning</t>
        </is>
      </c>
      <c r="D4615" s="1" t="n">
        <v>46302</v>
      </c>
      <c r="E4615" s="1" t="n">
        <v>46312</v>
      </c>
      <c r="F4615" t="inlineStr">
        <is>
          <t>SKÅNE LÄN</t>
        </is>
      </c>
      <c r="G4615" t="inlineStr">
        <is>
          <t>OSBY</t>
        </is>
      </c>
      <c r="I4615" t="n">
        <v>0.7</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50250-2024</t>
        </is>
      </c>
      <c r="B4616" t="inlineStr">
        <is>
          <t>avverkningsanmälan</t>
        </is>
      </c>
      <c r="C4616" t="inlineStr">
        <is>
          <t>Föryngringsavverkning</t>
        </is>
      </c>
      <c r="D4616" s="1" t="n">
        <v>45600</v>
      </c>
      <c r="E4616" s="1" t="n">
        <v>46312</v>
      </c>
      <c r="F4616" t="inlineStr">
        <is>
          <t>SKÅNE LÄN</t>
        </is>
      </c>
      <c r="G4616" t="inlineStr">
        <is>
          <t>HÖÖR</t>
        </is>
      </c>
      <c r="I4616" t="n">
        <v>3.8</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9466-2025</t>
        </is>
      </c>
      <c r="B4617" t="inlineStr">
        <is>
          <t>avverkningsanmälan</t>
        </is>
      </c>
      <c r="C4617" t="inlineStr">
        <is>
          <t>Föryngringsavverkning</t>
        </is>
      </c>
      <c r="D4617" s="1" t="n">
        <v>45715</v>
      </c>
      <c r="E4617" s="1" t="n">
        <v>46312</v>
      </c>
      <c r="F4617" t="inlineStr">
        <is>
          <t>SKÅNE LÄN</t>
        </is>
      </c>
      <c r="G4617" t="inlineStr">
        <is>
          <t>HÖÖR</t>
        </is>
      </c>
      <c r="I4617" t="n">
        <v>4.5</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9987-2025</t>
        </is>
      </c>
      <c r="B4618" t="inlineStr">
        <is>
          <t>avverkningsanmälan</t>
        </is>
      </c>
      <c r="C4618" t="inlineStr">
        <is>
          <t>Föryngringsavverkning</t>
        </is>
      </c>
      <c r="D4618" s="1" t="n">
        <v>45719</v>
      </c>
      <c r="E4618" s="1" t="n">
        <v>46312</v>
      </c>
      <c r="F4618" t="inlineStr">
        <is>
          <t>SKÅNE LÄN</t>
        </is>
      </c>
      <c r="G4618" t="inlineStr">
        <is>
          <t>OSBY</t>
        </is>
      </c>
      <c r="I4618" t="n">
        <v>1.7</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23007-2025</t>
        </is>
      </c>
      <c r="B4619" t="inlineStr">
        <is>
          <t>avverkningsanmälan</t>
        </is>
      </c>
      <c r="C4619" t="inlineStr">
        <is>
          <t>Föryngringsavverkning</t>
        </is>
      </c>
      <c r="D4619" s="1" t="n">
        <v>45790</v>
      </c>
      <c r="E4619" s="1" t="n">
        <v>46312</v>
      </c>
      <c r="F4619" t="inlineStr">
        <is>
          <t>SKÅNE LÄN</t>
        </is>
      </c>
      <c r="G4619" t="inlineStr">
        <is>
          <t>HÄSSLEHOLM</t>
        </is>
      </c>
      <c r="I4619" t="n">
        <v>0.4</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17171-2025</t>
        </is>
      </c>
      <c r="B4620" t="inlineStr">
        <is>
          <t>avverkningsanmälan</t>
        </is>
      </c>
      <c r="C4620" t="inlineStr">
        <is>
          <t>Föryngringsavverkning</t>
        </is>
      </c>
      <c r="D4620" s="1" t="n">
        <v>45755</v>
      </c>
      <c r="E4620" s="1" t="n">
        <v>46312</v>
      </c>
      <c r="F4620" t="inlineStr">
        <is>
          <t>SKÅNE LÄN</t>
        </is>
      </c>
      <c r="G4620" t="inlineStr">
        <is>
          <t>HÄSSLEHOLM</t>
        </is>
      </c>
      <c r="I4620" t="n">
        <v>1.5</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34808-2024</t>
        </is>
      </c>
      <c r="B4621" t="inlineStr">
        <is>
          <t>avverkningsanmälan</t>
        </is>
      </c>
      <c r="C4621" t="inlineStr">
        <is>
          <t>Föryngringsavverkning</t>
        </is>
      </c>
      <c r="D4621" s="1" t="n">
        <v>45526</v>
      </c>
      <c r="E4621" s="1" t="n">
        <v>46312</v>
      </c>
      <c r="F4621" t="inlineStr">
        <is>
          <t>SKÅNE LÄN</t>
        </is>
      </c>
      <c r="G4621" t="inlineStr">
        <is>
          <t>SVALÖV</t>
        </is>
      </c>
      <c r="I4621" t="n">
        <v>3.6</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16930-2024</t>
        </is>
      </c>
      <c r="B4622" t="inlineStr">
        <is>
          <t>avverkningsanmälan</t>
        </is>
      </c>
      <c r="C4622" t="inlineStr">
        <is>
          <t>Avverkning för annat ändamål</t>
        </is>
      </c>
      <c r="D4622" s="1" t="n">
        <v>45411</v>
      </c>
      <c r="E4622" s="1" t="n">
        <v>46312</v>
      </c>
      <c r="F4622" t="inlineStr">
        <is>
          <t>SKÅNE LÄN</t>
        </is>
      </c>
      <c r="G4622" t="inlineStr">
        <is>
          <t>HÄSSLEHOLM</t>
        </is>
      </c>
      <c r="I4622" t="n">
        <v>1</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27825-2024</t>
        </is>
      </c>
      <c r="B4623" t="inlineStr">
        <is>
          <t>avverkningsanmälan</t>
        </is>
      </c>
      <c r="C4623" t="inlineStr">
        <is>
          <t>Föryngringsavverkning</t>
        </is>
      </c>
      <c r="D4623" s="1" t="n">
        <v>45475</v>
      </c>
      <c r="E4623" s="1" t="n">
        <v>46312</v>
      </c>
      <c r="F4623" t="inlineStr">
        <is>
          <t>SKÅNE LÄN</t>
        </is>
      </c>
      <c r="G4623" t="inlineStr">
        <is>
          <t>HÄSSLEHOLM</t>
        </is>
      </c>
      <c r="H4623" t="inlineStr">
        <is>
          <t>Kommuner</t>
        </is>
      </c>
      <c r="I4623" t="n">
        <v>1.1</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28873-2026</t>
        </is>
      </c>
      <c r="B4624" t="inlineStr">
        <is>
          <t>avverkningsanmälan</t>
        </is>
      </c>
      <c r="C4624" t="inlineStr">
        <is>
          <t>Föryngringsavverkning</t>
        </is>
      </c>
      <c r="D4624" s="1" t="n">
        <v>46199</v>
      </c>
      <c r="E4624" s="1" t="n">
        <v>46312</v>
      </c>
      <c r="F4624" t="inlineStr">
        <is>
          <t>SKÅNE LÄN</t>
        </is>
      </c>
      <c r="G4624" t="inlineStr">
        <is>
          <t>HÄSSLEHOLM</t>
        </is>
      </c>
      <c r="I4624" t="n">
        <v>3.2</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35249-2026</t>
        </is>
      </c>
      <c r="B4625" t="inlineStr">
        <is>
          <t>avverkningsanmälan</t>
        </is>
      </c>
      <c r="C4625" t="inlineStr">
        <is>
          <t>Föryngringsavverkning</t>
        </is>
      </c>
      <c r="D4625" s="1" t="n">
        <v>46260</v>
      </c>
      <c r="E4625" s="1" t="n">
        <v>46312</v>
      </c>
      <c r="F4625" t="inlineStr">
        <is>
          <t>SKÅNE LÄN</t>
        </is>
      </c>
      <c r="G4625" t="inlineStr">
        <is>
          <t>HÄSSLEHOLM</t>
        </is>
      </c>
      <c r="I4625" t="n">
        <v>2.4</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35193-2026</t>
        </is>
      </c>
      <c r="B4626" t="inlineStr">
        <is>
          <t>avverkningsanmälan</t>
        </is>
      </c>
      <c r="C4626" t="inlineStr">
        <is>
          <t>Föryngringsavverkning</t>
        </is>
      </c>
      <c r="D4626" s="1" t="n">
        <v>46260</v>
      </c>
      <c r="E4626" s="1" t="n">
        <v>46312</v>
      </c>
      <c r="F4626" t="inlineStr">
        <is>
          <t>SKÅNE LÄN</t>
        </is>
      </c>
      <c r="G4626" t="inlineStr">
        <is>
          <t>PERSTORP</t>
        </is>
      </c>
      <c r="I4626" t="n">
        <v>1.5</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31254-2024</t>
        </is>
      </c>
      <c r="B4627" t="inlineStr">
        <is>
          <t>avverkningsanmälan</t>
        </is>
      </c>
      <c r="C4627" t="inlineStr">
        <is>
          <t>Föryngringsavverkning</t>
        </is>
      </c>
      <c r="D4627" s="1" t="n">
        <v>45503</v>
      </c>
      <c r="E4627" s="1" t="n">
        <v>46312</v>
      </c>
      <c r="F4627" t="inlineStr">
        <is>
          <t>SKÅNE LÄN</t>
        </is>
      </c>
      <c r="G4627" t="inlineStr">
        <is>
          <t>HÄSSLEHOLM</t>
        </is>
      </c>
      <c r="I4627" t="n">
        <v>2.2</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55613-2022</t>
        </is>
      </c>
      <c r="B4628" t="inlineStr">
        <is>
          <t>avverkningsanmälan</t>
        </is>
      </c>
      <c r="C4628" t="inlineStr">
        <is>
          <t>Föryngringsavverkning</t>
        </is>
      </c>
      <c r="D4628" s="1" t="n">
        <v>44883</v>
      </c>
      <c r="E4628" s="1" t="n">
        <v>46312</v>
      </c>
      <c r="F4628" t="inlineStr">
        <is>
          <t>SKÅNE LÄN</t>
        </is>
      </c>
      <c r="G4628" t="inlineStr">
        <is>
          <t>KLIPPAN</t>
        </is>
      </c>
      <c r="H4628" t="inlineStr">
        <is>
          <t>Övriga Aktiebolag</t>
        </is>
      </c>
      <c r="I4628" t="n">
        <v>1.6</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6521-2025</t>
        </is>
      </c>
      <c r="B4629" t="inlineStr">
        <is>
          <t>avverkningsanmälan</t>
        </is>
      </c>
      <c r="C4629" t="inlineStr">
        <is>
          <t>Föryngringsavverkning</t>
        </is>
      </c>
      <c r="D4629" s="1" t="n">
        <v>45699</v>
      </c>
      <c r="E4629" s="1" t="n">
        <v>46312</v>
      </c>
      <c r="F4629" t="inlineStr">
        <is>
          <t>SKÅNE LÄN</t>
        </is>
      </c>
      <c r="G4629" t="inlineStr">
        <is>
          <t>ÖSTRA GÖINGE</t>
        </is>
      </c>
      <c r="I4629" t="n">
        <v>2.8</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37486-2024</t>
        </is>
      </c>
      <c r="B4630" t="inlineStr">
        <is>
          <t>avverkningsanmälan</t>
        </is>
      </c>
      <c r="C4630" t="inlineStr">
        <is>
          <t>Avverkning för annat ändamål</t>
        </is>
      </c>
      <c r="D4630" s="1" t="n">
        <v>45541</v>
      </c>
      <c r="E4630" s="1" t="n">
        <v>46312</v>
      </c>
      <c r="F4630" t="inlineStr">
        <is>
          <t>SKÅNE LÄN</t>
        </is>
      </c>
      <c r="G4630" t="inlineStr">
        <is>
          <t>HÄSSLEHOLM</t>
        </is>
      </c>
      <c r="I4630" t="n">
        <v>8.5</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44838-2023</t>
        </is>
      </c>
      <c r="B4631" t="inlineStr">
        <is>
          <t>avverkningsanmälan</t>
        </is>
      </c>
      <c r="C4631" t="inlineStr">
        <is>
          <t>Föryngringsavverkning</t>
        </is>
      </c>
      <c r="D4631" s="1" t="n">
        <v>45190</v>
      </c>
      <c r="E4631" s="1" t="n">
        <v>46312</v>
      </c>
      <c r="F4631" t="inlineStr">
        <is>
          <t>SKÅNE LÄN</t>
        </is>
      </c>
      <c r="G4631" t="inlineStr">
        <is>
          <t>HÄSSLEHOLM</t>
        </is>
      </c>
      <c r="H4631" t="inlineStr">
        <is>
          <t>Kommuner</t>
        </is>
      </c>
      <c r="I4631" t="n">
        <v>2</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13954-2023</t>
        </is>
      </c>
      <c r="B4632" t="inlineStr">
        <is>
          <t>avverkningsanmälan</t>
        </is>
      </c>
      <c r="C4632" t="inlineStr">
        <is>
          <t>Föryngringsavverkning</t>
        </is>
      </c>
      <c r="D4632" s="1" t="n">
        <v>45008</v>
      </c>
      <c r="E4632" s="1" t="n">
        <v>46312</v>
      </c>
      <c r="F4632" t="inlineStr">
        <is>
          <t>SKÅNE LÄN</t>
        </is>
      </c>
      <c r="G4632" t="inlineStr">
        <is>
          <t>HÄSSLEHOLM</t>
        </is>
      </c>
      <c r="I4632" t="n">
        <v>1.9</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48197-2024</t>
        </is>
      </c>
      <c r="B4633" t="inlineStr">
        <is>
          <t>avverkningsanmälan</t>
        </is>
      </c>
      <c r="C4633" t="inlineStr">
        <is>
          <t>Föryngringsavverkning</t>
        </is>
      </c>
      <c r="D4633" s="1" t="n">
        <v>45590</v>
      </c>
      <c r="E4633" s="1" t="n">
        <v>46312</v>
      </c>
      <c r="F4633" t="inlineStr">
        <is>
          <t>SKÅNE LÄN</t>
        </is>
      </c>
      <c r="G4633" t="inlineStr">
        <is>
          <t>ÄNGELHOLM</t>
        </is>
      </c>
      <c r="I4633" t="n">
        <v>3.1</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38730-2026</t>
        </is>
      </c>
      <c r="B4634" t="inlineStr">
        <is>
          <t>avverkningsanmälan</t>
        </is>
      </c>
      <c r="C4634" t="inlineStr">
        <is>
          <t>Föryngringsavverkning</t>
        </is>
      </c>
      <c r="D4634" s="1" t="n">
        <v>46285</v>
      </c>
      <c r="E4634" s="1" t="n">
        <v>46312</v>
      </c>
      <c r="F4634" t="inlineStr">
        <is>
          <t>SKÅNE LÄN</t>
        </is>
      </c>
      <c r="G4634" t="inlineStr">
        <is>
          <t>HÖRBY</t>
        </is>
      </c>
      <c r="I4634" t="n">
        <v>0.4</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23185-2025</t>
        </is>
      </c>
      <c r="B4635" t="inlineStr">
        <is>
          <t>avverkningsanmälan</t>
        </is>
      </c>
      <c r="C4635" t="inlineStr">
        <is>
          <t>Avverkning för att bevara och utveckla /försöksver</t>
        </is>
      </c>
      <c r="D4635" s="1" t="n">
        <v>45791</v>
      </c>
      <c r="E4635" s="1" t="n">
        <v>46312</v>
      </c>
      <c r="F4635" t="inlineStr">
        <is>
          <t>SKÅNE LÄN</t>
        </is>
      </c>
      <c r="G4635" t="inlineStr">
        <is>
          <t>TOMELILLA</t>
        </is>
      </c>
      <c r="I4635" t="n">
        <v>0.8</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8861-2025</t>
        </is>
      </c>
      <c r="B4636" t="inlineStr">
        <is>
          <t>avverkningsanmälan</t>
        </is>
      </c>
      <c r="C4636" t="inlineStr">
        <is>
          <t>Föryngringsavverkning</t>
        </is>
      </c>
      <c r="D4636" s="1" t="n">
        <v>45713</v>
      </c>
      <c r="E4636" s="1" t="n">
        <v>46312</v>
      </c>
      <c r="F4636" t="inlineStr">
        <is>
          <t>SKÅNE LÄN</t>
        </is>
      </c>
      <c r="G4636" t="inlineStr">
        <is>
          <t>SJÖBO</t>
        </is>
      </c>
      <c r="I4636" t="n">
        <v>1</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5167-2024</t>
        </is>
      </c>
      <c r="B4637" t="inlineStr">
        <is>
          <t>avverkningsanmälan</t>
        </is>
      </c>
      <c r="C4637" t="inlineStr">
        <is>
          <t>Föryngringsavverkning</t>
        </is>
      </c>
      <c r="D4637" s="1" t="n">
        <v>45330</v>
      </c>
      <c r="E4637" s="1" t="n">
        <v>46312</v>
      </c>
      <c r="F4637" t="inlineStr">
        <is>
          <t>SKÅNE LÄN</t>
        </is>
      </c>
      <c r="G4637" t="inlineStr">
        <is>
          <t>SVALÖV</t>
        </is>
      </c>
      <c r="I4637" t="n">
        <v>6.5</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4425-2025</t>
        </is>
      </c>
      <c r="B4638" t="inlineStr">
        <is>
          <t>avverkningsanmälan</t>
        </is>
      </c>
      <c r="C4638" t="inlineStr">
        <is>
          <t>Föryngringsavverkning</t>
        </is>
      </c>
      <c r="D4638" s="1" t="n">
        <v>45686</v>
      </c>
      <c r="E4638" s="1" t="n">
        <v>46312</v>
      </c>
      <c r="F4638" t="inlineStr">
        <is>
          <t>SKÅNE LÄN</t>
        </is>
      </c>
      <c r="G4638" t="inlineStr">
        <is>
          <t>ÖSTRA GÖINGE</t>
        </is>
      </c>
      <c r="I4638" t="n">
        <v>1.1</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28370-2024</t>
        </is>
      </c>
      <c r="B4639" t="inlineStr">
        <is>
          <t>avverkningsanmälan</t>
        </is>
      </c>
      <c r="C4639" t="inlineStr">
        <is>
          <t>Föryngringsavverkning</t>
        </is>
      </c>
      <c r="D4639" s="1" t="n">
        <v>45477</v>
      </c>
      <c r="E4639" s="1" t="n">
        <v>46312</v>
      </c>
      <c r="F4639" t="inlineStr">
        <is>
          <t>SKÅNE LÄN</t>
        </is>
      </c>
      <c r="G4639" t="inlineStr">
        <is>
          <t>PERSTORP</t>
        </is>
      </c>
      <c r="I4639" t="n">
        <v>1.2</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34830-2026</t>
        </is>
      </c>
      <c r="B4640" t="inlineStr">
        <is>
          <t>avverkningsanmälan</t>
        </is>
      </c>
      <c r="C4640" t="inlineStr">
        <is>
          <t>Föryngringsavverkning</t>
        </is>
      </c>
      <c r="D4640" s="1" t="n">
        <v>46258</v>
      </c>
      <c r="E4640" s="1" t="n">
        <v>46312</v>
      </c>
      <c r="F4640" t="inlineStr">
        <is>
          <t>SKÅNE LÄN</t>
        </is>
      </c>
      <c r="G4640" t="inlineStr">
        <is>
          <t>HÄSSLEHOLM</t>
        </is>
      </c>
      <c r="I4640" t="n">
        <v>0.8</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12028-2025</t>
        </is>
      </c>
      <c r="B4641" t="inlineStr">
        <is>
          <t>avverkningsanmälan</t>
        </is>
      </c>
      <c r="C4641" t="inlineStr">
        <is>
          <t>Föryngringsavverkning</t>
        </is>
      </c>
      <c r="D4641" s="1" t="n">
        <v>45728</v>
      </c>
      <c r="E4641" s="1" t="n">
        <v>46312</v>
      </c>
      <c r="F4641" t="inlineStr">
        <is>
          <t>SKÅNE LÄN</t>
        </is>
      </c>
      <c r="G4641" t="inlineStr">
        <is>
          <t>HÖÖR</t>
        </is>
      </c>
      <c r="I4641" t="n">
        <v>2.8</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34840-2026</t>
        </is>
      </c>
      <c r="B4642" t="inlineStr">
        <is>
          <t>avverkningsanmälan</t>
        </is>
      </c>
      <c r="C4642" t="inlineStr">
        <is>
          <t>Avverkning för annat ändamål</t>
        </is>
      </c>
      <c r="D4642" s="1" t="n">
        <v>46258</v>
      </c>
      <c r="E4642" s="1" t="n">
        <v>46312</v>
      </c>
      <c r="F4642" t="inlineStr">
        <is>
          <t>SKÅNE LÄN</t>
        </is>
      </c>
      <c r="G4642" t="inlineStr">
        <is>
          <t>ÖSTRA GÖINGE</t>
        </is>
      </c>
      <c r="I4642" t="n">
        <v>0.5</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31576-2026</t>
        </is>
      </c>
      <c r="B4643" t="inlineStr">
        <is>
          <t>avverkningsanmälan</t>
        </is>
      </c>
      <c r="C4643" t="inlineStr">
        <is>
          <t>Föryngringsavverkning</t>
        </is>
      </c>
      <c r="D4643" s="1" t="n">
        <v>46224</v>
      </c>
      <c r="E4643" s="1" t="n">
        <v>46312</v>
      </c>
      <c r="F4643" t="inlineStr">
        <is>
          <t>SKÅNE LÄN</t>
        </is>
      </c>
      <c r="G4643" t="inlineStr">
        <is>
          <t>ÄNGELHOLM</t>
        </is>
      </c>
      <c r="I4643" t="n">
        <v>0.6</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37796-2026</t>
        </is>
      </c>
      <c r="B4644" t="inlineStr">
        <is>
          <t>avverkningsanmälan</t>
        </is>
      </c>
      <c r="C4644" t="inlineStr">
        <is>
          <t>Föryngringsavverkning</t>
        </is>
      </c>
      <c r="D4644" s="1" t="n">
        <v>46279</v>
      </c>
      <c r="E4644" s="1" t="n">
        <v>46312</v>
      </c>
      <c r="F4644" t="inlineStr">
        <is>
          <t>SKÅNE LÄN</t>
        </is>
      </c>
      <c r="G4644" t="inlineStr">
        <is>
          <t>HÄSSLEHOLM</t>
        </is>
      </c>
      <c r="I4644" t="n">
        <v>4.3</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23116-2025</t>
        </is>
      </c>
      <c r="B4645" t="inlineStr">
        <is>
          <t>avverkningsanmälan</t>
        </is>
      </c>
      <c r="C4645" t="inlineStr">
        <is>
          <t>Föryngringsavverkning</t>
        </is>
      </c>
      <c r="D4645" s="1" t="n">
        <v>45791</v>
      </c>
      <c r="E4645" s="1" t="n">
        <v>46312</v>
      </c>
      <c r="F4645" t="inlineStr">
        <is>
          <t>SKÅNE LÄN</t>
        </is>
      </c>
      <c r="G4645" t="inlineStr">
        <is>
          <t>HÖÖR</t>
        </is>
      </c>
      <c r="I4645" t="n">
        <v>1.5</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13007-2024</t>
        </is>
      </c>
      <c r="B4646" t="inlineStr">
        <is>
          <t>avverkningsanmälan</t>
        </is>
      </c>
      <c r="C4646" t="inlineStr">
        <is>
          <t>Föryngringsavverkning</t>
        </is>
      </c>
      <c r="D4646" s="1" t="n">
        <v>45385</v>
      </c>
      <c r="E4646" s="1" t="n">
        <v>46312</v>
      </c>
      <c r="F4646" t="inlineStr">
        <is>
          <t>SKÅNE LÄN</t>
        </is>
      </c>
      <c r="G4646" t="inlineStr">
        <is>
          <t>HÄSSLEHOLM</t>
        </is>
      </c>
      <c r="I4646" t="n">
        <v>1.4</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40152-2024</t>
        </is>
      </c>
      <c r="B4647" t="inlineStr">
        <is>
          <t>avverkningsanmälan</t>
        </is>
      </c>
      <c r="C4647" t="inlineStr">
        <is>
          <t>Föryngringsavverkning</t>
        </is>
      </c>
      <c r="D4647" s="1" t="n">
        <v>45554</v>
      </c>
      <c r="E4647" s="1" t="n">
        <v>46312</v>
      </c>
      <c r="F4647" t="inlineStr">
        <is>
          <t>SKÅNE LÄN</t>
        </is>
      </c>
      <c r="G4647" t="inlineStr">
        <is>
          <t>HÄSSLEHOLM</t>
        </is>
      </c>
      <c r="I4647" t="n">
        <v>1.1</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74030-2021</t>
        </is>
      </c>
      <c r="B4648" t="inlineStr">
        <is>
          <t>avverkningsanmälan</t>
        </is>
      </c>
      <c r="C4648" t="inlineStr">
        <is>
          <t>Avverkning för annat ändamål</t>
        </is>
      </c>
      <c r="D4648" s="1" t="n">
        <v>44553</v>
      </c>
      <c r="E4648" s="1" t="n">
        <v>46312</v>
      </c>
      <c r="F4648" t="inlineStr">
        <is>
          <t>SKÅNE LÄN</t>
        </is>
      </c>
      <c r="G4648" t="inlineStr">
        <is>
          <t>HÄSSLEHOLM</t>
        </is>
      </c>
      <c r="I4648" t="n">
        <v>1.5</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15072-2024</t>
        </is>
      </c>
      <c r="B4649" t="inlineStr">
        <is>
          <t>avverkningsanmälan</t>
        </is>
      </c>
      <c r="C4649" t="inlineStr">
        <is>
          <t>Föryngringsavverkning</t>
        </is>
      </c>
      <c r="D4649" s="1" t="n">
        <v>45399</v>
      </c>
      <c r="E4649" s="1" t="n">
        <v>46312</v>
      </c>
      <c r="F4649" t="inlineStr">
        <is>
          <t>SKÅNE LÄN</t>
        </is>
      </c>
      <c r="G4649" t="inlineStr">
        <is>
          <t>HÄSSLEHOLM</t>
        </is>
      </c>
      <c r="I4649" t="n">
        <v>1.4</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6858-2025</t>
        </is>
      </c>
      <c r="B4650" t="inlineStr">
        <is>
          <t>avverkningsanmälan</t>
        </is>
      </c>
      <c r="C4650" t="inlineStr">
        <is>
          <t>Föryngringsavverkning</t>
        </is>
      </c>
      <c r="D4650" s="1" t="n">
        <v>45700</v>
      </c>
      <c r="E4650" s="1" t="n">
        <v>46312</v>
      </c>
      <c r="F4650" t="inlineStr">
        <is>
          <t>SKÅNE LÄN</t>
        </is>
      </c>
      <c r="G4650" t="inlineStr">
        <is>
          <t>KRISTIANSTAD</t>
        </is>
      </c>
      <c r="I4650" t="n">
        <v>1.2</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61019-2024</t>
        </is>
      </c>
      <c r="B4651" t="inlineStr">
        <is>
          <t>avverkningsanmälan</t>
        </is>
      </c>
      <c r="C4651" t="inlineStr">
        <is>
          <t>Avverkning för annat ändamål</t>
        </is>
      </c>
      <c r="D4651" s="1" t="n">
        <v>45645</v>
      </c>
      <c r="E4651" s="1" t="n">
        <v>46312</v>
      </c>
      <c r="F4651" t="inlineStr">
        <is>
          <t>SKÅNE LÄN</t>
        </is>
      </c>
      <c r="G4651" t="inlineStr">
        <is>
          <t>HÖÖR</t>
        </is>
      </c>
      <c r="H4651" t="inlineStr">
        <is>
          <t>Kommuner</t>
        </is>
      </c>
      <c r="I4651" t="n">
        <v>2.2</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11262-2025</t>
        </is>
      </c>
      <c r="B4652" t="inlineStr">
        <is>
          <t>avverkningsanmälan</t>
        </is>
      </c>
      <c r="C4652" t="inlineStr">
        <is>
          <t>Föryngringsavverkning</t>
        </is>
      </c>
      <c r="D4652" s="1" t="n">
        <v>45726</v>
      </c>
      <c r="E4652" s="1" t="n">
        <v>46312</v>
      </c>
      <c r="F4652" t="inlineStr">
        <is>
          <t>SKÅNE LÄN</t>
        </is>
      </c>
      <c r="G4652" t="inlineStr">
        <is>
          <t>HÄSSLEHOLM</t>
        </is>
      </c>
      <c r="I4652" t="n">
        <v>1.9</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11460-2025</t>
        </is>
      </c>
      <c r="B4653" t="inlineStr">
        <is>
          <t>avverkningsanmälan</t>
        </is>
      </c>
      <c r="C4653" t="inlineStr">
        <is>
          <t>Föryngringsavverkning</t>
        </is>
      </c>
      <c r="D4653" s="1" t="n">
        <v>45726</v>
      </c>
      <c r="E4653" s="1" t="n">
        <v>46312</v>
      </c>
      <c r="F4653" t="inlineStr">
        <is>
          <t>SKÅNE LÄN</t>
        </is>
      </c>
      <c r="G4653" t="inlineStr">
        <is>
          <t>ÖRKELLJUNGA</t>
        </is>
      </c>
      <c r="I4653" t="n">
        <v>1.5</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5395-2024</t>
        </is>
      </c>
      <c r="B4654" t="inlineStr">
        <is>
          <t>avverkningsanmälan</t>
        </is>
      </c>
      <c r="C4654" t="inlineStr">
        <is>
          <t>Föryngringsavverkning</t>
        </is>
      </c>
      <c r="D4654" s="1" t="n">
        <v>45331</v>
      </c>
      <c r="E4654" s="1" t="n">
        <v>46312</v>
      </c>
      <c r="F4654" t="inlineStr">
        <is>
          <t>SKÅNE LÄN</t>
        </is>
      </c>
      <c r="G4654" t="inlineStr">
        <is>
          <t>HÄSSLEHOLM</t>
        </is>
      </c>
      <c r="I4654" t="n">
        <v>2.6</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27380-2026</t>
        </is>
      </c>
      <c r="B4655" t="inlineStr">
        <is>
          <t>avverkningsanmälan</t>
        </is>
      </c>
      <c r="C4655" t="inlineStr">
        <is>
          <t>Föryngringsavverkning</t>
        </is>
      </c>
      <c r="D4655" s="1" t="n">
        <v>46189</v>
      </c>
      <c r="E4655" s="1" t="n">
        <v>46312</v>
      </c>
      <c r="F4655" t="inlineStr">
        <is>
          <t>SKÅNE LÄN</t>
        </is>
      </c>
      <c r="G4655" t="inlineStr">
        <is>
          <t>SVALÖV</t>
        </is>
      </c>
      <c r="I4655" t="n">
        <v>1.7</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45353-2024</t>
        </is>
      </c>
      <c r="B4656" t="inlineStr">
        <is>
          <t>avverkningsanmälan</t>
        </is>
      </c>
      <c r="C4656" t="inlineStr">
        <is>
          <t>Föryngringsavverkning</t>
        </is>
      </c>
      <c r="D4656" s="1" t="n">
        <v>45576</v>
      </c>
      <c r="E4656" s="1" t="n">
        <v>46312</v>
      </c>
      <c r="F4656" t="inlineStr">
        <is>
          <t>SKÅNE LÄN</t>
        </is>
      </c>
      <c r="G4656" t="inlineStr">
        <is>
          <t>SJÖBO</t>
        </is>
      </c>
      <c r="I4656" t="n">
        <v>0.7</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36606-2024</t>
        </is>
      </c>
      <c r="B4657" t="inlineStr">
        <is>
          <t>avverkningsanmälan</t>
        </is>
      </c>
      <c r="C4657" t="inlineStr">
        <is>
          <t>Föryngringsavverkning</t>
        </is>
      </c>
      <c r="D4657" s="1" t="n">
        <v>45537</v>
      </c>
      <c r="E4657" s="1" t="n">
        <v>46312</v>
      </c>
      <c r="F4657" t="inlineStr">
        <is>
          <t>SKÅNE LÄN</t>
        </is>
      </c>
      <c r="G4657" t="inlineStr">
        <is>
          <t>KLIPPAN</t>
        </is>
      </c>
      <c r="I4657" t="n">
        <v>1.6</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2621-2025</t>
        </is>
      </c>
      <c r="B4658" t="inlineStr">
        <is>
          <t>avverkningsanmälan</t>
        </is>
      </c>
      <c r="C4658" t="inlineStr">
        <is>
          <t>Föryngringsavverkning</t>
        </is>
      </c>
      <c r="D4658" s="1" t="n">
        <v>45675</v>
      </c>
      <c r="E4658" s="1" t="n">
        <v>46312</v>
      </c>
      <c r="F4658" t="inlineStr">
        <is>
          <t>SKÅNE LÄN</t>
        </is>
      </c>
      <c r="G4658" t="inlineStr">
        <is>
          <t>HÄSSLEHOLM</t>
        </is>
      </c>
      <c r="H4658" t="inlineStr">
        <is>
          <t>Kommuner</t>
        </is>
      </c>
      <c r="I4658" t="n">
        <v>3</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8737-2025</t>
        </is>
      </c>
      <c r="B4659" t="inlineStr">
        <is>
          <t>avverkningsanmälan</t>
        </is>
      </c>
      <c r="C4659" t="inlineStr">
        <is>
          <t>Föryngringsavverkning</t>
        </is>
      </c>
      <c r="D4659" s="1" t="n">
        <v>45712</v>
      </c>
      <c r="E4659" s="1" t="n">
        <v>46312</v>
      </c>
      <c r="F4659" t="inlineStr">
        <is>
          <t>SKÅNE LÄN</t>
        </is>
      </c>
      <c r="G4659" t="inlineStr">
        <is>
          <t>HÄSSLEHOLM</t>
        </is>
      </c>
      <c r="I4659" t="n">
        <v>2.7</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43321-2023</t>
        </is>
      </c>
      <c r="B4660" t="inlineStr">
        <is>
          <t>avverkningsanmälan</t>
        </is>
      </c>
      <c r="C4660" t="inlineStr">
        <is>
          <t>Föryngringsavverkning</t>
        </is>
      </c>
      <c r="D4660" s="1" t="n">
        <v>45183</v>
      </c>
      <c r="E4660" s="1" t="n">
        <v>46312</v>
      </c>
      <c r="F4660" t="inlineStr">
        <is>
          <t>SKÅNE LÄN</t>
        </is>
      </c>
      <c r="G4660" t="inlineStr">
        <is>
          <t>KRISTIANSTAD</t>
        </is>
      </c>
      <c r="I4660" t="n">
        <v>1</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37764-2022</t>
        </is>
      </c>
      <c r="B4661" t="inlineStr">
        <is>
          <t>avverkningsanmälan</t>
        </is>
      </c>
      <c r="C4661" t="inlineStr">
        <is>
          <t>Föryngringsavverkning</t>
        </is>
      </c>
      <c r="D4661" s="1" t="n">
        <v>44810</v>
      </c>
      <c r="E4661" s="1" t="n">
        <v>46312</v>
      </c>
      <c r="F4661" t="inlineStr">
        <is>
          <t>SKÅNE LÄN</t>
        </is>
      </c>
      <c r="G4661" t="inlineStr">
        <is>
          <t>HÄSSLEHOLM</t>
        </is>
      </c>
      <c r="H4661" t="inlineStr">
        <is>
          <t>Kyrkan</t>
        </is>
      </c>
      <c r="I4661" t="n">
        <v>9.4</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17458-2023</t>
        </is>
      </c>
      <c r="B4662" t="inlineStr">
        <is>
          <t>avverkningsanmälan</t>
        </is>
      </c>
      <c r="C4662" t="inlineStr">
        <is>
          <t>Föryngringsavverkning</t>
        </is>
      </c>
      <c r="D4662" s="1" t="n">
        <v>45034</v>
      </c>
      <c r="E4662" s="1" t="n">
        <v>46312</v>
      </c>
      <c r="F4662" t="inlineStr">
        <is>
          <t>SKÅNE LÄN</t>
        </is>
      </c>
      <c r="G4662" t="inlineStr">
        <is>
          <t>ÖRKELLJUNGA</t>
        </is>
      </c>
      <c r="I4662" t="n">
        <v>1.5</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54669-2023</t>
        </is>
      </c>
      <c r="B4663" t="inlineStr">
        <is>
          <t>avverkningsanmälan</t>
        </is>
      </c>
      <c r="C4663" t="inlineStr">
        <is>
          <t>Föryngringsavverkning</t>
        </is>
      </c>
      <c r="D4663" s="1" t="n">
        <v>45235</v>
      </c>
      <c r="E4663" s="1" t="n">
        <v>46312</v>
      </c>
      <c r="F4663" t="inlineStr">
        <is>
          <t>SKÅNE LÄN</t>
        </is>
      </c>
      <c r="G4663" t="inlineStr">
        <is>
          <t>ÖRKELLJUNGA</t>
        </is>
      </c>
      <c r="I4663" t="n">
        <v>1</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51018-2023</t>
        </is>
      </c>
      <c r="B4664" t="inlineStr">
        <is>
          <t>avverkningsanmälan</t>
        </is>
      </c>
      <c r="C4664" t="inlineStr">
        <is>
          <t>Föryngringsavverkning</t>
        </is>
      </c>
      <c r="D4664" s="1" t="n">
        <v>45218</v>
      </c>
      <c r="E4664" s="1" t="n">
        <v>46312</v>
      </c>
      <c r="F4664" t="inlineStr">
        <is>
          <t>SKÅNE LÄN</t>
        </is>
      </c>
      <c r="G4664" t="inlineStr">
        <is>
          <t>HÄSSLEHOLM</t>
        </is>
      </c>
      <c r="I4664" t="n">
        <v>3.1</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23005-2025</t>
        </is>
      </c>
      <c r="B4665" t="inlineStr">
        <is>
          <t>avverkningsanmälan</t>
        </is>
      </c>
      <c r="C4665" t="inlineStr">
        <is>
          <t>Föryngringsavverkning</t>
        </is>
      </c>
      <c r="D4665" s="1" t="n">
        <v>45790</v>
      </c>
      <c r="E4665" s="1" t="n">
        <v>46312</v>
      </c>
      <c r="F4665" t="inlineStr">
        <is>
          <t>SKÅNE LÄN</t>
        </is>
      </c>
      <c r="G4665" t="inlineStr">
        <is>
          <t>HÄSSLEHOLM</t>
        </is>
      </c>
      <c r="I4665" t="n">
        <v>0.3</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60797-2024</t>
        </is>
      </c>
      <c r="B4666" t="inlineStr">
        <is>
          <t>avverkningsanmälan</t>
        </is>
      </c>
      <c r="C4666" t="inlineStr">
        <is>
          <t>Föryngringsavverkning</t>
        </is>
      </c>
      <c r="D4666" s="1" t="n">
        <v>45644</v>
      </c>
      <c r="E4666" s="1" t="n">
        <v>46312</v>
      </c>
      <c r="F4666" t="inlineStr">
        <is>
          <t>SKÅNE LÄN</t>
        </is>
      </c>
      <c r="G4666" t="inlineStr">
        <is>
          <t>HÄSSLEHOLM</t>
        </is>
      </c>
      <c r="I4666" t="n">
        <v>3.4</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60504-2024</t>
        </is>
      </c>
      <c r="B4667" t="inlineStr">
        <is>
          <t>avverkningsanmälan</t>
        </is>
      </c>
      <c r="C4667" t="inlineStr">
        <is>
          <t>Föryngringsavverkning</t>
        </is>
      </c>
      <c r="D4667" s="1" t="n">
        <v>45643</v>
      </c>
      <c r="E4667" s="1" t="n">
        <v>46312</v>
      </c>
      <c r="F4667" t="inlineStr">
        <is>
          <t>SKÅNE LÄN</t>
        </is>
      </c>
      <c r="G4667" t="inlineStr">
        <is>
          <t>ÖSTRA GÖINGE</t>
        </is>
      </c>
      <c r="I4667" t="n">
        <v>2.8</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35158-2026</t>
        </is>
      </c>
      <c r="B4668" t="inlineStr">
        <is>
          <t>avverkningsanmälan</t>
        </is>
      </c>
      <c r="C4668" t="inlineStr">
        <is>
          <t>Föryngringsavverkning</t>
        </is>
      </c>
      <c r="D4668" s="1" t="n">
        <v>46260</v>
      </c>
      <c r="E4668" s="1" t="n">
        <v>46312</v>
      </c>
      <c r="F4668" t="inlineStr">
        <is>
          <t>SKÅNE LÄN</t>
        </is>
      </c>
      <c r="G4668" t="inlineStr">
        <is>
          <t>KRISTIANSTAD</t>
        </is>
      </c>
      <c r="I4668" t="n">
        <v>1.8</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27251-2024</t>
        </is>
      </c>
      <c r="B4669" t="inlineStr">
        <is>
          <t>avverkningsanmälan</t>
        </is>
      </c>
      <c r="C4669" t="inlineStr">
        <is>
          <t>Föryngringsavverkning</t>
        </is>
      </c>
      <c r="D4669" s="1" t="n">
        <v>45471</v>
      </c>
      <c r="E4669" s="1" t="n">
        <v>46312</v>
      </c>
      <c r="F4669" t="inlineStr">
        <is>
          <t>SKÅNE LÄN</t>
        </is>
      </c>
      <c r="G4669" t="inlineStr">
        <is>
          <t>HÖÖR</t>
        </is>
      </c>
      <c r="I4669" t="n">
        <v>2.7</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56069-2024</t>
        </is>
      </c>
      <c r="B4670" t="inlineStr">
        <is>
          <t>avverkningsanmälan</t>
        </is>
      </c>
      <c r="C4670" t="inlineStr">
        <is>
          <t>Föryngringsavverkning</t>
        </is>
      </c>
      <c r="D4670" s="1" t="n">
        <v>45624</v>
      </c>
      <c r="E4670" s="1" t="n">
        <v>46312</v>
      </c>
      <c r="F4670" t="inlineStr">
        <is>
          <t>SKÅNE LÄN</t>
        </is>
      </c>
      <c r="G4670" t="inlineStr">
        <is>
          <t>HÄSSLEHOLM</t>
        </is>
      </c>
      <c r="H4670" t="inlineStr">
        <is>
          <t>Övriga Aktiebolag</t>
        </is>
      </c>
      <c r="I4670" t="n">
        <v>2.3</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32984-2024</t>
        </is>
      </c>
      <c r="B4671" t="inlineStr">
        <is>
          <t>avverkningsanmälan</t>
        </is>
      </c>
      <c r="C4671" t="inlineStr">
        <is>
          <t>Föryngringsavverkning</t>
        </is>
      </c>
      <c r="D4671" s="1" t="n">
        <v>45517</v>
      </c>
      <c r="E4671" s="1" t="n">
        <v>46312</v>
      </c>
      <c r="F4671" t="inlineStr">
        <is>
          <t>SKÅNE LÄN</t>
        </is>
      </c>
      <c r="G4671" t="inlineStr">
        <is>
          <t>ESLÖV</t>
        </is>
      </c>
      <c r="I4671" t="n">
        <v>2.9</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32990-2024</t>
        </is>
      </c>
      <c r="B4672" t="inlineStr">
        <is>
          <t>avverkningsanmälan</t>
        </is>
      </c>
      <c r="C4672" t="inlineStr">
        <is>
          <t>Föryngringsavverkning</t>
        </is>
      </c>
      <c r="D4672" s="1" t="n">
        <v>45517</v>
      </c>
      <c r="E4672" s="1" t="n">
        <v>46312</v>
      </c>
      <c r="F4672" t="inlineStr">
        <is>
          <t>SKÅNE LÄN</t>
        </is>
      </c>
      <c r="G4672" t="inlineStr">
        <is>
          <t>KRISTIANSTAD</t>
        </is>
      </c>
      <c r="I4672" t="n">
        <v>1.3</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26477-2026</t>
        </is>
      </c>
      <c r="B4673" t="inlineStr">
        <is>
          <t>avverkningsanmälan</t>
        </is>
      </c>
      <c r="C4673" t="inlineStr">
        <is>
          <t>Föryngringsavverkning</t>
        </is>
      </c>
      <c r="D4673" s="1" t="n">
        <v>46183</v>
      </c>
      <c r="E4673" s="1" t="n">
        <v>46312</v>
      </c>
      <c r="F4673" t="inlineStr">
        <is>
          <t>SKÅNE LÄN</t>
        </is>
      </c>
      <c r="G4673" t="inlineStr">
        <is>
          <t>BROMÖLLA</t>
        </is>
      </c>
      <c r="I4673" t="n">
        <v>15.6</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28736-2024</t>
        </is>
      </c>
      <c r="B4674" t="inlineStr">
        <is>
          <t>avverkningsanmälan</t>
        </is>
      </c>
      <c r="C4674" t="inlineStr">
        <is>
          <t>Föryngringsavverkning</t>
        </is>
      </c>
      <c r="D4674" s="1" t="n">
        <v>45478</v>
      </c>
      <c r="E4674" s="1" t="n">
        <v>46312</v>
      </c>
      <c r="F4674" t="inlineStr">
        <is>
          <t>SKÅNE LÄN</t>
        </is>
      </c>
      <c r="G4674" t="inlineStr">
        <is>
          <t>PERSTORP</t>
        </is>
      </c>
      <c r="I4674" t="n">
        <v>3.5</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23747-2025</t>
        </is>
      </c>
      <c r="B4675" t="inlineStr">
        <is>
          <t>avverkningsanmälan</t>
        </is>
      </c>
      <c r="C4675" t="inlineStr">
        <is>
          <t>Föryngringsavverkning</t>
        </is>
      </c>
      <c r="D4675" s="1" t="n">
        <v>45793</v>
      </c>
      <c r="E4675" s="1" t="n">
        <v>46312</v>
      </c>
      <c r="F4675" t="inlineStr">
        <is>
          <t>SKÅNE LÄN</t>
        </is>
      </c>
      <c r="G4675" t="inlineStr">
        <is>
          <t>SVALÖV</t>
        </is>
      </c>
      <c r="I4675" t="n">
        <v>2.6</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35275-2026</t>
        </is>
      </c>
      <c r="B4676" t="inlineStr">
        <is>
          <t>avverkningsanmälan</t>
        </is>
      </c>
      <c r="C4676" t="inlineStr">
        <is>
          <t>Föryngringsavverkning</t>
        </is>
      </c>
      <c r="D4676" s="1" t="n">
        <v>46261</v>
      </c>
      <c r="E4676" s="1" t="n">
        <v>46312</v>
      </c>
      <c r="F4676" t="inlineStr">
        <is>
          <t>SKÅNE LÄN</t>
        </is>
      </c>
      <c r="G4676" t="inlineStr">
        <is>
          <t>HÄSSLEHOLM</t>
        </is>
      </c>
      <c r="I4676" t="n">
        <v>2.9</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31588-2026</t>
        </is>
      </c>
      <c r="B4677" t="inlineStr">
        <is>
          <t>avverkningsanmälan</t>
        </is>
      </c>
      <c r="C4677" t="inlineStr">
        <is>
          <t>Föryngringsavverkning</t>
        </is>
      </c>
      <c r="D4677" s="1" t="n">
        <v>46223</v>
      </c>
      <c r="E4677" s="1" t="n">
        <v>46312</v>
      </c>
      <c r="F4677" t="inlineStr">
        <is>
          <t>SKÅNE LÄN</t>
        </is>
      </c>
      <c r="G4677" t="inlineStr">
        <is>
          <t>KLIPPAN</t>
        </is>
      </c>
      <c r="I4677" t="n">
        <v>3.5</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23469-2025</t>
        </is>
      </c>
      <c r="B4678" t="inlineStr">
        <is>
          <t>avverkningsanmälan</t>
        </is>
      </c>
      <c r="C4678" t="inlineStr">
        <is>
          <t>Föryngringsavverkning</t>
        </is>
      </c>
      <c r="D4678" s="1" t="n">
        <v>45792</v>
      </c>
      <c r="E4678" s="1" t="n">
        <v>46312</v>
      </c>
      <c r="F4678" t="inlineStr">
        <is>
          <t>SKÅNE LÄN</t>
        </is>
      </c>
      <c r="G4678" t="inlineStr">
        <is>
          <t>ÖRKELLJUNGA</t>
        </is>
      </c>
      <c r="I4678" t="n">
        <v>0.5</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30893-2024</t>
        </is>
      </c>
      <c r="B4679" t="inlineStr">
        <is>
          <t>avverkningsanmälan</t>
        </is>
      </c>
      <c r="C4679" t="inlineStr">
        <is>
          <t>Föryngringsavverkning</t>
        </is>
      </c>
      <c r="D4679" s="1" t="n">
        <v>45498</v>
      </c>
      <c r="E4679" s="1" t="n">
        <v>46312</v>
      </c>
      <c r="F4679" t="inlineStr">
        <is>
          <t>SKÅNE LÄN</t>
        </is>
      </c>
      <c r="G4679" t="inlineStr">
        <is>
          <t>KRISTIANSTAD</t>
        </is>
      </c>
      <c r="I4679" t="n">
        <v>1.9</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48921-2024</t>
        </is>
      </c>
      <c r="B4680" t="inlineStr">
        <is>
          <t>avverkningsanmälan</t>
        </is>
      </c>
      <c r="C4680" t="inlineStr">
        <is>
          <t>Föryngringsavverkning</t>
        </is>
      </c>
      <c r="D4680" s="1" t="n">
        <v>45594</v>
      </c>
      <c r="E4680" s="1" t="n">
        <v>46312</v>
      </c>
      <c r="F4680" t="inlineStr">
        <is>
          <t>SKÅNE LÄN</t>
        </is>
      </c>
      <c r="G4680" t="inlineStr">
        <is>
          <t>HÖÖR</t>
        </is>
      </c>
      <c r="I4680" t="n">
        <v>6.3</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7681-2025</t>
        </is>
      </c>
      <c r="B4681" t="inlineStr">
        <is>
          <t>avverkningsanmälan</t>
        </is>
      </c>
      <c r="C4681" t="inlineStr">
        <is>
          <t>Föryngringsavverkning</t>
        </is>
      </c>
      <c r="D4681" s="1" t="n">
        <v>45706</v>
      </c>
      <c r="E4681" s="1" t="n">
        <v>46312</v>
      </c>
      <c r="F4681" t="inlineStr">
        <is>
          <t>SKÅNE LÄN</t>
        </is>
      </c>
      <c r="G4681" t="inlineStr">
        <is>
          <t>HÄSSLEHOLM</t>
        </is>
      </c>
      <c r="I4681" t="n">
        <v>1.9</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24285-2025</t>
        </is>
      </c>
      <c r="B4682" t="inlineStr">
        <is>
          <t>avverkningsanmälan</t>
        </is>
      </c>
      <c r="C4682" t="inlineStr">
        <is>
          <t>Föryngringsavverkning</t>
        </is>
      </c>
      <c r="D4682" s="1" t="n">
        <v>45797</v>
      </c>
      <c r="E4682" s="1" t="n">
        <v>46312</v>
      </c>
      <c r="F4682" t="inlineStr">
        <is>
          <t>SKÅNE LÄN</t>
        </is>
      </c>
      <c r="G4682" t="inlineStr">
        <is>
          <t>ÖSTRA GÖINGE</t>
        </is>
      </c>
      <c r="H4682" t="inlineStr">
        <is>
          <t>Sveaskog</t>
        </is>
      </c>
      <c r="I4682" t="n">
        <v>0.5</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17760-2025</t>
        </is>
      </c>
      <c r="B4683" t="inlineStr">
        <is>
          <t>avverkningsanmälan</t>
        </is>
      </c>
      <c r="C4683" t="inlineStr">
        <is>
          <t>Föryngringsavverkning</t>
        </is>
      </c>
      <c r="D4683" s="1" t="n">
        <v>45758</v>
      </c>
      <c r="E4683" s="1" t="n">
        <v>46312</v>
      </c>
      <c r="F4683" t="inlineStr">
        <is>
          <t>SKÅNE LÄN</t>
        </is>
      </c>
      <c r="G4683" t="inlineStr">
        <is>
          <t>TOMELILLA</t>
        </is>
      </c>
      <c r="I4683" t="n">
        <v>3.7</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60789-2024</t>
        </is>
      </c>
      <c r="B4684" t="inlineStr">
        <is>
          <t>avverkningsanmälan</t>
        </is>
      </c>
      <c r="C4684" t="inlineStr">
        <is>
          <t>Föryngringsavverkning</t>
        </is>
      </c>
      <c r="D4684" s="1" t="n">
        <v>45644</v>
      </c>
      <c r="E4684" s="1" t="n">
        <v>46312</v>
      </c>
      <c r="F4684" t="inlineStr">
        <is>
          <t>SKÅNE LÄN</t>
        </is>
      </c>
      <c r="G4684" t="inlineStr">
        <is>
          <t>HÄSSLEHOLM</t>
        </is>
      </c>
      <c r="I4684" t="n">
        <v>3</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26073-2026</t>
        </is>
      </c>
      <c r="B4685" t="inlineStr">
        <is>
          <t>avverkningsanmälan</t>
        </is>
      </c>
      <c r="C4685" t="inlineStr">
        <is>
          <t>Föryngringsavverkning</t>
        </is>
      </c>
      <c r="D4685" s="1" t="n">
        <v>46181</v>
      </c>
      <c r="E4685" s="1" t="n">
        <v>46312</v>
      </c>
      <c r="F4685" t="inlineStr">
        <is>
          <t>SKÅNE LÄN</t>
        </is>
      </c>
      <c r="G4685" t="inlineStr">
        <is>
          <t>SVEDALA</t>
        </is>
      </c>
      <c r="I4685" t="n">
        <v>7.3</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42043-2026</t>
        </is>
      </c>
      <c r="B4686" t="inlineStr">
        <is>
          <t>avverkningsanmälan</t>
        </is>
      </c>
      <c r="C4686" t="inlineStr">
        <is>
          <t>Föryngringsavverkning</t>
        </is>
      </c>
      <c r="D4686" s="1" t="n">
        <v>46304</v>
      </c>
      <c r="E4686" s="1" t="n">
        <v>46312</v>
      </c>
      <c r="F4686" t="inlineStr">
        <is>
          <t>SKÅNE LÄN</t>
        </is>
      </c>
      <c r="G4686" t="inlineStr">
        <is>
          <t>HÄSSLEHOLM</t>
        </is>
      </c>
      <c r="I4686" t="n">
        <v>4.1</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35705-2026</t>
        </is>
      </c>
      <c r="B4687" t="inlineStr">
        <is>
          <t>avverkningsanmälan</t>
        </is>
      </c>
      <c r="C4687" t="inlineStr">
        <is>
          <t>Föryngringsavverkning</t>
        </is>
      </c>
      <c r="D4687" s="1" t="n">
        <v>46265</v>
      </c>
      <c r="E4687" s="1" t="n">
        <v>46312</v>
      </c>
      <c r="F4687" t="inlineStr">
        <is>
          <t>SKÅNE LÄN</t>
        </is>
      </c>
      <c r="G4687" t="inlineStr">
        <is>
          <t>OSBY</t>
        </is>
      </c>
      <c r="H4687" t="inlineStr">
        <is>
          <t>Sveaskog</t>
        </is>
      </c>
      <c r="I4687" t="n">
        <v>6</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41557-2022</t>
        </is>
      </c>
      <c r="B4688" t="inlineStr">
        <is>
          <t>avverkningsanmälan</t>
        </is>
      </c>
      <c r="C4688" t="inlineStr">
        <is>
          <t>Föryngringsavverkning</t>
        </is>
      </c>
      <c r="D4688" s="1" t="n">
        <v>44827</v>
      </c>
      <c r="E4688" s="1" t="n">
        <v>46312</v>
      </c>
      <c r="F4688" t="inlineStr">
        <is>
          <t>SKÅNE LÄN</t>
        </is>
      </c>
      <c r="G4688" t="inlineStr">
        <is>
          <t>OSBY</t>
        </is>
      </c>
      <c r="I4688" t="n">
        <v>1.5</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41879-2026</t>
        </is>
      </c>
      <c r="B4689" t="inlineStr">
        <is>
          <t>avverkningsanmälan</t>
        </is>
      </c>
      <c r="C4689" t="inlineStr">
        <is>
          <t>Föryngringsavverkning</t>
        </is>
      </c>
      <c r="D4689" s="1" t="n">
        <v>46303</v>
      </c>
      <c r="E4689" s="1" t="n">
        <v>46312</v>
      </c>
      <c r="F4689" t="inlineStr">
        <is>
          <t>SKÅNE LÄN</t>
        </is>
      </c>
      <c r="G4689" t="inlineStr">
        <is>
          <t>HÄSSLEHOLM</t>
        </is>
      </c>
      <c r="I4689" t="n">
        <v>7.5</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5252-2025</t>
        </is>
      </c>
      <c r="B4690" t="inlineStr">
        <is>
          <t>avverkningsanmälan</t>
        </is>
      </c>
      <c r="C4690" t="inlineStr">
        <is>
          <t>Föryngringsavverkning</t>
        </is>
      </c>
      <c r="D4690" s="1" t="n">
        <v>45692</v>
      </c>
      <c r="E4690" s="1" t="n">
        <v>46312</v>
      </c>
      <c r="F4690" t="inlineStr">
        <is>
          <t>SKÅNE LÄN</t>
        </is>
      </c>
      <c r="G4690" t="inlineStr">
        <is>
          <t>HÄSSLEHOLM</t>
        </is>
      </c>
      <c r="I4690" t="n">
        <v>2.1</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17321-2025</t>
        </is>
      </c>
      <c r="B4691" t="inlineStr">
        <is>
          <t>avverkningsanmälan</t>
        </is>
      </c>
      <c r="C4691" t="inlineStr">
        <is>
          <t>Föryngringsavverkning</t>
        </is>
      </c>
      <c r="D4691" s="1" t="n">
        <v>45756</v>
      </c>
      <c r="E4691" s="1" t="n">
        <v>46312</v>
      </c>
      <c r="F4691" t="inlineStr">
        <is>
          <t>SKÅNE LÄN</t>
        </is>
      </c>
      <c r="G4691" t="inlineStr">
        <is>
          <t>PERSTORP</t>
        </is>
      </c>
      <c r="I4691" t="n">
        <v>2.5</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41981-2026</t>
        </is>
      </c>
      <c r="B4692" t="inlineStr">
        <is>
          <t>avverkningsanmälan</t>
        </is>
      </c>
      <c r="C4692" t="inlineStr">
        <is>
          <t>Föryngringsavverkning</t>
        </is>
      </c>
      <c r="D4692" s="1" t="n">
        <v>46303</v>
      </c>
      <c r="E4692" s="1" t="n">
        <v>46312</v>
      </c>
      <c r="F4692" t="inlineStr">
        <is>
          <t>SKÅNE LÄN</t>
        </is>
      </c>
      <c r="G4692" t="inlineStr">
        <is>
          <t>OSBY</t>
        </is>
      </c>
      <c r="I4692" t="n">
        <v>1.7</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8208-2025</t>
        </is>
      </c>
      <c r="B4693" t="inlineStr">
        <is>
          <t>avverkningsanmälan</t>
        </is>
      </c>
      <c r="C4693" t="inlineStr">
        <is>
          <t>Föryngringsavverkning</t>
        </is>
      </c>
      <c r="D4693" s="1" t="n">
        <v>45708</v>
      </c>
      <c r="E4693" s="1" t="n">
        <v>46312</v>
      </c>
      <c r="F4693" t="inlineStr">
        <is>
          <t>SKÅNE LÄN</t>
        </is>
      </c>
      <c r="G4693" t="inlineStr">
        <is>
          <t>OSBY</t>
        </is>
      </c>
      <c r="I4693" t="n">
        <v>1.1</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5242-2025</t>
        </is>
      </c>
      <c r="B4694" t="inlineStr">
        <is>
          <t>avverkningsanmälan</t>
        </is>
      </c>
      <c r="C4694" t="inlineStr">
        <is>
          <t>Föryngringsavverkning</t>
        </is>
      </c>
      <c r="D4694" s="1" t="n">
        <v>45692</v>
      </c>
      <c r="E4694" s="1" t="n">
        <v>46312</v>
      </c>
      <c r="F4694" t="inlineStr">
        <is>
          <t>SKÅNE LÄN</t>
        </is>
      </c>
      <c r="G4694" t="inlineStr">
        <is>
          <t>HÄSSLEHOLM</t>
        </is>
      </c>
      <c r="I4694" t="n">
        <v>1.1</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6753-2025</t>
        </is>
      </c>
      <c r="B4695" t="inlineStr">
        <is>
          <t>avverkningsanmälan</t>
        </is>
      </c>
      <c r="C4695" t="inlineStr">
        <is>
          <t>Föryngringsavverkning</t>
        </is>
      </c>
      <c r="D4695" s="1" t="n">
        <v>45700</v>
      </c>
      <c r="E4695" s="1" t="n">
        <v>46312</v>
      </c>
      <c r="F4695" t="inlineStr">
        <is>
          <t>SKÅNE LÄN</t>
        </is>
      </c>
      <c r="G4695" t="inlineStr">
        <is>
          <t>ÖSTRA GÖINGE</t>
        </is>
      </c>
      <c r="I4695" t="n">
        <v>2.6</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24034-2025</t>
        </is>
      </c>
      <c r="B4696" t="inlineStr">
        <is>
          <t>avverkningsanmälan</t>
        </is>
      </c>
      <c r="C4696" t="inlineStr">
        <is>
          <t>Föryngringsavverkning</t>
        </is>
      </c>
      <c r="D4696" s="1" t="n">
        <v>45796</v>
      </c>
      <c r="E4696" s="1" t="n">
        <v>46312</v>
      </c>
      <c r="F4696" t="inlineStr">
        <is>
          <t>SKÅNE LÄN</t>
        </is>
      </c>
      <c r="G4696" t="inlineStr">
        <is>
          <t>HÄSSLEHOLM</t>
        </is>
      </c>
      <c r="I4696" t="n">
        <v>0.9</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48909-2024</t>
        </is>
      </c>
      <c r="B4697" t="inlineStr">
        <is>
          <t>avverkningsanmälan</t>
        </is>
      </c>
      <c r="C4697" t="inlineStr">
        <is>
          <t>Föryngringsavverkning</t>
        </is>
      </c>
      <c r="D4697" s="1" t="n">
        <v>45594</v>
      </c>
      <c r="E4697" s="1" t="n">
        <v>46312</v>
      </c>
      <c r="F4697" t="inlineStr">
        <is>
          <t>SKÅNE LÄN</t>
        </is>
      </c>
      <c r="G4697" t="inlineStr">
        <is>
          <t>HÖÖR</t>
        </is>
      </c>
      <c r="I4697" t="n">
        <v>28.4</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13959-2025</t>
        </is>
      </c>
      <c r="B4698" t="inlineStr">
        <is>
          <t>avverkningsanmälan</t>
        </is>
      </c>
      <c r="C4698" t="inlineStr">
        <is>
          <t>Föryngringsavverkning</t>
        </is>
      </c>
      <c r="D4698" s="1" t="n">
        <v>45737</v>
      </c>
      <c r="E4698" s="1" t="n">
        <v>46312</v>
      </c>
      <c r="F4698" t="inlineStr">
        <is>
          <t>SKÅNE LÄN</t>
        </is>
      </c>
      <c r="G4698" t="inlineStr">
        <is>
          <t>OSBY</t>
        </is>
      </c>
      <c r="I4698" t="n">
        <v>3.3</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35327-2026</t>
        </is>
      </c>
      <c r="B4699" t="inlineStr">
        <is>
          <t>avverkningsanmälan</t>
        </is>
      </c>
      <c r="C4699" t="inlineStr">
        <is>
          <t>Föryngringsavverkning</t>
        </is>
      </c>
      <c r="D4699" s="1" t="n">
        <v>46261</v>
      </c>
      <c r="E4699" s="1" t="n">
        <v>46312</v>
      </c>
      <c r="F4699" t="inlineStr">
        <is>
          <t>SKÅNE LÄN</t>
        </is>
      </c>
      <c r="G4699" t="inlineStr">
        <is>
          <t>KRISTIANSTAD</t>
        </is>
      </c>
      <c r="I4699" t="n">
        <v>1</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42173-2026</t>
        </is>
      </c>
      <c r="B4700" t="inlineStr">
        <is>
          <t>avverkningsanmälan</t>
        </is>
      </c>
      <c r="C4700" t="inlineStr">
        <is>
          <t>Föryngringsavverkning</t>
        </is>
      </c>
      <c r="D4700" s="1" t="n">
        <v>46304</v>
      </c>
      <c r="E4700" s="1" t="n">
        <v>46312</v>
      </c>
      <c r="F4700" t="inlineStr">
        <is>
          <t>SKÅNE LÄN</t>
        </is>
      </c>
      <c r="G4700" t="inlineStr">
        <is>
          <t>ÖSTRA GÖINGE</t>
        </is>
      </c>
      <c r="I4700" t="n">
        <v>1.4</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24250-2025</t>
        </is>
      </c>
      <c r="B4701" t="inlineStr">
        <is>
          <t>avverkningsanmälan</t>
        </is>
      </c>
      <c r="C4701" t="inlineStr">
        <is>
          <t>Föryngringsavverkning</t>
        </is>
      </c>
      <c r="D4701" s="1" t="n">
        <v>45797</v>
      </c>
      <c r="E4701" s="1" t="n">
        <v>46312</v>
      </c>
      <c r="F4701" t="inlineStr">
        <is>
          <t>SKÅNE LÄN</t>
        </is>
      </c>
      <c r="G4701" t="inlineStr">
        <is>
          <t>HÄSSLEHOLM</t>
        </is>
      </c>
      <c r="I4701" t="n">
        <v>2.3</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35937-2024</t>
        </is>
      </c>
      <c r="B4702" t="inlineStr">
        <is>
          <t>avverkningsanmälan</t>
        </is>
      </c>
      <c r="C4702" t="inlineStr">
        <is>
          <t>Föryngringsavverkning</t>
        </is>
      </c>
      <c r="D4702" s="1" t="n">
        <v>45533</v>
      </c>
      <c r="E4702" s="1" t="n">
        <v>46312</v>
      </c>
      <c r="F4702" t="inlineStr">
        <is>
          <t>SKÅNE LÄN</t>
        </is>
      </c>
      <c r="G4702" t="inlineStr">
        <is>
          <t>KRISTIANSTAD</t>
        </is>
      </c>
      <c r="I4702" t="n">
        <v>2.4</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24303-2025</t>
        </is>
      </c>
      <c r="B4703" t="inlineStr">
        <is>
          <t>avverkningsanmälan</t>
        </is>
      </c>
      <c r="C4703" t="inlineStr">
        <is>
          <t>Föryngringsavverkning</t>
        </is>
      </c>
      <c r="D4703" s="1" t="n">
        <v>45797</v>
      </c>
      <c r="E4703" s="1" t="n">
        <v>46312</v>
      </c>
      <c r="F4703" t="inlineStr">
        <is>
          <t>SKÅNE LÄN</t>
        </is>
      </c>
      <c r="G4703" t="inlineStr">
        <is>
          <t>KRISTIANSTAD</t>
        </is>
      </c>
      <c r="I4703" t="n">
        <v>1.4</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24039-2025</t>
        </is>
      </c>
      <c r="B4704" t="inlineStr">
        <is>
          <t>avverkningsanmälan</t>
        </is>
      </c>
      <c r="C4704" t="inlineStr">
        <is>
          <t>Föryngringsavverkning</t>
        </is>
      </c>
      <c r="D4704" s="1" t="n">
        <v>45796</v>
      </c>
      <c r="E4704" s="1" t="n">
        <v>46312</v>
      </c>
      <c r="F4704" t="inlineStr">
        <is>
          <t>SKÅNE LÄN</t>
        </is>
      </c>
      <c r="G4704" t="inlineStr">
        <is>
          <t>HÄSSLEHOLM</t>
        </is>
      </c>
      <c r="I4704" t="n">
        <v>0.6</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27402-2026</t>
        </is>
      </c>
      <c r="B4705" t="inlineStr">
        <is>
          <t>avverkningsanmälan</t>
        </is>
      </c>
      <c r="C4705" t="inlineStr">
        <is>
          <t>Föryngringsavverkning</t>
        </is>
      </c>
      <c r="D4705" s="1" t="n">
        <v>46189</v>
      </c>
      <c r="E4705" s="1" t="n">
        <v>46312</v>
      </c>
      <c r="F4705" t="inlineStr">
        <is>
          <t>SKÅNE LÄN</t>
        </is>
      </c>
      <c r="G4705" t="inlineStr">
        <is>
          <t>KRISTIANSTAD</t>
        </is>
      </c>
      <c r="I4705" t="n">
        <v>1.6</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24047-2025</t>
        </is>
      </c>
      <c r="B4706" t="inlineStr">
        <is>
          <t>avverkningsanmälan</t>
        </is>
      </c>
      <c r="C4706" t="inlineStr">
        <is>
          <t>Föryngringsavverkning</t>
        </is>
      </c>
      <c r="D4706" s="1" t="n">
        <v>45796</v>
      </c>
      <c r="E4706" s="1" t="n">
        <v>46312</v>
      </c>
      <c r="F4706" t="inlineStr">
        <is>
          <t>SKÅNE LÄN</t>
        </is>
      </c>
      <c r="G4706" t="inlineStr">
        <is>
          <t>HÄSSLEHOLM</t>
        </is>
      </c>
      <c r="I4706" t="n">
        <v>1.1</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45729-2024</t>
        </is>
      </c>
      <c r="B4707" t="inlineStr">
        <is>
          <t>avverkningsanmälan</t>
        </is>
      </c>
      <c r="C4707" t="inlineStr">
        <is>
          <t>Föryngringsavverkning</t>
        </is>
      </c>
      <c r="D4707" s="1" t="n">
        <v>45579</v>
      </c>
      <c r="E4707" s="1" t="n">
        <v>46312</v>
      </c>
      <c r="F4707" t="inlineStr">
        <is>
          <t>SKÅNE LÄN</t>
        </is>
      </c>
      <c r="G4707" t="inlineStr">
        <is>
          <t>TOMELILLA</t>
        </is>
      </c>
      <c r="I4707" t="n">
        <v>10.1</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55522-2024</t>
        </is>
      </c>
      <c r="B4708" t="inlineStr">
        <is>
          <t>avverkningsanmälan</t>
        </is>
      </c>
      <c r="C4708" t="inlineStr">
        <is>
          <t>Avverkning för annat ändamål</t>
        </is>
      </c>
      <c r="D4708" s="1" t="n">
        <v>45622</v>
      </c>
      <c r="E4708" s="1" t="n">
        <v>46312</v>
      </c>
      <c r="F4708" t="inlineStr">
        <is>
          <t>SKÅNE LÄN</t>
        </is>
      </c>
      <c r="G4708" t="inlineStr">
        <is>
          <t>HÄSSLEHOLM</t>
        </is>
      </c>
      <c r="I4708" t="n">
        <v>5.6</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32826-2024</t>
        </is>
      </c>
      <c r="B4709" t="inlineStr">
        <is>
          <t>avverkningsanmälan</t>
        </is>
      </c>
      <c r="C4709" t="inlineStr">
        <is>
          <t>Föryngringsavverkning</t>
        </is>
      </c>
      <c r="D4709" s="1" t="n">
        <v>45516</v>
      </c>
      <c r="E4709" s="1" t="n">
        <v>46312</v>
      </c>
      <c r="F4709" t="inlineStr">
        <is>
          <t>SKÅNE LÄN</t>
        </is>
      </c>
      <c r="G4709" t="inlineStr">
        <is>
          <t>HÄSSLEHOLM</t>
        </is>
      </c>
      <c r="I4709" t="n">
        <v>0.9</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25275-2026</t>
        </is>
      </c>
      <c r="B4710" t="inlineStr">
        <is>
          <t>avverkningsanmälan</t>
        </is>
      </c>
      <c r="C4710" t="inlineStr">
        <is>
          <t>Föryngringsavverkning</t>
        </is>
      </c>
      <c r="D4710" s="1" t="n">
        <v>46176</v>
      </c>
      <c r="E4710" s="1" t="n">
        <v>46312</v>
      </c>
      <c r="F4710" t="inlineStr">
        <is>
          <t>SKÅNE LÄN</t>
        </is>
      </c>
      <c r="G4710" t="inlineStr">
        <is>
          <t>SVEDALA</t>
        </is>
      </c>
      <c r="I4710" t="n">
        <v>2.9</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24513-2025</t>
        </is>
      </c>
      <c r="B4711" t="inlineStr">
        <is>
          <t>avverkningsanmälan</t>
        </is>
      </c>
      <c r="C4711" t="inlineStr">
        <is>
          <t>Föryngringsavverkning</t>
        </is>
      </c>
      <c r="D4711" s="1" t="n">
        <v>45798</v>
      </c>
      <c r="E4711" s="1" t="n">
        <v>46312</v>
      </c>
      <c r="F4711" t="inlineStr">
        <is>
          <t>SKÅNE LÄN</t>
        </is>
      </c>
      <c r="G4711" t="inlineStr">
        <is>
          <t>SVALÖV</t>
        </is>
      </c>
      <c r="I4711" t="n">
        <v>0.4</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35280-2026</t>
        </is>
      </c>
      <c r="B4712" t="inlineStr">
        <is>
          <t>avverkningsanmälan</t>
        </is>
      </c>
      <c r="C4712" t="inlineStr">
        <is>
          <t>Föryngringsavverkning</t>
        </is>
      </c>
      <c r="D4712" s="1" t="n">
        <v>46261</v>
      </c>
      <c r="E4712" s="1" t="n">
        <v>46312</v>
      </c>
      <c r="F4712" t="inlineStr">
        <is>
          <t>SKÅNE LÄN</t>
        </is>
      </c>
      <c r="G4712" t="inlineStr">
        <is>
          <t>HÄSSLEHOLM</t>
        </is>
      </c>
      <c r="I4712" t="n">
        <v>2.6</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32512-2024</t>
        </is>
      </c>
      <c r="B4713" t="inlineStr">
        <is>
          <t>avverkningsanmälan</t>
        </is>
      </c>
      <c r="C4713" t="inlineStr">
        <is>
          <t>Föryngringsavverkning</t>
        </is>
      </c>
      <c r="D4713" s="1" t="n">
        <v>45513</v>
      </c>
      <c r="E4713" s="1" t="n">
        <v>46312</v>
      </c>
      <c r="F4713" t="inlineStr">
        <is>
          <t>SKÅNE LÄN</t>
        </is>
      </c>
      <c r="G4713" t="inlineStr">
        <is>
          <t>HÄSSLEHOLM</t>
        </is>
      </c>
      <c r="I4713" t="n">
        <v>1.8</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31550-2026</t>
        </is>
      </c>
      <c r="B4714" t="inlineStr">
        <is>
          <t>avverkningsanmälan</t>
        </is>
      </c>
      <c r="C4714" t="inlineStr">
        <is>
          <t>Föryngringsavverkning</t>
        </is>
      </c>
      <c r="D4714" s="1" t="n">
        <v>46223</v>
      </c>
      <c r="E4714" s="1" t="n">
        <v>46312</v>
      </c>
      <c r="F4714" t="inlineStr">
        <is>
          <t>SKÅNE LÄN</t>
        </is>
      </c>
      <c r="G4714" t="inlineStr">
        <is>
          <t>BÅSTAD</t>
        </is>
      </c>
      <c r="I4714" t="n">
        <v>1.9</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44893-2024</t>
        </is>
      </c>
      <c r="B4715" t="inlineStr">
        <is>
          <t>avverkningsanmälan</t>
        </is>
      </c>
      <c r="C4715" t="inlineStr">
        <is>
          <t>Föryngringsavverkning</t>
        </is>
      </c>
      <c r="D4715" s="1" t="n">
        <v>45575</v>
      </c>
      <c r="E4715" s="1" t="n">
        <v>46312</v>
      </c>
      <c r="F4715" t="inlineStr">
        <is>
          <t>SKÅNE LÄN</t>
        </is>
      </c>
      <c r="G4715" t="inlineStr">
        <is>
          <t>SJÖBO</t>
        </is>
      </c>
      <c r="I4715" t="n">
        <v>1.4</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26080-2026</t>
        </is>
      </c>
      <c r="B4716" t="inlineStr">
        <is>
          <t>avverkningsanmälan</t>
        </is>
      </c>
      <c r="C4716" t="inlineStr">
        <is>
          <t>Föryngringsavverkning</t>
        </is>
      </c>
      <c r="D4716" s="1" t="n">
        <v>46181</v>
      </c>
      <c r="E4716" s="1" t="n">
        <v>46312</v>
      </c>
      <c r="F4716" t="inlineStr">
        <is>
          <t>SKÅNE LÄN</t>
        </is>
      </c>
      <c r="G4716" t="inlineStr">
        <is>
          <t>SVEDALA</t>
        </is>
      </c>
      <c r="I4716" t="n">
        <v>3.4</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8838-2024</t>
        </is>
      </c>
      <c r="B4717" t="inlineStr">
        <is>
          <t>avverkningsanmälan</t>
        </is>
      </c>
      <c r="C4717" t="inlineStr">
        <is>
          <t>Föryngringsavverkning</t>
        </is>
      </c>
      <c r="D4717" s="1" t="n">
        <v>45356</v>
      </c>
      <c r="E4717" s="1" t="n">
        <v>46312</v>
      </c>
      <c r="F4717" t="inlineStr">
        <is>
          <t>SKÅNE LÄN</t>
        </is>
      </c>
      <c r="G4717" t="inlineStr">
        <is>
          <t>OSBY</t>
        </is>
      </c>
      <c r="I4717" t="n">
        <v>1</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38787-2024</t>
        </is>
      </c>
      <c r="B4718" t="inlineStr">
        <is>
          <t>avverkningsanmälan</t>
        </is>
      </c>
      <c r="C4718" t="inlineStr">
        <is>
          <t>Föryngringsavverkning</t>
        </is>
      </c>
      <c r="D4718" s="1" t="n">
        <v>45547</v>
      </c>
      <c r="E4718" s="1" t="n">
        <v>46312</v>
      </c>
      <c r="F4718" t="inlineStr">
        <is>
          <t>SKÅNE LÄN</t>
        </is>
      </c>
      <c r="G4718" t="inlineStr">
        <is>
          <t>TOMELILLA</t>
        </is>
      </c>
      <c r="I4718" t="n">
        <v>1.1</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10562-2025</t>
        </is>
      </c>
      <c r="B4719" t="inlineStr">
        <is>
          <t>avverkningsanmälan</t>
        </is>
      </c>
      <c r="C4719" t="inlineStr">
        <is>
          <t>Föryngringsavverkning</t>
        </is>
      </c>
      <c r="D4719" s="1" t="n">
        <v>45721</v>
      </c>
      <c r="E4719" s="1" t="n">
        <v>46312</v>
      </c>
      <c r="F4719" t="inlineStr">
        <is>
          <t>SKÅNE LÄN</t>
        </is>
      </c>
      <c r="G4719" t="inlineStr">
        <is>
          <t>HÄSSLEHOLM</t>
        </is>
      </c>
      <c r="I4719" t="n">
        <v>1.4</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30514-2026</t>
        </is>
      </c>
      <c r="B4720" t="inlineStr">
        <is>
          <t>avverkningsanmälan</t>
        </is>
      </c>
      <c r="C4720" t="inlineStr">
        <is>
          <t>Föryngringsavverkning</t>
        </is>
      </c>
      <c r="D4720" s="1" t="n">
        <v>46210</v>
      </c>
      <c r="E4720" s="1" t="n">
        <v>46312</v>
      </c>
      <c r="F4720" t="inlineStr">
        <is>
          <t>SKÅNE LÄN</t>
        </is>
      </c>
      <c r="G4720" t="inlineStr">
        <is>
          <t>KLIPPAN</t>
        </is>
      </c>
      <c r="H4720" t="inlineStr">
        <is>
          <t>Övriga Aktiebolag</t>
        </is>
      </c>
      <c r="I4720" t="n">
        <v>6.8</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16665-2025</t>
        </is>
      </c>
      <c r="B4721" t="inlineStr">
        <is>
          <t>avverkningsanmälan</t>
        </is>
      </c>
      <c r="C4721" t="inlineStr">
        <is>
          <t>Föryngringsavverkning</t>
        </is>
      </c>
      <c r="D4721" s="1" t="n">
        <v>45754</v>
      </c>
      <c r="E4721" s="1" t="n">
        <v>46312</v>
      </c>
      <c r="F4721" t="inlineStr">
        <is>
          <t>SKÅNE LÄN</t>
        </is>
      </c>
      <c r="G4721" t="inlineStr">
        <is>
          <t>HÖRBY</t>
        </is>
      </c>
      <c r="I4721" t="n">
        <v>2.4</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24798-2025</t>
        </is>
      </c>
      <c r="B4722" t="inlineStr">
        <is>
          <t>avverkningsanmälan</t>
        </is>
      </c>
      <c r="C4722" t="inlineStr">
        <is>
          <t>Föryngringsavverkning</t>
        </is>
      </c>
      <c r="D4722" s="1" t="n">
        <v>45799</v>
      </c>
      <c r="E4722" s="1" t="n">
        <v>46312</v>
      </c>
      <c r="F4722" t="inlineStr">
        <is>
          <t>SKÅNE LÄN</t>
        </is>
      </c>
      <c r="G4722" t="inlineStr">
        <is>
          <t>KRISTIANSTAD</t>
        </is>
      </c>
      <c r="H4722" t="inlineStr">
        <is>
          <t>Övriga Aktiebolag</t>
        </is>
      </c>
      <c r="I4722" t="n">
        <v>10.1</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42380-2026</t>
        </is>
      </c>
      <c r="B4723" t="inlineStr">
        <is>
          <t>avverkningsanmälan</t>
        </is>
      </c>
      <c r="C4723" t="inlineStr">
        <is>
          <t>Föryngringsavverkning</t>
        </is>
      </c>
      <c r="D4723" s="1" t="n">
        <v>46307</v>
      </c>
      <c r="E4723" s="1" t="n">
        <v>46312</v>
      </c>
      <c r="F4723" t="inlineStr">
        <is>
          <t>SKÅNE LÄN</t>
        </is>
      </c>
      <c r="G4723" t="inlineStr">
        <is>
          <t>ÖSTRA GÖINGE</t>
        </is>
      </c>
      <c r="I4723" t="n">
        <v>3.8</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52281-2024</t>
        </is>
      </c>
      <c r="B4724" t="inlineStr">
        <is>
          <t>avverkningsanmälan</t>
        </is>
      </c>
      <c r="C4724" t="inlineStr">
        <is>
          <t>Föryngringsavverkning</t>
        </is>
      </c>
      <c r="D4724" s="1" t="n">
        <v>45608</v>
      </c>
      <c r="E4724" s="1" t="n">
        <v>46312</v>
      </c>
      <c r="F4724" t="inlineStr">
        <is>
          <t>SKÅNE LÄN</t>
        </is>
      </c>
      <c r="G4724" t="inlineStr">
        <is>
          <t>HÖÖR</t>
        </is>
      </c>
      <c r="I4724" t="n">
        <v>12.3</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9399-2025</t>
        </is>
      </c>
      <c r="B4725" t="inlineStr">
        <is>
          <t>avverkningsanmälan</t>
        </is>
      </c>
      <c r="C4725" t="inlineStr">
        <is>
          <t>Föryngringsavverkning</t>
        </is>
      </c>
      <c r="D4725" s="1" t="n">
        <v>45715</v>
      </c>
      <c r="E4725" s="1" t="n">
        <v>46312</v>
      </c>
      <c r="F4725" t="inlineStr">
        <is>
          <t>SKÅNE LÄN</t>
        </is>
      </c>
      <c r="G4725" t="inlineStr">
        <is>
          <t>HÄSSLEHOLM</t>
        </is>
      </c>
      <c r="I4725" t="n">
        <v>5.2</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8859-2025</t>
        </is>
      </c>
      <c r="B4726" t="inlineStr">
        <is>
          <t>avverkningsanmälan</t>
        </is>
      </c>
      <c r="C4726" t="inlineStr">
        <is>
          <t>Föryngringsavverkning</t>
        </is>
      </c>
      <c r="D4726" s="1" t="n">
        <v>45713</v>
      </c>
      <c r="E4726" s="1" t="n">
        <v>46312</v>
      </c>
      <c r="F4726" t="inlineStr">
        <is>
          <t>SKÅNE LÄN</t>
        </is>
      </c>
      <c r="G4726" t="inlineStr">
        <is>
          <t>SJÖBO</t>
        </is>
      </c>
      <c r="I4726" t="n">
        <v>1</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44228-2024</t>
        </is>
      </c>
      <c r="B4727" t="inlineStr">
        <is>
          <t>avverkningsanmälan</t>
        </is>
      </c>
      <c r="C4727" t="inlineStr">
        <is>
          <t>Föryngringsavverkning</t>
        </is>
      </c>
      <c r="D4727" s="1" t="n">
        <v>45573</v>
      </c>
      <c r="E4727" s="1" t="n">
        <v>46312</v>
      </c>
      <c r="F4727" t="inlineStr">
        <is>
          <t>SKÅNE LÄN</t>
        </is>
      </c>
      <c r="G4727" t="inlineStr">
        <is>
          <t>KLIPPAN</t>
        </is>
      </c>
      <c r="I4727" t="n">
        <v>1.4</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49989-2024</t>
        </is>
      </c>
      <c r="B4728" t="inlineStr">
        <is>
          <t>avverkningsanmälan</t>
        </is>
      </c>
      <c r="C4728" t="inlineStr">
        <is>
          <t>Föryngringsavverkning</t>
        </is>
      </c>
      <c r="D4728" s="1" t="n">
        <v>45597</v>
      </c>
      <c r="E4728" s="1" t="n">
        <v>46312</v>
      </c>
      <c r="F4728" t="inlineStr">
        <is>
          <t>SKÅNE LÄN</t>
        </is>
      </c>
      <c r="G4728" t="inlineStr">
        <is>
          <t>KLIPPAN</t>
        </is>
      </c>
      <c r="I4728" t="n">
        <v>6.1</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43711-2024</t>
        </is>
      </c>
      <c r="B4729" t="inlineStr">
        <is>
          <t>avverkningsanmälan</t>
        </is>
      </c>
      <c r="C4729" t="inlineStr">
        <is>
          <t>Avverkning för annat ändamål</t>
        </is>
      </c>
      <c r="D4729" s="1" t="n">
        <v>45569</v>
      </c>
      <c r="E4729" s="1" t="n">
        <v>46312</v>
      </c>
      <c r="F4729" t="inlineStr">
        <is>
          <t>SKÅNE LÄN</t>
        </is>
      </c>
      <c r="G4729" t="inlineStr">
        <is>
          <t>HÖRBY</t>
        </is>
      </c>
      <c r="I4729" t="n">
        <v>3.4</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42281-2026</t>
        </is>
      </c>
      <c r="B4730" t="inlineStr">
        <is>
          <t>avverkningsanmälan</t>
        </is>
      </c>
      <c r="C4730" t="inlineStr">
        <is>
          <t>Föryngringsavverkning</t>
        </is>
      </c>
      <c r="D4730" s="1" t="n">
        <v>46307</v>
      </c>
      <c r="E4730" s="1" t="n">
        <v>46312</v>
      </c>
      <c r="F4730" t="inlineStr">
        <is>
          <t>SKÅNE LÄN</t>
        </is>
      </c>
      <c r="G4730" t="inlineStr">
        <is>
          <t>SJÖBO</t>
        </is>
      </c>
      <c r="I4730" t="n">
        <v>0.6</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25703-2025</t>
        </is>
      </c>
      <c r="B4731" t="inlineStr">
        <is>
          <t>avverkningsanmälan</t>
        </is>
      </c>
      <c r="C4731" t="inlineStr">
        <is>
          <t>Föryngringsavverkning</t>
        </is>
      </c>
      <c r="D4731" s="1" t="n">
        <v>45803</v>
      </c>
      <c r="E4731" s="1" t="n">
        <v>46312</v>
      </c>
      <c r="F4731" t="inlineStr">
        <is>
          <t>SKÅNE LÄN</t>
        </is>
      </c>
      <c r="G4731" t="inlineStr">
        <is>
          <t>OSBY</t>
        </is>
      </c>
      <c r="I4731" t="n">
        <v>1.9</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61703-2024</t>
        </is>
      </c>
      <c r="B4732" t="inlineStr">
        <is>
          <t>avverkningsanmälan</t>
        </is>
      </c>
      <c r="C4732" t="inlineStr">
        <is>
          <t>Föryngringsavverkning</t>
        </is>
      </c>
      <c r="D4732" s="1" t="n">
        <v>45648</v>
      </c>
      <c r="E4732" s="1" t="n">
        <v>46312</v>
      </c>
      <c r="F4732" t="inlineStr">
        <is>
          <t>SKÅNE LÄN</t>
        </is>
      </c>
      <c r="G4732" t="inlineStr">
        <is>
          <t>KRISTIANSTAD</t>
        </is>
      </c>
      <c r="I4732" t="n">
        <v>2.3</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25433-2025</t>
        </is>
      </c>
      <c r="B4733" t="inlineStr">
        <is>
          <t>avverkningsanmälan</t>
        </is>
      </c>
      <c r="C4733" t="inlineStr">
        <is>
          <t>Föryngringsavverkning</t>
        </is>
      </c>
      <c r="D4733" s="1" t="n">
        <v>45800</v>
      </c>
      <c r="E4733" s="1" t="n">
        <v>46312</v>
      </c>
      <c r="F4733" t="inlineStr">
        <is>
          <t>SKÅNE LÄN</t>
        </is>
      </c>
      <c r="G4733" t="inlineStr">
        <is>
          <t>KRISTIANSTAD</t>
        </is>
      </c>
      <c r="I4733" t="n">
        <v>2.4</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32267-2026</t>
        </is>
      </c>
      <c r="B4734" t="inlineStr">
        <is>
          <t>avverkningsanmälan</t>
        </is>
      </c>
      <c r="C4734" t="inlineStr">
        <is>
          <t>Föryngringsavverkning</t>
        </is>
      </c>
      <c r="D4734" s="1" t="n">
        <v>46237</v>
      </c>
      <c r="E4734" s="1" t="n">
        <v>46312</v>
      </c>
      <c r="F4734" t="inlineStr">
        <is>
          <t>SKÅNE LÄN</t>
        </is>
      </c>
      <c r="G4734" t="inlineStr">
        <is>
          <t>HÄSSLEHOLM</t>
        </is>
      </c>
      <c r="I4734" t="n">
        <v>7.3</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259-2024</t>
        </is>
      </c>
      <c r="B4735" t="inlineStr">
        <is>
          <t>avverkningsanmälan</t>
        </is>
      </c>
      <c r="C4735" t="inlineStr">
        <is>
          <t>Föryngringsavverkning</t>
        </is>
      </c>
      <c r="D4735" s="1" t="n">
        <v>45294</v>
      </c>
      <c r="E4735" s="1" t="n">
        <v>46312</v>
      </c>
      <c r="F4735" t="inlineStr">
        <is>
          <t>SKÅNE LÄN</t>
        </is>
      </c>
      <c r="G4735" t="inlineStr">
        <is>
          <t>HÄSSLEHOLM</t>
        </is>
      </c>
      <c r="I4735" t="n">
        <v>8</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29659-2024</t>
        </is>
      </c>
      <c r="B4736" t="inlineStr">
        <is>
          <t>avverkningsanmälan</t>
        </is>
      </c>
      <c r="C4736" t="inlineStr">
        <is>
          <t>Föryngringsavverkning</t>
        </is>
      </c>
      <c r="D4736" s="1" t="n">
        <v>45484</v>
      </c>
      <c r="E4736" s="1" t="n">
        <v>46312</v>
      </c>
      <c r="F4736" t="inlineStr">
        <is>
          <t>SKÅNE LÄN</t>
        </is>
      </c>
      <c r="G4736" t="inlineStr">
        <is>
          <t>HÄSSLEHOLM</t>
        </is>
      </c>
      <c r="I4736" t="n">
        <v>0.7</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25589-2025</t>
        </is>
      </c>
      <c r="B4737" t="inlineStr">
        <is>
          <t>avverkningsanmälan</t>
        </is>
      </c>
      <c r="C4737" t="inlineStr">
        <is>
          <t>Föryngringsavverkning</t>
        </is>
      </c>
      <c r="D4737" s="1" t="n">
        <v>45803</v>
      </c>
      <c r="E4737" s="1" t="n">
        <v>46312</v>
      </c>
      <c r="F4737" t="inlineStr">
        <is>
          <t>SKÅNE LÄN</t>
        </is>
      </c>
      <c r="G4737" t="inlineStr">
        <is>
          <t>ÖRKELLJUNGA</t>
        </is>
      </c>
      <c r="I4737" t="n">
        <v>0.5</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27837-2024</t>
        </is>
      </c>
      <c r="B4738" t="inlineStr">
        <is>
          <t>avverkningsanmälan</t>
        </is>
      </c>
      <c r="C4738" t="inlineStr">
        <is>
          <t>Föryngringsavverkning</t>
        </is>
      </c>
      <c r="D4738" s="1" t="n">
        <v>45475</v>
      </c>
      <c r="E4738" s="1" t="n">
        <v>46312</v>
      </c>
      <c r="F4738" t="inlineStr">
        <is>
          <t>SKÅNE LÄN</t>
        </is>
      </c>
      <c r="G4738" t="inlineStr">
        <is>
          <t>HÄSSLEHOLM</t>
        </is>
      </c>
      <c r="H4738" t="inlineStr">
        <is>
          <t>Kommuner</t>
        </is>
      </c>
      <c r="I4738" t="n">
        <v>2.3</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69394-2021</t>
        </is>
      </c>
      <c r="B4739" t="inlineStr">
        <is>
          <t>avverkningsanmälan</t>
        </is>
      </c>
      <c r="C4739" t="inlineStr">
        <is>
          <t>Föryngringsavverkning</t>
        </is>
      </c>
      <c r="D4739" s="1" t="n">
        <v>44531</v>
      </c>
      <c r="E4739" s="1" t="n">
        <v>46312</v>
      </c>
      <c r="F4739" t="inlineStr">
        <is>
          <t>SKÅNE LÄN</t>
        </is>
      </c>
      <c r="G4739" t="inlineStr">
        <is>
          <t>KLIPPAN</t>
        </is>
      </c>
      <c r="H4739" t="inlineStr">
        <is>
          <t>Övriga Aktiebolag</t>
        </is>
      </c>
      <c r="I4739" t="n">
        <v>5.7</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745-2024</t>
        </is>
      </c>
      <c r="B4740" t="inlineStr">
        <is>
          <t>avverkningsanmälan</t>
        </is>
      </c>
      <c r="C4740" t="inlineStr">
        <is>
          <t>Föryngringsavverkning</t>
        </is>
      </c>
      <c r="D4740" s="1" t="n">
        <v>45300</v>
      </c>
      <c r="E4740" s="1" t="n">
        <v>46312</v>
      </c>
      <c r="F4740" t="inlineStr">
        <is>
          <t>SKÅNE LÄN</t>
        </is>
      </c>
      <c r="G4740" t="inlineStr">
        <is>
          <t>BROMÖLLA</t>
        </is>
      </c>
      <c r="I4740" t="n">
        <v>1.5</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1679-2022</t>
        </is>
      </c>
      <c r="B4741" t="inlineStr">
        <is>
          <t>avverkningsanmälan</t>
        </is>
      </c>
      <c r="C4741" t="inlineStr">
        <is>
          <t>Föryngringsavverkning</t>
        </is>
      </c>
      <c r="D4741" s="1" t="n">
        <v>44573</v>
      </c>
      <c r="E4741" s="1" t="n">
        <v>46312</v>
      </c>
      <c r="F4741" t="inlineStr">
        <is>
          <t>SKÅNE LÄN</t>
        </is>
      </c>
      <c r="G4741" t="inlineStr">
        <is>
          <t>HÄSSLEHOLM</t>
        </is>
      </c>
      <c r="H4741" t="inlineStr">
        <is>
          <t>Kyrkan</t>
        </is>
      </c>
      <c r="I4741" t="n">
        <v>4.3</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16792-2024</t>
        </is>
      </c>
      <c r="B4742" t="inlineStr">
        <is>
          <t>avverkningsanmälan</t>
        </is>
      </c>
      <c r="C4742" t="inlineStr">
        <is>
          <t>Föryngringsavverkning</t>
        </is>
      </c>
      <c r="D4742" s="1" t="n">
        <v>45411</v>
      </c>
      <c r="E4742" s="1" t="n">
        <v>46312</v>
      </c>
      <c r="F4742" t="inlineStr">
        <is>
          <t>SKÅNE LÄN</t>
        </is>
      </c>
      <c r="G4742" t="inlineStr">
        <is>
          <t>ESLÖV</t>
        </is>
      </c>
      <c r="I4742" t="n">
        <v>0.9</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41517-2026</t>
        </is>
      </c>
      <c r="B4743" t="inlineStr">
        <is>
          <t>avverkningsanmälan</t>
        </is>
      </c>
      <c r="C4743" t="inlineStr">
        <is>
          <t>Föryngringsavverkning</t>
        </is>
      </c>
      <c r="D4743" s="1" t="n">
        <v>46301</v>
      </c>
      <c r="E4743" s="1" t="n">
        <v>46312</v>
      </c>
      <c r="F4743" t="inlineStr">
        <is>
          <t>SKÅNE LÄN</t>
        </is>
      </c>
      <c r="G4743" t="inlineStr">
        <is>
          <t>ÄNGELHOLM</t>
        </is>
      </c>
      <c r="I4743" t="n">
        <v>0.6</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36001-2026</t>
        </is>
      </c>
      <c r="B4744" t="inlineStr">
        <is>
          <t>avverkningsanmälan</t>
        </is>
      </c>
      <c r="C4744" t="inlineStr">
        <is>
          <t>Föryngringsavverkning</t>
        </is>
      </c>
      <c r="D4744" s="1" t="n">
        <v>46266</v>
      </c>
      <c r="E4744" s="1" t="n">
        <v>46312</v>
      </c>
      <c r="F4744" t="inlineStr">
        <is>
          <t>SKÅNE LÄN</t>
        </is>
      </c>
      <c r="G4744" t="inlineStr">
        <is>
          <t>ÄNGELHOLM</t>
        </is>
      </c>
      <c r="I4744" t="n">
        <v>0.8</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26988-2024</t>
        </is>
      </c>
      <c r="B4745" t="inlineStr">
        <is>
          <t>avverkningsanmälan</t>
        </is>
      </c>
      <c r="C4745" t="inlineStr">
        <is>
          <t>Föryngringsavverkning</t>
        </is>
      </c>
      <c r="D4745" s="1" t="n">
        <v>45471</v>
      </c>
      <c r="E4745" s="1" t="n">
        <v>46312</v>
      </c>
      <c r="F4745" t="inlineStr">
        <is>
          <t>SKÅNE LÄN</t>
        </is>
      </c>
      <c r="G4745" t="inlineStr">
        <is>
          <t>OSBY</t>
        </is>
      </c>
      <c r="I4745" t="n">
        <v>0.8</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42448-2026</t>
        </is>
      </c>
      <c r="B4746" t="inlineStr">
        <is>
          <t>avverkningsanmälan</t>
        </is>
      </c>
      <c r="C4746" t="inlineStr">
        <is>
          <t>Föryngringsavverkning</t>
        </is>
      </c>
      <c r="D4746" s="1" t="n">
        <v>46308</v>
      </c>
      <c r="E4746" s="1" t="n">
        <v>46312</v>
      </c>
      <c r="F4746" t="inlineStr">
        <is>
          <t>SKÅNE LÄN</t>
        </is>
      </c>
      <c r="G4746" t="inlineStr">
        <is>
          <t>ÖSTRA GÖINGE</t>
        </is>
      </c>
      <c r="I4746" t="n">
        <v>9.5</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40035-2024</t>
        </is>
      </c>
      <c r="B4747" t="inlineStr">
        <is>
          <t>avverkningsanmälan</t>
        </is>
      </c>
      <c r="C4747" t="inlineStr">
        <is>
          <t>Föryngringsavverkning</t>
        </is>
      </c>
      <c r="D4747" s="1" t="n">
        <v>45553</v>
      </c>
      <c r="E4747" s="1" t="n">
        <v>46312</v>
      </c>
      <c r="F4747" t="inlineStr">
        <is>
          <t>SKÅNE LÄN</t>
        </is>
      </c>
      <c r="G4747" t="inlineStr">
        <is>
          <t>OSBY</t>
        </is>
      </c>
      <c r="H4747" t="inlineStr">
        <is>
          <t>Kommuner</t>
        </is>
      </c>
      <c r="I4747" t="n">
        <v>2.1</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1660-2025</t>
        </is>
      </c>
      <c r="B4748" t="inlineStr">
        <is>
          <t>avverkningsanmälan</t>
        </is>
      </c>
      <c r="C4748" t="inlineStr">
        <is>
          <t>Föryngringsavverkning</t>
        </is>
      </c>
      <c r="D4748" s="1" t="n">
        <v>45670</v>
      </c>
      <c r="E4748" s="1" t="n">
        <v>46312</v>
      </c>
      <c r="F4748" t="inlineStr">
        <is>
          <t>SKÅNE LÄN</t>
        </is>
      </c>
      <c r="G4748" t="inlineStr">
        <is>
          <t>KRISTIANSTAD</t>
        </is>
      </c>
      <c r="I4748" t="n">
        <v>1.5</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51565-2023</t>
        </is>
      </c>
      <c r="B4749" t="inlineStr">
        <is>
          <t>avverkningsanmälan</t>
        </is>
      </c>
      <c r="C4749" t="inlineStr">
        <is>
          <t>Föryngringsavverkning</t>
        </is>
      </c>
      <c r="D4749" s="1" t="n">
        <v>45222</v>
      </c>
      <c r="E4749" s="1" t="n">
        <v>46312</v>
      </c>
      <c r="F4749" t="inlineStr">
        <is>
          <t>SKÅNE LÄN</t>
        </is>
      </c>
      <c r="G4749" t="inlineStr">
        <is>
          <t>HÄSSLEHOLM</t>
        </is>
      </c>
      <c r="I4749" t="n">
        <v>2.1</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27310-2023</t>
        </is>
      </c>
      <c r="B4750" t="inlineStr">
        <is>
          <t>avverkningsanmälan</t>
        </is>
      </c>
      <c r="C4750" t="inlineStr">
        <is>
          <t>Föryngringsavverkning</t>
        </is>
      </c>
      <c r="D4750" s="1" t="n">
        <v>45096</v>
      </c>
      <c r="E4750" s="1" t="n">
        <v>46312</v>
      </c>
      <c r="F4750" t="inlineStr">
        <is>
          <t>SKÅNE LÄN</t>
        </is>
      </c>
      <c r="G4750" t="inlineStr">
        <is>
          <t>SVALÖV</t>
        </is>
      </c>
      <c r="I4750" t="n">
        <v>2.5</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60425-2022</t>
        </is>
      </c>
      <c r="B4751" t="inlineStr">
        <is>
          <t>avverkningsanmälan</t>
        </is>
      </c>
      <c r="C4751" t="inlineStr">
        <is>
          <t>Avverkning för annat ändamål</t>
        </is>
      </c>
      <c r="D4751" s="1" t="n">
        <v>44911</v>
      </c>
      <c r="E4751" s="1" t="n">
        <v>46312</v>
      </c>
      <c r="F4751" t="inlineStr">
        <is>
          <t>SKÅNE LÄN</t>
        </is>
      </c>
      <c r="G4751" t="inlineStr">
        <is>
          <t>HÖÖR</t>
        </is>
      </c>
      <c r="I4751" t="n">
        <v>1.6</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23484-2025</t>
        </is>
      </c>
      <c r="B4752" t="inlineStr">
        <is>
          <t>avverkningsanmälan</t>
        </is>
      </c>
      <c r="C4752" t="inlineStr">
        <is>
          <t>Föryngringsavverkning</t>
        </is>
      </c>
      <c r="D4752" s="1" t="n">
        <v>45792</v>
      </c>
      <c r="E4752" s="1" t="n">
        <v>46312</v>
      </c>
      <c r="F4752" t="inlineStr">
        <is>
          <t>SKÅNE LÄN</t>
        </is>
      </c>
      <c r="G4752" t="inlineStr">
        <is>
          <t>HÖRBY</t>
        </is>
      </c>
      <c r="I4752" t="n">
        <v>3.5</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39944-2024</t>
        </is>
      </c>
      <c r="B4753" t="inlineStr">
        <is>
          <t>avverkningsanmälan</t>
        </is>
      </c>
      <c r="C4753" t="inlineStr">
        <is>
          <t>Föryngringsavverkning</t>
        </is>
      </c>
      <c r="D4753" s="1" t="n">
        <v>45553</v>
      </c>
      <c r="E4753" s="1" t="n">
        <v>46312</v>
      </c>
      <c r="F4753" t="inlineStr">
        <is>
          <t>SKÅNE LÄN</t>
        </is>
      </c>
      <c r="G4753" t="inlineStr">
        <is>
          <t>KRISTIANSTAD</t>
        </is>
      </c>
      <c r="I4753" t="n">
        <v>1.1</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42534-2026</t>
        </is>
      </c>
      <c r="B4754" t="inlineStr">
        <is>
          <t>avverkningsanmälan</t>
        </is>
      </c>
      <c r="C4754" t="inlineStr">
        <is>
          <t>Föryngringsavverkning</t>
        </is>
      </c>
      <c r="D4754" s="1" t="n">
        <v>46308</v>
      </c>
      <c r="E4754" s="1" t="n">
        <v>46312</v>
      </c>
      <c r="F4754" t="inlineStr">
        <is>
          <t>SKÅNE LÄN</t>
        </is>
      </c>
      <c r="G4754" t="inlineStr">
        <is>
          <t>PERSTORP</t>
        </is>
      </c>
      <c r="I4754" t="n">
        <v>2.3</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42450-2026</t>
        </is>
      </c>
      <c r="B4755" t="inlineStr">
        <is>
          <t>avverkningsanmälan</t>
        </is>
      </c>
      <c r="C4755" t="inlineStr">
        <is>
          <t>Föryngringsavverkning</t>
        </is>
      </c>
      <c r="D4755" s="1" t="n">
        <v>46308</v>
      </c>
      <c r="E4755" s="1" t="n">
        <v>46312</v>
      </c>
      <c r="F4755" t="inlineStr">
        <is>
          <t>SKÅNE LÄN</t>
        </is>
      </c>
      <c r="G4755" t="inlineStr">
        <is>
          <t>KRISTIANSTAD</t>
        </is>
      </c>
      <c r="I4755" t="n">
        <v>1</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35899-2026</t>
        </is>
      </c>
      <c r="B4756" t="inlineStr">
        <is>
          <t>avverkningsanmälan</t>
        </is>
      </c>
      <c r="C4756" t="inlineStr">
        <is>
          <t>Föryngringsavverkning</t>
        </is>
      </c>
      <c r="D4756" s="1" t="n">
        <v>46266</v>
      </c>
      <c r="E4756" s="1" t="n">
        <v>46312</v>
      </c>
      <c r="F4756" t="inlineStr">
        <is>
          <t>SKÅNE LÄN</t>
        </is>
      </c>
      <c r="G4756" t="inlineStr">
        <is>
          <t>SIMRISHAMN</t>
        </is>
      </c>
      <c r="I4756" t="n">
        <v>1.6</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35959-2026</t>
        </is>
      </c>
      <c r="B4757" t="inlineStr">
        <is>
          <t>avverkningsanmälan</t>
        </is>
      </c>
      <c r="C4757" t="inlineStr">
        <is>
          <t>Föryngringsavverkning</t>
        </is>
      </c>
      <c r="D4757" s="1" t="n">
        <v>46266</v>
      </c>
      <c r="E4757" s="1" t="n">
        <v>46312</v>
      </c>
      <c r="F4757" t="inlineStr">
        <is>
          <t>SKÅNE LÄN</t>
        </is>
      </c>
      <c r="G4757" t="inlineStr">
        <is>
          <t>OSBY</t>
        </is>
      </c>
      <c r="I4757" t="n">
        <v>7.2</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8207-2025</t>
        </is>
      </c>
      <c r="B4758" t="inlineStr">
        <is>
          <t>avverkningsanmälan</t>
        </is>
      </c>
      <c r="C4758" t="inlineStr">
        <is>
          <t>Föryngringsavverkning</t>
        </is>
      </c>
      <c r="D4758" s="1" t="n">
        <v>45708</v>
      </c>
      <c r="E4758" s="1" t="n">
        <v>46312</v>
      </c>
      <c r="F4758" t="inlineStr">
        <is>
          <t>SKÅNE LÄN</t>
        </is>
      </c>
      <c r="G4758" t="inlineStr">
        <is>
          <t>OSBY</t>
        </is>
      </c>
      <c r="I4758" t="n">
        <v>5.7</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35698-2026</t>
        </is>
      </c>
      <c r="B4759" t="inlineStr">
        <is>
          <t>avverkningsanmälan</t>
        </is>
      </c>
      <c r="C4759" t="inlineStr">
        <is>
          <t>Föryngringsavverkning</t>
        </is>
      </c>
      <c r="D4759" s="1" t="n">
        <v>46265</v>
      </c>
      <c r="E4759" s="1" t="n">
        <v>46312</v>
      </c>
      <c r="F4759" t="inlineStr">
        <is>
          <t>SKÅNE LÄN</t>
        </is>
      </c>
      <c r="G4759" t="inlineStr">
        <is>
          <t>OSBY</t>
        </is>
      </c>
      <c r="H4759" t="inlineStr">
        <is>
          <t>Sveaskog</t>
        </is>
      </c>
      <c r="I4759" t="n">
        <v>1.4</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36101-2026</t>
        </is>
      </c>
      <c r="B4760" t="inlineStr">
        <is>
          <t>avverkningsanmälan</t>
        </is>
      </c>
      <c r="C4760" t="inlineStr">
        <is>
          <t>Föryngringsavverkning</t>
        </is>
      </c>
      <c r="D4760" s="1" t="n">
        <v>46267</v>
      </c>
      <c r="E4760" s="1" t="n">
        <v>46312</v>
      </c>
      <c r="F4760" t="inlineStr">
        <is>
          <t>SKÅNE LÄN</t>
        </is>
      </c>
      <c r="G4760" t="inlineStr">
        <is>
          <t>HÄSSLEHOLM</t>
        </is>
      </c>
      <c r="I4760" t="n">
        <v>2.4</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35719-2026</t>
        </is>
      </c>
      <c r="B4761" t="inlineStr">
        <is>
          <t>avverkningsanmälan</t>
        </is>
      </c>
      <c r="C4761" t="inlineStr">
        <is>
          <t>Föryngringsavverkning</t>
        </is>
      </c>
      <c r="D4761" s="1" t="n">
        <v>46265</v>
      </c>
      <c r="E4761" s="1" t="n">
        <v>46312</v>
      </c>
      <c r="F4761" t="inlineStr">
        <is>
          <t>SKÅNE LÄN</t>
        </is>
      </c>
      <c r="G4761" t="inlineStr">
        <is>
          <t>OSBY</t>
        </is>
      </c>
      <c r="H4761" t="inlineStr">
        <is>
          <t>Sveaskog</t>
        </is>
      </c>
      <c r="I4761" t="n">
        <v>5.1</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20813-2023</t>
        </is>
      </c>
      <c r="B4762" t="inlineStr">
        <is>
          <t>avverkningsanmälan</t>
        </is>
      </c>
      <c r="C4762" t="inlineStr">
        <is>
          <t>Föryngringsavverkning</t>
        </is>
      </c>
      <c r="D4762" s="1" t="n">
        <v>45055</v>
      </c>
      <c r="E4762" s="1" t="n">
        <v>46312</v>
      </c>
      <c r="F4762" t="inlineStr">
        <is>
          <t>SKÅNE LÄN</t>
        </is>
      </c>
      <c r="G4762" t="inlineStr">
        <is>
          <t>OSBY</t>
        </is>
      </c>
      <c r="I4762" t="n">
        <v>4.6</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60947-2024</t>
        </is>
      </c>
      <c r="B4763" t="inlineStr">
        <is>
          <t>avverkningsanmälan</t>
        </is>
      </c>
      <c r="C4763" t="inlineStr">
        <is>
          <t>Föryngringsavverkning</t>
        </is>
      </c>
      <c r="D4763" s="1" t="n">
        <v>45645</v>
      </c>
      <c r="E4763" s="1" t="n">
        <v>46312</v>
      </c>
      <c r="F4763" t="inlineStr">
        <is>
          <t>SKÅNE LÄN</t>
        </is>
      </c>
      <c r="G4763" t="inlineStr">
        <is>
          <t>SJÖBO</t>
        </is>
      </c>
      <c r="I4763" t="n">
        <v>2.6</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61087-2022</t>
        </is>
      </c>
      <c r="B4764" t="inlineStr">
        <is>
          <t>avverkningsanmälan</t>
        </is>
      </c>
      <c r="C4764" t="inlineStr">
        <is>
          <t>Avverkning för annat ändamål</t>
        </is>
      </c>
      <c r="D4764" s="1" t="n">
        <v>44915</v>
      </c>
      <c r="E4764" s="1" t="n">
        <v>46312</v>
      </c>
      <c r="F4764" t="inlineStr">
        <is>
          <t>SKÅNE LÄN</t>
        </is>
      </c>
      <c r="G4764" t="inlineStr">
        <is>
          <t>HÖÖR</t>
        </is>
      </c>
      <c r="I4764" t="n">
        <v>1.4</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11466-2025</t>
        </is>
      </c>
      <c r="B4765" t="inlineStr">
        <is>
          <t>avverkningsanmälan</t>
        </is>
      </c>
      <c r="C4765" t="inlineStr">
        <is>
          <t>Föryngringsavverkning</t>
        </is>
      </c>
      <c r="D4765" s="1" t="n">
        <v>45726</v>
      </c>
      <c r="E4765" s="1" t="n">
        <v>46312</v>
      </c>
      <c r="F4765" t="inlineStr">
        <is>
          <t>SKÅNE LÄN</t>
        </is>
      </c>
      <c r="G4765" t="inlineStr">
        <is>
          <t>HÄSSLEHOLM</t>
        </is>
      </c>
      <c r="I4765" t="n">
        <v>3.2</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42383-2026</t>
        </is>
      </c>
      <c r="B4766" t="inlineStr">
        <is>
          <t>avverkningsanmälan</t>
        </is>
      </c>
      <c r="C4766" t="inlineStr">
        <is>
          <t>Föryngringsavverkning</t>
        </is>
      </c>
      <c r="D4766" s="1" t="n">
        <v>46307</v>
      </c>
      <c r="E4766" s="1" t="n">
        <v>46312</v>
      </c>
      <c r="F4766" t="inlineStr">
        <is>
          <t>SKÅNE LÄN</t>
        </is>
      </c>
      <c r="G4766" t="inlineStr">
        <is>
          <t>HÄSSLEHOLM</t>
        </is>
      </c>
      <c r="I4766" t="n">
        <v>4.6</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42717-2026</t>
        </is>
      </c>
      <c r="B4767" t="inlineStr">
        <is>
          <t>avverkningsanmälan</t>
        </is>
      </c>
      <c r="C4767" t="inlineStr">
        <is>
          <t>Avverkning för att bevara och utveckla /försöksver</t>
        </is>
      </c>
      <c r="D4767" s="1" t="n">
        <v>46308</v>
      </c>
      <c r="E4767" s="1" t="n">
        <v>46312</v>
      </c>
      <c r="F4767" t="inlineStr">
        <is>
          <t>SKÅNE LÄN</t>
        </is>
      </c>
      <c r="G4767" t="inlineStr">
        <is>
          <t>OSBY</t>
        </is>
      </c>
      <c r="H4767" t="inlineStr">
        <is>
          <t>Kyrkan</t>
        </is>
      </c>
      <c r="I4767" t="n">
        <v>1.2</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42774-2026</t>
        </is>
      </c>
      <c r="B4768" t="inlineStr">
        <is>
          <t>avverkningsanmälan</t>
        </is>
      </c>
      <c r="C4768" t="inlineStr">
        <is>
          <t>Föryngringsavverkning</t>
        </is>
      </c>
      <c r="D4768" s="1" t="n">
        <v>46309</v>
      </c>
      <c r="E4768" s="1" t="n">
        <v>46312</v>
      </c>
      <c r="F4768" t="inlineStr">
        <is>
          <t>SKÅNE LÄN</t>
        </is>
      </c>
      <c r="G4768" t="inlineStr">
        <is>
          <t>KLIPPAN</t>
        </is>
      </c>
      <c r="I4768" t="n">
        <v>2</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10524-2026</t>
        </is>
      </c>
      <c r="B4769" t="inlineStr">
        <is>
          <t>avverkningsanmälan</t>
        </is>
      </c>
      <c r="C4769" t="inlineStr">
        <is>
          <t>Föryngringsavverkning</t>
        </is>
      </c>
      <c r="D4769" s="1" t="n">
        <v>46076</v>
      </c>
      <c r="E4769" s="1" t="n">
        <v>46312</v>
      </c>
      <c r="F4769" t="inlineStr">
        <is>
          <t>SKÅNE LÄN</t>
        </is>
      </c>
      <c r="G4769" t="inlineStr">
        <is>
          <t>HÖRBY</t>
        </is>
      </c>
      <c r="I4769" t="n">
        <v>1.6</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25432-2025</t>
        </is>
      </c>
      <c r="B4770" t="inlineStr">
        <is>
          <t>avverkningsanmälan</t>
        </is>
      </c>
      <c r="C4770" t="inlineStr">
        <is>
          <t>Föryngringsavverkning</t>
        </is>
      </c>
      <c r="D4770" s="1" t="n">
        <v>45800</v>
      </c>
      <c r="E4770" s="1" t="n">
        <v>46312</v>
      </c>
      <c r="F4770" t="inlineStr">
        <is>
          <t>SKÅNE LÄN</t>
        </is>
      </c>
      <c r="G4770" t="inlineStr">
        <is>
          <t>HÄSSLEHOLM</t>
        </is>
      </c>
      <c r="I4770" t="n">
        <v>1.8</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11470-2025</t>
        </is>
      </c>
      <c r="B4771" t="inlineStr">
        <is>
          <t>avverkningsanmälan</t>
        </is>
      </c>
      <c r="C4771" t="inlineStr">
        <is>
          <t>Föryngringsavverkning</t>
        </is>
      </c>
      <c r="D4771" s="1" t="n">
        <v>45726</v>
      </c>
      <c r="E4771" s="1" t="n">
        <v>46312</v>
      </c>
      <c r="F4771" t="inlineStr">
        <is>
          <t>SKÅNE LÄN</t>
        </is>
      </c>
      <c r="G4771" t="inlineStr">
        <is>
          <t>HÄSSLEHOLM</t>
        </is>
      </c>
      <c r="I4771" t="n">
        <v>0.4</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26032-2025</t>
        </is>
      </c>
      <c r="B4772" t="inlineStr">
        <is>
          <t>avverkningsanmälan</t>
        </is>
      </c>
      <c r="C4772" t="inlineStr">
        <is>
          <t>Föryngringsavverkning</t>
        </is>
      </c>
      <c r="D4772" s="1" t="n">
        <v>45804</v>
      </c>
      <c r="E4772" s="1" t="n">
        <v>46312</v>
      </c>
      <c r="F4772" t="inlineStr">
        <is>
          <t>SKÅNE LÄN</t>
        </is>
      </c>
      <c r="G4772" t="inlineStr">
        <is>
          <t>ÖRKELLJUNGA</t>
        </is>
      </c>
      <c r="I4772" t="n">
        <v>0.5</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35917-2026</t>
        </is>
      </c>
      <c r="B4773" t="inlineStr">
        <is>
          <t>avverkningsanmälan</t>
        </is>
      </c>
      <c r="C4773" t="inlineStr">
        <is>
          <t>Föryngringsavverkning</t>
        </is>
      </c>
      <c r="D4773" s="1" t="n">
        <v>46266</v>
      </c>
      <c r="E4773" s="1" t="n">
        <v>46312</v>
      </c>
      <c r="F4773" t="inlineStr">
        <is>
          <t>SKÅNE LÄN</t>
        </is>
      </c>
      <c r="G4773" t="inlineStr">
        <is>
          <t>OSBY</t>
        </is>
      </c>
      <c r="I4773" t="n">
        <v>0.7</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35755-2026</t>
        </is>
      </c>
      <c r="B4774" t="inlineStr">
        <is>
          <t>avverkningsanmälan</t>
        </is>
      </c>
      <c r="C4774" t="inlineStr">
        <is>
          <t>Föryngringsavverkning</t>
        </is>
      </c>
      <c r="D4774" s="1" t="n">
        <v>46265</v>
      </c>
      <c r="E4774" s="1" t="n">
        <v>46312</v>
      </c>
      <c r="F4774" t="inlineStr">
        <is>
          <t>SKÅNE LÄN</t>
        </is>
      </c>
      <c r="G4774" t="inlineStr">
        <is>
          <t>ÖSTRA GÖINGE</t>
        </is>
      </c>
      <c r="H4774" t="inlineStr">
        <is>
          <t>Sveaskog</t>
        </is>
      </c>
      <c r="I4774" t="n">
        <v>1.8</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42572-2026</t>
        </is>
      </c>
      <c r="B4775" t="inlineStr">
        <is>
          <t>avverkningsanmälan</t>
        </is>
      </c>
      <c r="C4775" t="inlineStr">
        <is>
          <t>Föryngringsavverkning</t>
        </is>
      </c>
      <c r="D4775" s="1" t="n">
        <v>46308</v>
      </c>
      <c r="E4775" s="1" t="n">
        <v>46312</v>
      </c>
      <c r="F4775" t="inlineStr">
        <is>
          <t>SKÅNE LÄN</t>
        </is>
      </c>
      <c r="G4775" t="inlineStr">
        <is>
          <t>KRISTIANSTAD</t>
        </is>
      </c>
      <c r="I4775" t="n">
        <v>4</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26020-2025</t>
        </is>
      </c>
      <c r="B4776" t="inlineStr">
        <is>
          <t>avverkningsanmälan</t>
        </is>
      </c>
      <c r="C4776" t="inlineStr">
        <is>
          <t>Föryngringsavverkning</t>
        </is>
      </c>
      <c r="D4776" s="1" t="n">
        <v>45804</v>
      </c>
      <c r="E4776" s="1" t="n">
        <v>46312</v>
      </c>
      <c r="F4776" t="inlineStr">
        <is>
          <t>SKÅNE LÄN</t>
        </is>
      </c>
      <c r="G4776" t="inlineStr">
        <is>
          <t>ÖRKELLJUNGA</t>
        </is>
      </c>
      <c r="I4776" t="n">
        <v>1.6</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25860-2025</t>
        </is>
      </c>
      <c r="B4777" t="inlineStr">
        <is>
          <t>avverkningsanmälan</t>
        </is>
      </c>
      <c r="C4777" t="inlineStr">
        <is>
          <t>Föryngringsavverkning</t>
        </is>
      </c>
      <c r="D4777" s="1" t="n">
        <v>45804</v>
      </c>
      <c r="E4777" s="1" t="n">
        <v>46312</v>
      </c>
      <c r="F4777" t="inlineStr">
        <is>
          <t>SKÅNE LÄN</t>
        </is>
      </c>
      <c r="G4777" t="inlineStr">
        <is>
          <t>KRISTIANSTAD</t>
        </is>
      </c>
      <c r="I4777" t="n">
        <v>0.6</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26222-2025</t>
        </is>
      </c>
      <c r="B4778" t="inlineStr">
        <is>
          <t>avverkningsanmälan</t>
        </is>
      </c>
      <c r="C4778" t="inlineStr">
        <is>
          <t>Föryngringsavverkning</t>
        </is>
      </c>
      <c r="D4778" s="1" t="n">
        <v>45805</v>
      </c>
      <c r="E4778" s="1" t="n">
        <v>46312</v>
      </c>
      <c r="F4778" t="inlineStr">
        <is>
          <t>SKÅNE LÄN</t>
        </is>
      </c>
      <c r="G4778" t="inlineStr">
        <is>
          <t>OSBY</t>
        </is>
      </c>
      <c r="I4778" t="n">
        <v>1.3</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25749-2025</t>
        </is>
      </c>
      <c r="B4779" t="inlineStr">
        <is>
          <t>avverkningsanmälan</t>
        </is>
      </c>
      <c r="C4779" t="inlineStr">
        <is>
          <t>Föryngringsavverkning</t>
        </is>
      </c>
      <c r="D4779" s="1" t="n">
        <v>45804</v>
      </c>
      <c r="E4779" s="1" t="n">
        <v>46312</v>
      </c>
      <c r="F4779" t="inlineStr">
        <is>
          <t>SKÅNE LÄN</t>
        </is>
      </c>
      <c r="G4779" t="inlineStr">
        <is>
          <t>HÖÖR</t>
        </is>
      </c>
      <c r="I4779" t="n">
        <v>0.5</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25809-2025</t>
        </is>
      </c>
      <c r="B4780" t="inlineStr">
        <is>
          <t>avverkningsanmälan</t>
        </is>
      </c>
      <c r="C4780" t="inlineStr">
        <is>
          <t>Föryngringsavverkning</t>
        </is>
      </c>
      <c r="D4780" s="1" t="n">
        <v>45804</v>
      </c>
      <c r="E4780" s="1" t="n">
        <v>46312</v>
      </c>
      <c r="F4780" t="inlineStr">
        <is>
          <t>SKÅNE LÄN</t>
        </is>
      </c>
      <c r="G4780" t="inlineStr">
        <is>
          <t>KRISTIANSTAD</t>
        </is>
      </c>
      <c r="I4780" t="n">
        <v>1</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35635-2026</t>
        </is>
      </c>
      <c r="B4781" t="inlineStr">
        <is>
          <t>avverkningsanmälan</t>
        </is>
      </c>
      <c r="C4781" t="inlineStr">
        <is>
          <t>Föryngringsavverkning</t>
        </is>
      </c>
      <c r="D4781" s="1" t="n">
        <v>46265</v>
      </c>
      <c r="E4781" s="1" t="n">
        <v>46312</v>
      </c>
      <c r="F4781" t="inlineStr">
        <is>
          <t>SKÅNE LÄN</t>
        </is>
      </c>
      <c r="G4781" t="inlineStr">
        <is>
          <t>KLIPPAN</t>
        </is>
      </c>
      <c r="I4781" t="n">
        <v>3.7</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32271-2026</t>
        </is>
      </c>
      <c r="B4782" t="inlineStr">
        <is>
          <t>avverkningsanmälan</t>
        </is>
      </c>
      <c r="C4782" t="inlineStr">
        <is>
          <t>Föryngringsavverkning</t>
        </is>
      </c>
      <c r="D4782" s="1" t="n">
        <v>46237</v>
      </c>
      <c r="E4782" s="1" t="n">
        <v>46312</v>
      </c>
      <c r="F4782" t="inlineStr">
        <is>
          <t>SKÅNE LÄN</t>
        </is>
      </c>
      <c r="G4782" t="inlineStr">
        <is>
          <t>HÄSSLEHOLM</t>
        </is>
      </c>
      <c r="I4782" t="n">
        <v>2.2</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35677-2026</t>
        </is>
      </c>
      <c r="B4783" t="inlineStr">
        <is>
          <t>avverkningsanmälan</t>
        </is>
      </c>
      <c r="C4783" t="inlineStr">
        <is>
          <t>Föryngringsavverkning</t>
        </is>
      </c>
      <c r="D4783" s="1" t="n">
        <v>46265</v>
      </c>
      <c r="E4783" s="1" t="n">
        <v>46312</v>
      </c>
      <c r="F4783" t="inlineStr">
        <is>
          <t>SKÅNE LÄN</t>
        </is>
      </c>
      <c r="G4783" t="inlineStr">
        <is>
          <t>ÄNGELHOLM</t>
        </is>
      </c>
      <c r="I4783" t="n">
        <v>3.1</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35748-2026</t>
        </is>
      </c>
      <c r="B4784" t="inlineStr">
        <is>
          <t>avverkningsanmälan</t>
        </is>
      </c>
      <c r="C4784" t="inlineStr">
        <is>
          <t>Föryngringsavverkning</t>
        </is>
      </c>
      <c r="D4784" s="1" t="n">
        <v>46265</v>
      </c>
      <c r="E4784" s="1" t="n">
        <v>46312</v>
      </c>
      <c r="F4784" t="inlineStr">
        <is>
          <t>SKÅNE LÄN</t>
        </is>
      </c>
      <c r="G4784" t="inlineStr">
        <is>
          <t>OSBY</t>
        </is>
      </c>
      <c r="H4784" t="inlineStr">
        <is>
          <t>Sveaskog</t>
        </is>
      </c>
      <c r="I4784" t="n">
        <v>0.8</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35988-2026</t>
        </is>
      </c>
      <c r="B4785" t="inlineStr">
        <is>
          <t>avverkningsanmälan</t>
        </is>
      </c>
      <c r="C4785" t="inlineStr">
        <is>
          <t>Föryngringsavverkning</t>
        </is>
      </c>
      <c r="D4785" s="1" t="n">
        <v>46266</v>
      </c>
      <c r="E4785" s="1" t="n">
        <v>46312</v>
      </c>
      <c r="F4785" t="inlineStr">
        <is>
          <t>SKÅNE LÄN</t>
        </is>
      </c>
      <c r="G4785" t="inlineStr">
        <is>
          <t>ÖRKELLJUNGA</t>
        </is>
      </c>
      <c r="I4785" t="n">
        <v>5.8</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26804-2025</t>
        </is>
      </c>
      <c r="B4786" t="inlineStr">
        <is>
          <t>avverkningsanmälan</t>
        </is>
      </c>
      <c r="C4786" t="inlineStr">
        <is>
          <t>Föryngringsavverkning</t>
        </is>
      </c>
      <c r="D4786" s="1" t="n">
        <v>45810</v>
      </c>
      <c r="E4786" s="1" t="n">
        <v>46312</v>
      </c>
      <c r="F4786" t="inlineStr">
        <is>
          <t>SKÅNE LÄN</t>
        </is>
      </c>
      <c r="G4786" t="inlineStr">
        <is>
          <t>KRISTIANSTAD</t>
        </is>
      </c>
      <c r="I4786" t="n">
        <v>0.6</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14981-2026</t>
        </is>
      </c>
      <c r="B4787" t="inlineStr">
        <is>
          <t>avverkningsanmälan</t>
        </is>
      </c>
      <c r="C4787" t="inlineStr">
        <is>
          <t>Föryngringsavverkning</t>
        </is>
      </c>
      <c r="D4787" s="1" t="n">
        <v>46104</v>
      </c>
      <c r="E4787" s="1" t="n">
        <v>46312</v>
      </c>
      <c r="F4787" t="inlineStr">
        <is>
          <t>SKÅNE LÄN</t>
        </is>
      </c>
      <c r="G4787" t="inlineStr">
        <is>
          <t>HÄSSLEHOLM</t>
        </is>
      </c>
      <c r="I4787" t="n">
        <v>7.7</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35703-2026</t>
        </is>
      </c>
      <c r="B4788" t="inlineStr">
        <is>
          <t>avverkningsanmälan</t>
        </is>
      </c>
      <c r="C4788" t="inlineStr">
        <is>
          <t>Föryngringsavverkning</t>
        </is>
      </c>
      <c r="D4788" s="1" t="n">
        <v>46265</v>
      </c>
      <c r="E4788" s="1" t="n">
        <v>46312</v>
      </c>
      <c r="F4788" t="inlineStr">
        <is>
          <t>SKÅNE LÄN</t>
        </is>
      </c>
      <c r="G4788" t="inlineStr">
        <is>
          <t>OSBY</t>
        </is>
      </c>
      <c r="H4788" t="inlineStr">
        <is>
          <t>Sveaskog</t>
        </is>
      </c>
      <c r="I4788" t="n">
        <v>1.4</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35897-2026</t>
        </is>
      </c>
      <c r="B4789" t="inlineStr">
        <is>
          <t>avverkningsanmälan</t>
        </is>
      </c>
      <c r="C4789" t="inlineStr">
        <is>
          <t>Föryngringsavverkning</t>
        </is>
      </c>
      <c r="D4789" s="1" t="n">
        <v>46266</v>
      </c>
      <c r="E4789" s="1" t="n">
        <v>46312</v>
      </c>
      <c r="F4789" t="inlineStr">
        <is>
          <t>SKÅNE LÄN</t>
        </is>
      </c>
      <c r="G4789" t="inlineStr">
        <is>
          <t>TOMELILLA</t>
        </is>
      </c>
      <c r="I4789" t="n">
        <v>3</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35912-2026</t>
        </is>
      </c>
      <c r="B4790" t="inlineStr">
        <is>
          <t>avverkningsanmälan</t>
        </is>
      </c>
      <c r="C4790" t="inlineStr">
        <is>
          <t>Föryngringsavverkning</t>
        </is>
      </c>
      <c r="D4790" s="1" t="n">
        <v>46266</v>
      </c>
      <c r="E4790" s="1" t="n">
        <v>46312</v>
      </c>
      <c r="F4790" t="inlineStr">
        <is>
          <t>SKÅNE LÄN</t>
        </is>
      </c>
      <c r="G4790" t="inlineStr">
        <is>
          <t>ÄNGELHOLM</t>
        </is>
      </c>
      <c r="I4790" t="n">
        <v>1.3</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35701-2026</t>
        </is>
      </c>
      <c r="B4791" t="inlineStr">
        <is>
          <t>avverkningsanmälan</t>
        </is>
      </c>
      <c r="C4791" t="inlineStr">
        <is>
          <t>Föryngringsavverkning</t>
        </is>
      </c>
      <c r="D4791" s="1" t="n">
        <v>46265</v>
      </c>
      <c r="E4791" s="1" t="n">
        <v>46312</v>
      </c>
      <c r="F4791" t="inlineStr">
        <is>
          <t>SKÅNE LÄN</t>
        </is>
      </c>
      <c r="G4791" t="inlineStr">
        <is>
          <t>OSBY</t>
        </is>
      </c>
      <c r="H4791" t="inlineStr">
        <is>
          <t>Sveaskog</t>
        </is>
      </c>
      <c r="I4791" t="n">
        <v>1.5</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35704-2026</t>
        </is>
      </c>
      <c r="B4792" t="inlineStr">
        <is>
          <t>avverkningsanmälan</t>
        </is>
      </c>
      <c r="C4792" t="inlineStr">
        <is>
          <t>Föryngringsavverkning</t>
        </is>
      </c>
      <c r="D4792" s="1" t="n">
        <v>46265</v>
      </c>
      <c r="E4792" s="1" t="n">
        <v>46312</v>
      </c>
      <c r="F4792" t="inlineStr">
        <is>
          <t>SKÅNE LÄN</t>
        </is>
      </c>
      <c r="G4792" t="inlineStr">
        <is>
          <t>OSBY</t>
        </is>
      </c>
      <c r="H4792" t="inlineStr">
        <is>
          <t>Sveaskog</t>
        </is>
      </c>
      <c r="I4792" t="n">
        <v>1.1</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35722-2026</t>
        </is>
      </c>
      <c r="B4793" t="inlineStr">
        <is>
          <t>avverkningsanmälan</t>
        </is>
      </c>
      <c r="C4793" t="inlineStr">
        <is>
          <t>Föryngringsavverkning</t>
        </is>
      </c>
      <c r="D4793" s="1" t="n">
        <v>46265</v>
      </c>
      <c r="E4793" s="1" t="n">
        <v>46312</v>
      </c>
      <c r="F4793" t="inlineStr">
        <is>
          <t>SKÅNE LÄN</t>
        </is>
      </c>
      <c r="G4793" t="inlineStr">
        <is>
          <t>OSBY</t>
        </is>
      </c>
      <c r="H4793" t="inlineStr">
        <is>
          <t>Sveaskog</t>
        </is>
      </c>
      <c r="I4793" t="n">
        <v>3.2</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35716-2026</t>
        </is>
      </c>
      <c r="B4794" t="inlineStr">
        <is>
          <t>avverkningsanmälan</t>
        </is>
      </c>
      <c r="C4794" t="inlineStr">
        <is>
          <t>Föryngringsavverkning</t>
        </is>
      </c>
      <c r="D4794" s="1" t="n">
        <v>46265</v>
      </c>
      <c r="E4794" s="1" t="n">
        <v>46312</v>
      </c>
      <c r="F4794" t="inlineStr">
        <is>
          <t>SKÅNE LÄN</t>
        </is>
      </c>
      <c r="G4794" t="inlineStr">
        <is>
          <t>OSBY</t>
        </is>
      </c>
      <c r="H4794" t="inlineStr">
        <is>
          <t>Sveaskog</t>
        </is>
      </c>
      <c r="I4794" t="n">
        <v>4.3</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42814-2026</t>
        </is>
      </c>
      <c r="B4795" t="inlineStr">
        <is>
          <t>avverkningsanmälan</t>
        </is>
      </c>
      <c r="C4795" t="inlineStr">
        <is>
          <t>Föryngringsavverkning</t>
        </is>
      </c>
      <c r="D4795" s="1" t="n">
        <v>46309</v>
      </c>
      <c r="E4795" s="1" t="n">
        <v>46312</v>
      </c>
      <c r="F4795" t="inlineStr">
        <is>
          <t>SKÅNE LÄN</t>
        </is>
      </c>
      <c r="G4795" t="inlineStr">
        <is>
          <t>OSBY</t>
        </is>
      </c>
      <c r="I4795" t="n">
        <v>2.6</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14611-2024</t>
        </is>
      </c>
      <c r="B4796" t="inlineStr">
        <is>
          <t>avverkningsanmälan</t>
        </is>
      </c>
      <c r="C4796" t="inlineStr">
        <is>
          <t>Föryngringsavverkning</t>
        </is>
      </c>
      <c r="D4796" s="1" t="n">
        <v>45396</v>
      </c>
      <c r="E4796" s="1" t="n">
        <v>46312</v>
      </c>
      <c r="F4796" t="inlineStr">
        <is>
          <t>SKÅNE LÄN</t>
        </is>
      </c>
      <c r="G4796" t="inlineStr">
        <is>
          <t>KRISTIANSTAD</t>
        </is>
      </c>
      <c r="I4796" t="n">
        <v>1.1</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28189-2024</t>
        </is>
      </c>
      <c r="B4797" t="inlineStr">
        <is>
          <t>avverkningsanmälan</t>
        </is>
      </c>
      <c r="C4797" t="inlineStr">
        <is>
          <t>Föryngringsavverkning</t>
        </is>
      </c>
      <c r="D4797" s="1" t="n">
        <v>45477</v>
      </c>
      <c r="E4797" s="1" t="n">
        <v>46312</v>
      </c>
      <c r="F4797" t="inlineStr">
        <is>
          <t>SKÅNE LÄN</t>
        </is>
      </c>
      <c r="G4797" t="inlineStr">
        <is>
          <t>HÖÖR</t>
        </is>
      </c>
      <c r="I4797" t="n">
        <v>0.9</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36392-2026</t>
        </is>
      </c>
      <c r="B4798" t="inlineStr">
        <is>
          <t>avverkningsanmälan</t>
        </is>
      </c>
      <c r="C4798" t="inlineStr">
        <is>
          <t>Avverkning för annat ändamål</t>
        </is>
      </c>
      <c r="D4798" s="1" t="n">
        <v>46268</v>
      </c>
      <c r="E4798" s="1" t="n">
        <v>46312</v>
      </c>
      <c r="F4798" t="inlineStr">
        <is>
          <t>SKÅNE LÄN</t>
        </is>
      </c>
      <c r="G4798" t="inlineStr">
        <is>
          <t>HÖÖR</t>
        </is>
      </c>
      <c r="I4798" t="n">
        <v>2.4</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26678-2025</t>
        </is>
      </c>
      <c r="B4799" t="inlineStr">
        <is>
          <t>avverkningsanmälan</t>
        </is>
      </c>
      <c r="C4799" t="inlineStr">
        <is>
          <t>Föryngringsavverkning</t>
        </is>
      </c>
      <c r="D4799" s="1" t="n">
        <v>45810</v>
      </c>
      <c r="E4799" s="1" t="n">
        <v>46312</v>
      </c>
      <c r="F4799" t="inlineStr">
        <is>
          <t>SKÅNE LÄN</t>
        </is>
      </c>
      <c r="G4799" t="inlineStr">
        <is>
          <t>KRISTIANSTAD</t>
        </is>
      </c>
      <c r="I4799" t="n">
        <v>3.1</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38358-2024</t>
        </is>
      </c>
      <c r="B4800" t="inlineStr">
        <is>
          <t>avverkningsanmälan</t>
        </is>
      </c>
      <c r="C4800" t="inlineStr">
        <is>
          <t>Föryngringsavverkning</t>
        </is>
      </c>
      <c r="D4800" s="1" t="n">
        <v>45545</v>
      </c>
      <c r="E4800" s="1" t="n">
        <v>46312</v>
      </c>
      <c r="F4800" t="inlineStr">
        <is>
          <t>SKÅNE LÄN</t>
        </is>
      </c>
      <c r="G4800" t="inlineStr">
        <is>
          <t>HÄSSLEHOLM</t>
        </is>
      </c>
      <c r="I4800" t="n">
        <v>9</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36349-2026</t>
        </is>
      </c>
      <c r="B4801" t="inlineStr">
        <is>
          <t>avverkningsanmälan</t>
        </is>
      </c>
      <c r="C4801" t="inlineStr">
        <is>
          <t>Föryngringsavverkning</t>
        </is>
      </c>
      <c r="D4801" s="1" t="n">
        <v>46268</v>
      </c>
      <c r="E4801" s="1" t="n">
        <v>46312</v>
      </c>
      <c r="F4801" t="inlineStr">
        <is>
          <t>SKÅNE LÄN</t>
        </is>
      </c>
      <c r="G4801" t="inlineStr">
        <is>
          <t>OSBY</t>
        </is>
      </c>
      <c r="I4801" t="n">
        <v>0.7</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37978-2024</t>
        </is>
      </c>
      <c r="B4802" t="inlineStr">
        <is>
          <t>avverkningsanmälan</t>
        </is>
      </c>
      <c r="C4802" t="inlineStr">
        <is>
          <t>Föryngringsavverkning</t>
        </is>
      </c>
      <c r="D4802" s="1" t="n">
        <v>45544</v>
      </c>
      <c r="E4802" s="1" t="n">
        <v>46312</v>
      </c>
      <c r="F4802" t="inlineStr">
        <is>
          <t>SKÅNE LÄN</t>
        </is>
      </c>
      <c r="G4802" t="inlineStr">
        <is>
          <t>ÖSTRA GÖINGE</t>
        </is>
      </c>
      <c r="I4802" t="n">
        <v>2.1</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27393-2025</t>
        </is>
      </c>
      <c r="B4803" t="inlineStr">
        <is>
          <t>avverkningsanmälan</t>
        </is>
      </c>
      <c r="C4803" t="inlineStr">
        <is>
          <t>Föryngringsavverkning</t>
        </is>
      </c>
      <c r="D4803" s="1" t="n">
        <v>45812</v>
      </c>
      <c r="E4803" s="1" t="n">
        <v>46312</v>
      </c>
      <c r="F4803" t="inlineStr">
        <is>
          <t>SKÅNE LÄN</t>
        </is>
      </c>
      <c r="G4803" t="inlineStr">
        <is>
          <t>HÄSSLEHOLM</t>
        </is>
      </c>
      <c r="I4803" t="n">
        <v>1</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27523-2025</t>
        </is>
      </c>
      <c r="B4804" t="inlineStr">
        <is>
          <t>avverkningsanmälan</t>
        </is>
      </c>
      <c r="C4804" t="inlineStr">
        <is>
          <t>Föryngringsavverkning</t>
        </is>
      </c>
      <c r="D4804" s="1" t="n">
        <v>45813</v>
      </c>
      <c r="E4804" s="1" t="n">
        <v>46312</v>
      </c>
      <c r="F4804" t="inlineStr">
        <is>
          <t>SKÅNE LÄN</t>
        </is>
      </c>
      <c r="G4804" t="inlineStr">
        <is>
          <t>ÖRKELLJUNGA</t>
        </is>
      </c>
      <c r="I4804" t="n">
        <v>0.8</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16368-2025</t>
        </is>
      </c>
      <c r="B4805" t="inlineStr">
        <is>
          <t>avverkningsanmälan</t>
        </is>
      </c>
      <c r="C4805" t="inlineStr">
        <is>
          <t>Föryngringsavverkning</t>
        </is>
      </c>
      <c r="D4805" s="1" t="n">
        <v>45751</v>
      </c>
      <c r="E4805" s="1" t="n">
        <v>46312</v>
      </c>
      <c r="F4805" t="inlineStr">
        <is>
          <t>SKÅNE LÄN</t>
        </is>
      </c>
      <c r="G4805" t="inlineStr">
        <is>
          <t>HÄSSLEHOLM</t>
        </is>
      </c>
      <c r="I4805" t="n">
        <v>5</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32259-2026</t>
        </is>
      </c>
      <c r="B4806" t="inlineStr">
        <is>
          <t>avverkningsanmälan</t>
        </is>
      </c>
      <c r="C4806" t="inlineStr">
        <is>
          <t>Föryngringsavverkning</t>
        </is>
      </c>
      <c r="D4806" s="1" t="n">
        <v>46237</v>
      </c>
      <c r="E4806" s="1" t="n">
        <v>46312</v>
      </c>
      <c r="F4806" t="inlineStr">
        <is>
          <t>SKÅNE LÄN</t>
        </is>
      </c>
      <c r="G4806" t="inlineStr">
        <is>
          <t>HÄSSLEHOLM</t>
        </is>
      </c>
      <c r="I4806" t="n">
        <v>2.8</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34075-2026</t>
        </is>
      </c>
      <c r="B4807" t="inlineStr">
        <is>
          <t>avverkningsanmälan</t>
        </is>
      </c>
      <c r="C4807" t="inlineStr">
        <is>
          <t>Föryngringsavverkning</t>
        </is>
      </c>
      <c r="D4807" s="1" t="n">
        <v>46251</v>
      </c>
      <c r="E4807" s="1" t="n">
        <v>46312</v>
      </c>
      <c r="F4807" t="inlineStr">
        <is>
          <t>SKÅNE LÄN</t>
        </is>
      </c>
      <c r="G4807" t="inlineStr">
        <is>
          <t>HÖÖR</t>
        </is>
      </c>
      <c r="I4807" t="n">
        <v>1.3</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34697-2026</t>
        </is>
      </c>
      <c r="B4808" t="inlineStr">
        <is>
          <t>avverkningsanmälan</t>
        </is>
      </c>
      <c r="C4808" t="inlineStr">
        <is>
          <t>Föryngringsavverkning</t>
        </is>
      </c>
      <c r="D4808" s="1" t="n">
        <v>46258</v>
      </c>
      <c r="E4808" s="1" t="n">
        <v>46312</v>
      </c>
      <c r="F4808" t="inlineStr">
        <is>
          <t>SKÅNE LÄN</t>
        </is>
      </c>
      <c r="G4808" t="inlineStr">
        <is>
          <t>ÖSTRA GÖINGE</t>
        </is>
      </c>
      <c r="I4808" t="n">
        <v>1.9</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36059-2026</t>
        </is>
      </c>
      <c r="B4809" t="inlineStr">
        <is>
          <t>avverkningsanmälan</t>
        </is>
      </c>
      <c r="C4809" t="inlineStr">
        <is>
          <t>Föryngringsavverkning</t>
        </is>
      </c>
      <c r="D4809" s="1" t="n">
        <v>46267</v>
      </c>
      <c r="E4809" s="1" t="n">
        <v>46312</v>
      </c>
      <c r="F4809" t="inlineStr">
        <is>
          <t>SKÅNE LÄN</t>
        </is>
      </c>
      <c r="G4809" t="inlineStr">
        <is>
          <t>OSBY</t>
        </is>
      </c>
      <c r="I4809" t="n">
        <v>1.7</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42986-2026</t>
        </is>
      </c>
      <c r="B4810" t="inlineStr">
        <is>
          <t>avverkningsanmälan</t>
        </is>
      </c>
      <c r="C4810" t="inlineStr">
        <is>
          <t>Föryngringsavverkning</t>
        </is>
      </c>
      <c r="D4810" s="1" t="n">
        <v>46310</v>
      </c>
      <c r="E4810" s="1" t="n">
        <v>46312</v>
      </c>
      <c r="F4810" t="inlineStr">
        <is>
          <t>SKÅNE LÄN</t>
        </is>
      </c>
      <c r="G4810" t="inlineStr">
        <is>
          <t>KRISTIANSTAD</t>
        </is>
      </c>
      <c r="I4810" t="n">
        <v>0.9</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43010-2026</t>
        </is>
      </c>
      <c r="B4811" t="inlineStr">
        <is>
          <t>avverkningsanmälan</t>
        </is>
      </c>
      <c r="C4811" t="inlineStr">
        <is>
          <t>Föryngringsavverkning</t>
        </is>
      </c>
      <c r="D4811" s="1" t="n">
        <v>46311</v>
      </c>
      <c r="E4811" s="1" t="n">
        <v>46312</v>
      </c>
      <c r="F4811" t="inlineStr">
        <is>
          <t>SKÅNE LÄN</t>
        </is>
      </c>
      <c r="G4811" t="inlineStr">
        <is>
          <t>HÄSSLEHOLM</t>
        </is>
      </c>
      <c r="I4811" t="n">
        <v>0.6</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28240-2025</t>
        </is>
      </c>
      <c r="B4812" t="inlineStr">
        <is>
          <t>avverkningsanmälan</t>
        </is>
      </c>
      <c r="C4812" t="inlineStr">
        <is>
          <t>Föryngringsavverkning</t>
        </is>
      </c>
      <c r="D4812" s="1" t="n">
        <v>45817</v>
      </c>
      <c r="E4812" s="1" t="n">
        <v>46312</v>
      </c>
      <c r="F4812" t="inlineStr">
        <is>
          <t>SKÅNE LÄN</t>
        </is>
      </c>
      <c r="G4812" t="inlineStr">
        <is>
          <t>HÄSSLEHOLM</t>
        </is>
      </c>
      <c r="I4812" t="n">
        <v>7.7</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27940-2025</t>
        </is>
      </c>
      <c r="B4813" t="inlineStr">
        <is>
          <t>avverkningsanmälan</t>
        </is>
      </c>
      <c r="C4813" t="inlineStr">
        <is>
          <t>Föryngringsavverkning</t>
        </is>
      </c>
      <c r="D4813" s="1" t="n">
        <v>45817</v>
      </c>
      <c r="E4813" s="1" t="n">
        <v>46312</v>
      </c>
      <c r="F4813" t="inlineStr">
        <is>
          <t>SKÅNE LÄN</t>
        </is>
      </c>
      <c r="G4813" t="inlineStr">
        <is>
          <t>HÄSSLEHOLM</t>
        </is>
      </c>
      <c r="I4813" t="n">
        <v>0.5</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36342-2026</t>
        </is>
      </c>
      <c r="B4814" t="inlineStr">
        <is>
          <t>avverkningsanmälan</t>
        </is>
      </c>
      <c r="C4814" t="inlineStr">
        <is>
          <t>Föryngringsavverkning</t>
        </is>
      </c>
      <c r="D4814" s="1" t="n">
        <v>46268</v>
      </c>
      <c r="E4814" s="1" t="n">
        <v>46312</v>
      </c>
      <c r="F4814" t="inlineStr">
        <is>
          <t>SKÅNE LÄN</t>
        </is>
      </c>
      <c r="G4814" t="inlineStr">
        <is>
          <t>OSBY</t>
        </is>
      </c>
      <c r="I4814" t="n">
        <v>2.8</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36344-2026</t>
        </is>
      </c>
      <c r="B4815" t="inlineStr">
        <is>
          <t>avverkningsanmälan</t>
        </is>
      </c>
      <c r="C4815" t="inlineStr">
        <is>
          <t>Föryngringsavverkning</t>
        </is>
      </c>
      <c r="D4815" s="1" t="n">
        <v>46268</v>
      </c>
      <c r="E4815" s="1" t="n">
        <v>46312</v>
      </c>
      <c r="F4815" t="inlineStr">
        <is>
          <t>SKÅNE LÄN</t>
        </is>
      </c>
      <c r="G4815" t="inlineStr">
        <is>
          <t>OSBY</t>
        </is>
      </c>
      <c r="I4815" t="n">
        <v>1.6</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28251-2025</t>
        </is>
      </c>
      <c r="B4816" t="inlineStr">
        <is>
          <t>avverkningsanmälan</t>
        </is>
      </c>
      <c r="C4816" t="inlineStr">
        <is>
          <t>Föryngringsavverkning</t>
        </is>
      </c>
      <c r="D4816" s="1" t="n">
        <v>45817</v>
      </c>
      <c r="E4816" s="1" t="n">
        <v>46312</v>
      </c>
      <c r="F4816" t="inlineStr">
        <is>
          <t>SKÅNE LÄN</t>
        </is>
      </c>
      <c r="G4816" t="inlineStr">
        <is>
          <t>HÄSSLEHOLM</t>
        </is>
      </c>
      <c r="I4816" t="n">
        <v>7.2</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36080-2026</t>
        </is>
      </c>
      <c r="B4817" t="inlineStr">
        <is>
          <t>avverkningsanmälan</t>
        </is>
      </c>
      <c r="C4817" t="inlineStr">
        <is>
          <t>Föryngringsavverkning</t>
        </is>
      </c>
      <c r="D4817" s="1" t="n">
        <v>46267</v>
      </c>
      <c r="E4817" s="1" t="n">
        <v>46312</v>
      </c>
      <c r="F4817" t="inlineStr">
        <is>
          <t>SKÅNE LÄN</t>
        </is>
      </c>
      <c r="G4817" t="inlineStr">
        <is>
          <t>OSBY</t>
        </is>
      </c>
      <c r="I4817" t="n">
        <v>1.3</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15478-2025</t>
        </is>
      </c>
      <c r="B4818" t="inlineStr">
        <is>
          <t>avverkningsanmälan</t>
        </is>
      </c>
      <c r="C4818" t="inlineStr">
        <is>
          <t>Föryngringsavverkning</t>
        </is>
      </c>
      <c r="D4818" s="1" t="n">
        <v>45747</v>
      </c>
      <c r="E4818" s="1" t="n">
        <v>46312</v>
      </c>
      <c r="F4818" t="inlineStr">
        <is>
          <t>SKÅNE LÄN</t>
        </is>
      </c>
      <c r="G4818" t="inlineStr">
        <is>
          <t>ÖRKELLJUNGA</t>
        </is>
      </c>
      <c r="I4818" t="n">
        <v>1.7</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36557-2026</t>
        </is>
      </c>
      <c r="B4819" t="inlineStr">
        <is>
          <t>avverkningsanmälan</t>
        </is>
      </c>
      <c r="C4819" t="inlineStr">
        <is>
          <t>Föryngringsavverkning</t>
        </is>
      </c>
      <c r="D4819" s="1" t="n">
        <v>46269</v>
      </c>
      <c r="E4819" s="1" t="n">
        <v>46312</v>
      </c>
      <c r="F4819" t="inlineStr">
        <is>
          <t>SKÅNE LÄN</t>
        </is>
      </c>
      <c r="G4819" t="inlineStr">
        <is>
          <t>ÖSTRA GÖINGE</t>
        </is>
      </c>
      <c r="I4819" t="n">
        <v>1.8</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27898-2025</t>
        </is>
      </c>
      <c r="B4820" t="inlineStr">
        <is>
          <t>avverkningsanmälan</t>
        </is>
      </c>
      <c r="C4820" t="inlineStr">
        <is>
          <t>Föryngringsavverkning</t>
        </is>
      </c>
      <c r="D4820" s="1" t="n">
        <v>45817</v>
      </c>
      <c r="E4820" s="1" t="n">
        <v>46312</v>
      </c>
      <c r="F4820" t="inlineStr">
        <is>
          <t>SKÅNE LÄN</t>
        </is>
      </c>
      <c r="G4820" t="inlineStr">
        <is>
          <t>KLIPPAN</t>
        </is>
      </c>
      <c r="I4820" t="n">
        <v>1.9</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42882-2026</t>
        </is>
      </c>
      <c r="B4821" t="inlineStr">
        <is>
          <t>avverkningsanmälan</t>
        </is>
      </c>
      <c r="C4821" t="inlineStr">
        <is>
          <t>Föryngringsavverkning</t>
        </is>
      </c>
      <c r="D4821" s="1" t="n">
        <v>46310</v>
      </c>
      <c r="E4821" s="1" t="n">
        <v>46312</v>
      </c>
      <c r="F4821" t="inlineStr">
        <is>
          <t>SKÅNE LÄN</t>
        </is>
      </c>
      <c r="G4821" t="inlineStr">
        <is>
          <t>HÄSSLEHOLM</t>
        </is>
      </c>
      <c r="I4821" t="n">
        <v>2.1</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59482-2024</t>
        </is>
      </c>
      <c r="B4822" t="inlineStr">
        <is>
          <t>avverkningsanmälan</t>
        </is>
      </c>
      <c r="C4822" t="inlineStr">
        <is>
          <t>Föryngringsavverkning</t>
        </is>
      </c>
      <c r="D4822" s="1" t="n">
        <v>45638</v>
      </c>
      <c r="E4822" s="1" t="n">
        <v>46312</v>
      </c>
      <c r="F4822" t="inlineStr">
        <is>
          <t>SKÅNE LÄN</t>
        </is>
      </c>
      <c r="G4822" t="inlineStr">
        <is>
          <t>KLIPPAN</t>
        </is>
      </c>
      <c r="I4822" t="n">
        <v>1</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27010-2023</t>
        </is>
      </c>
      <c r="B4823" t="inlineStr">
        <is>
          <t>avverkningsanmälan</t>
        </is>
      </c>
      <c r="C4823" t="inlineStr">
        <is>
          <t>Föryngringsavverkning</t>
        </is>
      </c>
      <c r="D4823" s="1" t="n">
        <v>45094</v>
      </c>
      <c r="E4823" s="1" t="n">
        <v>46312</v>
      </c>
      <c r="F4823" t="inlineStr">
        <is>
          <t>SKÅNE LÄN</t>
        </is>
      </c>
      <c r="G4823" t="inlineStr">
        <is>
          <t>KLIPPAN</t>
        </is>
      </c>
      <c r="I4823" t="n">
        <v>1</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28088-2025</t>
        </is>
      </c>
      <c r="B4824" t="inlineStr">
        <is>
          <t>avverkningsanmälan</t>
        </is>
      </c>
      <c r="C4824" t="inlineStr">
        <is>
          <t>Föryngringsavverkning</t>
        </is>
      </c>
      <c r="D4824" s="1" t="n">
        <v>45817</v>
      </c>
      <c r="E4824" s="1" t="n">
        <v>46312</v>
      </c>
      <c r="F4824" t="inlineStr">
        <is>
          <t>SKÅNE LÄN</t>
        </is>
      </c>
      <c r="G4824" t="inlineStr">
        <is>
          <t>ESLÖV</t>
        </is>
      </c>
      <c r="I4824" t="n">
        <v>1</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10544-2025</t>
        </is>
      </c>
      <c r="B4825" t="inlineStr">
        <is>
          <t>avverkningsanmälan</t>
        </is>
      </c>
      <c r="C4825" t="inlineStr">
        <is>
          <t>Föryngringsavverkning</t>
        </is>
      </c>
      <c r="D4825" s="1" t="n">
        <v>45721</v>
      </c>
      <c r="E4825" s="1" t="n">
        <v>46312</v>
      </c>
      <c r="F4825" t="inlineStr">
        <is>
          <t>SKÅNE LÄN</t>
        </is>
      </c>
      <c r="G4825" t="inlineStr">
        <is>
          <t>KLIPPAN</t>
        </is>
      </c>
      <c r="I4825" t="n">
        <v>2.2</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21146-2022</t>
        </is>
      </c>
      <c r="B4826" t="inlineStr">
        <is>
          <t>avverkningsanmälan</t>
        </is>
      </c>
      <c r="C4826" t="inlineStr">
        <is>
          <t>Föryngringsavverkning</t>
        </is>
      </c>
      <c r="D4826" s="1" t="n">
        <v>44704</v>
      </c>
      <c r="E4826" s="1" t="n">
        <v>46312</v>
      </c>
      <c r="F4826" t="inlineStr">
        <is>
          <t>SKÅNE LÄN</t>
        </is>
      </c>
      <c r="G4826" t="inlineStr">
        <is>
          <t>ÖRKELLJUNGA</t>
        </is>
      </c>
      <c r="I4826" t="n">
        <v>7.4</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70705-2021</t>
        </is>
      </c>
      <c r="B4827" t="inlineStr">
        <is>
          <t>avverkningsanmälan</t>
        </is>
      </c>
      <c r="C4827" t="inlineStr">
        <is>
          <t>Föryngringsavverkning</t>
        </is>
      </c>
      <c r="D4827" s="1" t="n">
        <v>44537</v>
      </c>
      <c r="E4827" s="1" t="n">
        <v>46312</v>
      </c>
      <c r="F4827" t="inlineStr">
        <is>
          <t>SKÅNE LÄN</t>
        </is>
      </c>
      <c r="G4827" t="inlineStr">
        <is>
          <t>KRISTIANSTAD</t>
        </is>
      </c>
      <c r="I4827" t="n">
        <v>3.8</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42950-2026</t>
        </is>
      </c>
      <c r="B4828" t="inlineStr">
        <is>
          <t>avverkningsanmälan</t>
        </is>
      </c>
      <c r="C4828" t="inlineStr">
        <is>
          <t>Föryngringsavverkning</t>
        </is>
      </c>
      <c r="D4828" s="1" t="n">
        <v>46310</v>
      </c>
      <c r="E4828" s="1" t="n">
        <v>46312</v>
      </c>
      <c r="F4828" t="inlineStr">
        <is>
          <t>SKÅNE LÄN</t>
        </is>
      </c>
      <c r="G4828" t="inlineStr">
        <is>
          <t>HÖRBY</t>
        </is>
      </c>
      <c r="I4828" t="n">
        <v>1.9</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28550-2025</t>
        </is>
      </c>
      <c r="B4829" t="inlineStr">
        <is>
          <t>avverkningsanmälan</t>
        </is>
      </c>
      <c r="C4829" t="inlineStr">
        <is>
          <t>Föryngringsavverkning</t>
        </is>
      </c>
      <c r="D4829" s="1" t="n">
        <v>45818</v>
      </c>
      <c r="E4829" s="1" t="n">
        <v>46312</v>
      </c>
      <c r="F4829" t="inlineStr">
        <is>
          <t>SKÅNE LÄN</t>
        </is>
      </c>
      <c r="G4829" t="inlineStr">
        <is>
          <t>HÖRBY</t>
        </is>
      </c>
      <c r="I4829" t="n">
        <v>5</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36480-2026</t>
        </is>
      </c>
      <c r="B4830" t="inlineStr">
        <is>
          <t>avverkningsanmälan</t>
        </is>
      </c>
      <c r="C4830" t="inlineStr">
        <is>
          <t>Föryngringsavverkning</t>
        </is>
      </c>
      <c r="D4830" s="1" t="n">
        <v>46269</v>
      </c>
      <c r="E4830" s="1" t="n">
        <v>46312</v>
      </c>
      <c r="F4830" t="inlineStr">
        <is>
          <t>SKÅNE LÄN</t>
        </is>
      </c>
      <c r="G4830" t="inlineStr">
        <is>
          <t>KLIPPAN</t>
        </is>
      </c>
      <c r="I4830" t="n">
        <v>1.7</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49827-2022</t>
        </is>
      </c>
      <c r="B4831" t="inlineStr">
        <is>
          <t>avverkningsanmälan</t>
        </is>
      </c>
      <c r="C4831" t="inlineStr">
        <is>
          <t>Föryngringsavverkning</t>
        </is>
      </c>
      <c r="D4831" s="1" t="n">
        <v>44859</v>
      </c>
      <c r="E4831" s="1" t="n">
        <v>46312</v>
      </c>
      <c r="F4831" t="inlineStr">
        <is>
          <t>SKÅNE LÄN</t>
        </is>
      </c>
      <c r="G4831" t="inlineStr">
        <is>
          <t>HÄSSLEHOLM</t>
        </is>
      </c>
      <c r="I4831" t="n">
        <v>6.1</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18059-2024</t>
        </is>
      </c>
      <c r="B4832" t="inlineStr">
        <is>
          <t>avverkningsanmälan</t>
        </is>
      </c>
      <c r="C4832" t="inlineStr">
        <is>
          <t>Föryngringsavverkning</t>
        </is>
      </c>
      <c r="D4832" s="1" t="n">
        <v>45420</v>
      </c>
      <c r="E4832" s="1" t="n">
        <v>46312</v>
      </c>
      <c r="F4832" t="inlineStr">
        <is>
          <t>SKÅNE LÄN</t>
        </is>
      </c>
      <c r="G4832" t="inlineStr">
        <is>
          <t>KRISTIANSTAD</t>
        </is>
      </c>
      <c r="I4832" t="n">
        <v>1.2</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11811-2025</t>
        </is>
      </c>
      <c r="B4833" t="inlineStr">
        <is>
          <t>avverkningsanmälan</t>
        </is>
      </c>
      <c r="C4833" t="inlineStr">
        <is>
          <t>Föryngringsavverkning</t>
        </is>
      </c>
      <c r="D4833" s="1" t="n">
        <v>45727</v>
      </c>
      <c r="E4833" s="1" t="n">
        <v>46312</v>
      </c>
      <c r="F4833" t="inlineStr">
        <is>
          <t>SKÅNE LÄN</t>
        </is>
      </c>
      <c r="G4833" t="inlineStr">
        <is>
          <t>TOMELILLA</t>
        </is>
      </c>
      <c r="I4833" t="n">
        <v>9.699999999999999</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39934-2024</t>
        </is>
      </c>
      <c r="B4834" t="inlineStr">
        <is>
          <t>avverkningsanmälan</t>
        </is>
      </c>
      <c r="C4834" t="inlineStr">
        <is>
          <t>Föryngringsavverkning</t>
        </is>
      </c>
      <c r="D4834" s="1" t="n">
        <v>45553</v>
      </c>
      <c r="E4834" s="1" t="n">
        <v>46312</v>
      </c>
      <c r="F4834" t="inlineStr">
        <is>
          <t>SKÅNE LÄN</t>
        </is>
      </c>
      <c r="G4834" t="inlineStr">
        <is>
          <t>ÖSTRA GÖINGE</t>
        </is>
      </c>
      <c r="I4834" t="n">
        <v>0.8</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58751-2024</t>
        </is>
      </c>
      <c r="B4835" t="inlineStr">
        <is>
          <t>avverkningsanmälan</t>
        </is>
      </c>
      <c r="C4835" t="inlineStr">
        <is>
          <t>Avverkning för att bevara och utveckla /försöksver</t>
        </is>
      </c>
      <c r="D4835" s="1" t="n">
        <v>45635</v>
      </c>
      <c r="E4835" s="1" t="n">
        <v>46312</v>
      </c>
      <c r="F4835" t="inlineStr">
        <is>
          <t>SKÅNE LÄN</t>
        </is>
      </c>
      <c r="G4835" t="inlineStr">
        <is>
          <t>OSBY</t>
        </is>
      </c>
      <c r="I4835" t="n">
        <v>4.8</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55529-2024</t>
        </is>
      </c>
      <c r="B4836" t="inlineStr">
        <is>
          <t>avverkningsanmälan</t>
        </is>
      </c>
      <c r="C4836" t="inlineStr">
        <is>
          <t>Föryngringsavverkning</t>
        </is>
      </c>
      <c r="D4836" s="1" t="n">
        <v>45622</v>
      </c>
      <c r="E4836" s="1" t="n">
        <v>46312</v>
      </c>
      <c r="F4836" t="inlineStr">
        <is>
          <t>SKÅNE LÄN</t>
        </is>
      </c>
      <c r="G4836" t="inlineStr">
        <is>
          <t>ÄNGELHOLM</t>
        </is>
      </c>
      <c r="I4836" t="n">
        <v>2.2</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9612-2025</t>
        </is>
      </c>
      <c r="B4837" t="inlineStr">
        <is>
          <t>avverkningsanmälan</t>
        </is>
      </c>
      <c r="C4837" t="inlineStr">
        <is>
          <t>Föryngringsavverkning</t>
        </is>
      </c>
      <c r="D4837" s="1" t="n">
        <v>45715</v>
      </c>
      <c r="E4837" s="1" t="n">
        <v>46312</v>
      </c>
      <c r="F4837" t="inlineStr">
        <is>
          <t>SKÅNE LÄN</t>
        </is>
      </c>
      <c r="G4837" t="inlineStr">
        <is>
          <t>HÖRBY</t>
        </is>
      </c>
      <c r="I4837" t="n">
        <v>1.2</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53688-2024</t>
        </is>
      </c>
      <c r="B4838" t="inlineStr">
        <is>
          <t>avverkningsanmälan</t>
        </is>
      </c>
      <c r="C4838" t="inlineStr">
        <is>
          <t>Föryngringsavverkning</t>
        </is>
      </c>
      <c r="D4838" s="1" t="n">
        <v>45615</v>
      </c>
      <c r="E4838" s="1" t="n">
        <v>46312</v>
      </c>
      <c r="F4838" t="inlineStr">
        <is>
          <t>SKÅNE LÄN</t>
        </is>
      </c>
      <c r="G4838" t="inlineStr">
        <is>
          <t>ÖSTRA GÖINGE</t>
        </is>
      </c>
      <c r="I4838" t="n">
        <v>3.5</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29170-2025</t>
        </is>
      </c>
      <c r="B4839" t="inlineStr">
        <is>
          <t>avverkningsanmälan</t>
        </is>
      </c>
      <c r="C4839" t="inlineStr">
        <is>
          <t>Föryngringsavverkning</t>
        </is>
      </c>
      <c r="D4839" s="1" t="n">
        <v>45821</v>
      </c>
      <c r="E4839" s="1" t="n">
        <v>46312</v>
      </c>
      <c r="F4839" t="inlineStr">
        <is>
          <t>SKÅNE LÄN</t>
        </is>
      </c>
      <c r="G4839" t="inlineStr">
        <is>
          <t>HÄSSLEHOLM</t>
        </is>
      </c>
      <c r="I4839" t="n">
        <v>3.1</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36544-2026</t>
        </is>
      </c>
      <c r="B4840" t="inlineStr">
        <is>
          <t>avverkningsanmälan</t>
        </is>
      </c>
      <c r="C4840" t="inlineStr">
        <is>
          <t>Avverkning för annat ändamål</t>
        </is>
      </c>
      <c r="D4840" s="1" t="n">
        <v>46269</v>
      </c>
      <c r="E4840" s="1" t="n">
        <v>46312</v>
      </c>
      <c r="F4840" t="inlineStr">
        <is>
          <t>SKÅNE LÄN</t>
        </is>
      </c>
      <c r="G4840" t="inlineStr">
        <is>
          <t>HÄSSLEHOLM</t>
        </is>
      </c>
      <c r="I4840" t="n">
        <v>0.8</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28911-2025</t>
        </is>
      </c>
      <c r="B4841" t="inlineStr">
        <is>
          <t>avverkningsanmälan</t>
        </is>
      </c>
      <c r="C4841" t="inlineStr">
        <is>
          <t>Föryngringsavverkning</t>
        </is>
      </c>
      <c r="D4841" s="1" t="n">
        <v>45820</v>
      </c>
      <c r="E4841" s="1" t="n">
        <v>46312</v>
      </c>
      <c r="F4841" t="inlineStr">
        <is>
          <t>SKÅNE LÄN</t>
        </is>
      </c>
      <c r="G4841" t="inlineStr">
        <is>
          <t>ÖSTRA GÖINGE</t>
        </is>
      </c>
      <c r="I4841" t="n">
        <v>0.8</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29168-2025</t>
        </is>
      </c>
      <c r="B4842" t="inlineStr">
        <is>
          <t>avverkningsanmälan</t>
        </is>
      </c>
      <c r="C4842" t="inlineStr">
        <is>
          <t>Föryngringsavverkning</t>
        </is>
      </c>
      <c r="D4842" s="1" t="n">
        <v>45821</v>
      </c>
      <c r="E4842" s="1" t="n">
        <v>46312</v>
      </c>
      <c r="F4842" t="inlineStr">
        <is>
          <t>SKÅNE LÄN</t>
        </is>
      </c>
      <c r="G4842" t="inlineStr">
        <is>
          <t>HÄSSLEHOLM</t>
        </is>
      </c>
      <c r="I4842" t="n">
        <v>1.7</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28693-2025</t>
        </is>
      </c>
      <c r="B4843" t="inlineStr">
        <is>
          <t>avverkningsanmälan</t>
        </is>
      </c>
      <c r="C4843" t="inlineStr">
        <is>
          <t>Föryngringsavverkning</t>
        </is>
      </c>
      <c r="D4843" s="1" t="n">
        <v>45819</v>
      </c>
      <c r="E4843" s="1" t="n">
        <v>46312</v>
      </c>
      <c r="F4843" t="inlineStr">
        <is>
          <t>SKÅNE LÄN</t>
        </is>
      </c>
      <c r="G4843" t="inlineStr">
        <is>
          <t>ÖRKELLJUNGA</t>
        </is>
      </c>
      <c r="I4843" t="n">
        <v>1.6</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42937-2026</t>
        </is>
      </c>
      <c r="B4844" t="inlineStr">
        <is>
          <t>avverkningsanmälan</t>
        </is>
      </c>
      <c r="C4844" t="inlineStr">
        <is>
          <t>Föryngringsavverkning</t>
        </is>
      </c>
      <c r="D4844" s="1" t="n">
        <v>46310</v>
      </c>
      <c r="E4844" s="1" t="n">
        <v>46312</v>
      </c>
      <c r="F4844" t="inlineStr">
        <is>
          <t>SKÅNE LÄN</t>
        </is>
      </c>
      <c r="G4844" t="inlineStr">
        <is>
          <t>OSBY</t>
        </is>
      </c>
      <c r="I4844" t="n">
        <v>0.7</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10710-2025</t>
        </is>
      </c>
      <c r="B4845" t="inlineStr">
        <is>
          <t>avverkningsanmälan</t>
        </is>
      </c>
      <c r="C4845" t="inlineStr">
        <is>
          <t>Föryngringsavverkning</t>
        </is>
      </c>
      <c r="D4845" s="1" t="n">
        <v>45722</v>
      </c>
      <c r="E4845" s="1" t="n">
        <v>46312</v>
      </c>
      <c r="F4845" t="inlineStr">
        <is>
          <t>SKÅNE LÄN</t>
        </is>
      </c>
      <c r="G4845" t="inlineStr">
        <is>
          <t>BÅSTAD</t>
        </is>
      </c>
      <c r="H4845" t="inlineStr">
        <is>
          <t>Kommuner</t>
        </is>
      </c>
      <c r="I4845" t="n">
        <v>1.8</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31962-2026</t>
        </is>
      </c>
      <c r="B4846" t="inlineStr">
        <is>
          <t>avverkningsanmälan</t>
        </is>
      </c>
      <c r="C4846" t="inlineStr">
        <is>
          <t>Föryngringsavverkning</t>
        </is>
      </c>
      <c r="D4846" s="1" t="n">
        <v>46232</v>
      </c>
      <c r="E4846" s="1" t="n">
        <v>46312</v>
      </c>
      <c r="F4846" t="inlineStr">
        <is>
          <t>SKÅNE LÄN</t>
        </is>
      </c>
      <c r="G4846" t="inlineStr">
        <is>
          <t>HÄSSLEHOLM</t>
        </is>
      </c>
      <c r="I4846" t="n">
        <v>1.2</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29642-2025</t>
        </is>
      </c>
      <c r="B4847" t="inlineStr">
        <is>
          <t>avverkningsanmälan</t>
        </is>
      </c>
      <c r="C4847" t="inlineStr">
        <is>
          <t>Föryngringsavverkning</t>
        </is>
      </c>
      <c r="D4847" s="1" t="n">
        <v>45825</v>
      </c>
      <c r="E4847" s="1" t="n">
        <v>46312</v>
      </c>
      <c r="F4847" t="inlineStr">
        <is>
          <t>SKÅNE LÄN</t>
        </is>
      </c>
      <c r="G4847" t="inlineStr">
        <is>
          <t>ÖRKELLJUNGA</t>
        </is>
      </c>
      <c r="I4847" t="n">
        <v>1.9</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29244-2025</t>
        </is>
      </c>
      <c r="B4848" t="inlineStr">
        <is>
          <t>avverkningsanmälan</t>
        </is>
      </c>
      <c r="C4848" t="inlineStr">
        <is>
          <t>Föryngringsavverkning</t>
        </is>
      </c>
      <c r="D4848" s="1" t="n">
        <v>45824</v>
      </c>
      <c r="E4848" s="1" t="n">
        <v>46312</v>
      </c>
      <c r="F4848" t="inlineStr">
        <is>
          <t>SKÅNE LÄN</t>
        </is>
      </c>
      <c r="G4848" t="inlineStr">
        <is>
          <t>HÖRBY</t>
        </is>
      </c>
      <c r="I4848" t="n">
        <v>0.7</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29354-2025</t>
        </is>
      </c>
      <c r="B4849" t="inlineStr">
        <is>
          <t>avverkningsanmälan</t>
        </is>
      </c>
      <c r="C4849" t="inlineStr">
        <is>
          <t>Föryngringsavverkning</t>
        </is>
      </c>
      <c r="D4849" s="1" t="n">
        <v>45824</v>
      </c>
      <c r="E4849" s="1" t="n">
        <v>46312</v>
      </c>
      <c r="F4849" t="inlineStr">
        <is>
          <t>SKÅNE LÄN</t>
        </is>
      </c>
      <c r="G4849" t="inlineStr">
        <is>
          <t>HÖRBY</t>
        </is>
      </c>
      <c r="I4849" t="n">
        <v>0.8</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16979-2025</t>
        </is>
      </c>
      <c r="B4850" t="inlineStr">
        <is>
          <t>avverkningsanmälan</t>
        </is>
      </c>
      <c r="C4850" t="inlineStr">
        <is>
          <t>Föryngringsavverkning</t>
        </is>
      </c>
      <c r="D4850" s="1" t="n">
        <v>45755</v>
      </c>
      <c r="E4850" s="1" t="n">
        <v>46312</v>
      </c>
      <c r="F4850" t="inlineStr">
        <is>
          <t>SKÅNE LÄN</t>
        </is>
      </c>
      <c r="G4850" t="inlineStr">
        <is>
          <t>SJÖBO</t>
        </is>
      </c>
      <c r="I4850" t="n">
        <v>5.3</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29821-2025</t>
        </is>
      </c>
      <c r="B4851" t="inlineStr">
        <is>
          <t>avverkningsanmälan</t>
        </is>
      </c>
      <c r="C4851" t="inlineStr">
        <is>
          <t>Föryngringsavverkning</t>
        </is>
      </c>
      <c r="D4851" s="1" t="n">
        <v>45825</v>
      </c>
      <c r="E4851" s="1" t="n">
        <v>46312</v>
      </c>
      <c r="F4851" t="inlineStr">
        <is>
          <t>SKÅNE LÄN</t>
        </is>
      </c>
      <c r="G4851" t="inlineStr">
        <is>
          <t>SJÖBO</t>
        </is>
      </c>
      <c r="I4851" t="n">
        <v>4</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36225-2026</t>
        </is>
      </c>
      <c r="B4852" t="inlineStr">
        <is>
          <t>avverkningsanmälan</t>
        </is>
      </c>
      <c r="C4852" t="inlineStr">
        <is>
          <t>Föryngringsavverkning</t>
        </is>
      </c>
      <c r="D4852" s="1" t="n">
        <v>46268</v>
      </c>
      <c r="E4852" s="1" t="n">
        <v>46312</v>
      </c>
      <c r="F4852" t="inlineStr">
        <is>
          <t>SKÅNE LÄN</t>
        </is>
      </c>
      <c r="G4852" t="inlineStr">
        <is>
          <t>PERSTORP</t>
        </is>
      </c>
      <c r="H4852" t="inlineStr">
        <is>
          <t>Övriga Aktiebolag</t>
        </is>
      </c>
      <c r="I4852" t="n">
        <v>1</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30108-2025</t>
        </is>
      </c>
      <c r="B4853" t="inlineStr">
        <is>
          <t>avverkningsanmälan</t>
        </is>
      </c>
      <c r="C4853" t="inlineStr">
        <is>
          <t>Föryngringsavverkning</t>
        </is>
      </c>
      <c r="D4853" s="1" t="n">
        <v>45826</v>
      </c>
      <c r="E4853" s="1" t="n">
        <v>46312</v>
      </c>
      <c r="F4853" t="inlineStr">
        <is>
          <t>SKÅNE LÄN</t>
        </is>
      </c>
      <c r="G4853" t="inlineStr">
        <is>
          <t>ÖSTRA GÖINGE</t>
        </is>
      </c>
      <c r="I4853" t="n">
        <v>0.6</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30453-2025</t>
        </is>
      </c>
      <c r="B4854" t="inlineStr">
        <is>
          <t>avverkningsanmälan</t>
        </is>
      </c>
      <c r="C4854" t="inlineStr">
        <is>
          <t>Föryngringsavverkning</t>
        </is>
      </c>
      <c r="D4854" s="1" t="n">
        <v>45827</v>
      </c>
      <c r="E4854" s="1" t="n">
        <v>46312</v>
      </c>
      <c r="F4854" t="inlineStr">
        <is>
          <t>SKÅNE LÄN</t>
        </is>
      </c>
      <c r="G4854" t="inlineStr">
        <is>
          <t>SJÖBO</t>
        </is>
      </c>
      <c r="I4854" t="n">
        <v>1.4</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33984-2025</t>
        </is>
      </c>
      <c r="B4855" t="inlineStr">
        <is>
          <t>avverkningsanmälan</t>
        </is>
      </c>
      <c r="C4855" t="inlineStr">
        <is>
          <t>Avverkning för annat ändamål</t>
        </is>
      </c>
      <c r="D4855" s="1" t="n">
        <v>45843</v>
      </c>
      <c r="E4855" s="1" t="n">
        <v>46312</v>
      </c>
      <c r="F4855" t="inlineStr">
        <is>
          <t>SKÅNE LÄN</t>
        </is>
      </c>
      <c r="G4855" t="inlineStr">
        <is>
          <t>KRISTIANSTAD</t>
        </is>
      </c>
      <c r="I4855" t="n">
        <v>0.7</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35642-2026</t>
        </is>
      </c>
      <c r="B4856" t="inlineStr">
        <is>
          <t>avverkningsanmälan</t>
        </is>
      </c>
      <c r="C4856" t="inlineStr">
        <is>
          <t>Föryngringsavverkning</t>
        </is>
      </c>
      <c r="D4856" s="1" t="n">
        <v>46265</v>
      </c>
      <c r="E4856" s="1" t="n">
        <v>46312</v>
      </c>
      <c r="F4856" t="inlineStr">
        <is>
          <t>SKÅNE LÄN</t>
        </is>
      </c>
      <c r="G4856" t="inlineStr">
        <is>
          <t>HÖÖR</t>
        </is>
      </c>
      <c r="I4856" t="n">
        <v>2.1</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13940-2025</t>
        </is>
      </c>
      <c r="B4857" t="inlineStr">
        <is>
          <t>avverkningsanmälan</t>
        </is>
      </c>
      <c r="C4857" t="inlineStr">
        <is>
          <t>Föryngringsavverkning</t>
        </is>
      </c>
      <c r="D4857" s="1" t="n">
        <v>45737</v>
      </c>
      <c r="E4857" s="1" t="n">
        <v>46312</v>
      </c>
      <c r="F4857" t="inlineStr">
        <is>
          <t>SKÅNE LÄN</t>
        </is>
      </c>
      <c r="G4857" t="inlineStr">
        <is>
          <t>KRISTIANSTAD</t>
        </is>
      </c>
      <c r="I4857" t="n">
        <v>3</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30764-2025</t>
        </is>
      </c>
      <c r="B4858" t="inlineStr">
        <is>
          <t>avverkningsanmälan</t>
        </is>
      </c>
      <c r="C4858" t="inlineStr">
        <is>
          <t>Föryngringsavverkning</t>
        </is>
      </c>
      <c r="D4858" s="1" t="n">
        <v>45831</v>
      </c>
      <c r="E4858" s="1" t="n">
        <v>46312</v>
      </c>
      <c r="F4858" t="inlineStr">
        <is>
          <t>SKÅNE LÄN</t>
        </is>
      </c>
      <c r="G4858" t="inlineStr">
        <is>
          <t>KRISTIANSTAD</t>
        </is>
      </c>
      <c r="I4858" t="n">
        <v>0.9</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7666-2025</t>
        </is>
      </c>
      <c r="B4859" t="inlineStr">
        <is>
          <t>avverkningsanmälan</t>
        </is>
      </c>
      <c r="C4859" t="inlineStr">
        <is>
          <t>Föryngringsavverkning</t>
        </is>
      </c>
      <c r="D4859" s="1" t="n">
        <v>45706</v>
      </c>
      <c r="E4859" s="1" t="n">
        <v>46312</v>
      </c>
      <c r="F4859" t="inlineStr">
        <is>
          <t>SKÅNE LÄN</t>
        </is>
      </c>
      <c r="G4859" t="inlineStr">
        <is>
          <t>KRISTIANSTAD</t>
        </is>
      </c>
      <c r="I4859" t="n">
        <v>11.8</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13875-2025</t>
        </is>
      </c>
      <c r="B4860" t="inlineStr">
        <is>
          <t>avverkningsanmälan</t>
        </is>
      </c>
      <c r="C4860" t="inlineStr">
        <is>
          <t>Föryngringsavverkning</t>
        </is>
      </c>
      <c r="D4860" s="1" t="n">
        <v>45737</v>
      </c>
      <c r="E4860" s="1" t="n">
        <v>46312</v>
      </c>
      <c r="F4860" t="inlineStr">
        <is>
          <t>SKÅNE LÄN</t>
        </is>
      </c>
      <c r="G4860" t="inlineStr">
        <is>
          <t>KRISTIANSTAD</t>
        </is>
      </c>
      <c r="I4860" t="n">
        <v>1.4</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13928-2025</t>
        </is>
      </c>
      <c r="B4861" t="inlineStr">
        <is>
          <t>avverkningsanmälan</t>
        </is>
      </c>
      <c r="C4861" t="inlineStr">
        <is>
          <t>Föryngringsavverkning</t>
        </is>
      </c>
      <c r="D4861" s="1" t="n">
        <v>45737</v>
      </c>
      <c r="E4861" s="1" t="n">
        <v>46312</v>
      </c>
      <c r="F4861" t="inlineStr">
        <is>
          <t>SKÅNE LÄN</t>
        </is>
      </c>
      <c r="G4861" t="inlineStr">
        <is>
          <t>KRISTIANSTAD</t>
        </is>
      </c>
      <c r="I4861" t="n">
        <v>3.6</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29284-2025</t>
        </is>
      </c>
      <c r="B4862" t="inlineStr">
        <is>
          <t>avverkningsanmälan</t>
        </is>
      </c>
      <c r="C4862" t="inlineStr">
        <is>
          <t>Avverkning för annat ändamål</t>
        </is>
      </c>
      <c r="D4862" s="1" t="n">
        <v>45824</v>
      </c>
      <c r="E4862" s="1" t="n">
        <v>46312</v>
      </c>
      <c r="F4862" t="inlineStr">
        <is>
          <t>SKÅNE LÄN</t>
        </is>
      </c>
      <c r="G4862" t="inlineStr">
        <is>
          <t>KLIPPAN</t>
        </is>
      </c>
      <c r="I4862" t="n">
        <v>0.4</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30845-2025</t>
        </is>
      </c>
      <c r="B4863" t="inlineStr">
        <is>
          <t>avverkningsanmälan</t>
        </is>
      </c>
      <c r="C4863" t="inlineStr">
        <is>
          <t>Föryngringsavverkning</t>
        </is>
      </c>
      <c r="D4863" s="1" t="n">
        <v>45831</v>
      </c>
      <c r="E4863" s="1" t="n">
        <v>46312</v>
      </c>
      <c r="F4863" t="inlineStr">
        <is>
          <t>SKÅNE LÄN</t>
        </is>
      </c>
      <c r="G4863" t="inlineStr">
        <is>
          <t>ÖSTRA GÖINGE</t>
        </is>
      </c>
      <c r="I4863" t="n">
        <v>0.8</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31575-2025</t>
        </is>
      </c>
      <c r="B4864" t="inlineStr">
        <is>
          <t>avverkningsanmälan</t>
        </is>
      </c>
      <c r="C4864" t="inlineStr">
        <is>
          <t>Föryngringsavverkning</t>
        </is>
      </c>
      <c r="D4864" s="1" t="n">
        <v>45833</v>
      </c>
      <c r="E4864" s="1" t="n">
        <v>46312</v>
      </c>
      <c r="F4864" t="inlineStr">
        <is>
          <t>SKÅNE LÄN</t>
        </is>
      </c>
      <c r="G4864" t="inlineStr">
        <is>
          <t>KRISTIANSTAD</t>
        </is>
      </c>
      <c r="I4864" t="n">
        <v>0.6</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31105-2025</t>
        </is>
      </c>
      <c r="B4865" t="inlineStr">
        <is>
          <t>avverkningsanmälan</t>
        </is>
      </c>
      <c r="C4865" t="inlineStr">
        <is>
          <t>Avverkning för annat ändamål</t>
        </is>
      </c>
      <c r="D4865" s="1" t="n">
        <v>45832</v>
      </c>
      <c r="E4865" s="1" t="n">
        <v>46312</v>
      </c>
      <c r="F4865" t="inlineStr">
        <is>
          <t>SKÅNE LÄN</t>
        </is>
      </c>
      <c r="G4865" t="inlineStr">
        <is>
          <t>KRISTIANSTAD</t>
        </is>
      </c>
      <c r="H4865" t="inlineStr">
        <is>
          <t>Övriga Aktiebolag</t>
        </is>
      </c>
      <c r="I4865" t="n">
        <v>0.9</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31943-2025</t>
        </is>
      </c>
      <c r="B4866" t="inlineStr">
        <is>
          <t>avverkningsanmälan</t>
        </is>
      </c>
      <c r="C4866" t="inlineStr">
        <is>
          <t>Föryngringsavverkning</t>
        </is>
      </c>
      <c r="D4866" s="1" t="n">
        <v>45835</v>
      </c>
      <c r="E4866" s="1" t="n">
        <v>46312</v>
      </c>
      <c r="F4866" t="inlineStr">
        <is>
          <t>SKÅNE LÄN</t>
        </is>
      </c>
      <c r="G4866" t="inlineStr">
        <is>
          <t>ÖSTRA GÖINGE</t>
        </is>
      </c>
      <c r="I4866" t="n">
        <v>1</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22063-2025</t>
        </is>
      </c>
      <c r="B4867" t="inlineStr">
        <is>
          <t>avverkningsanmälan</t>
        </is>
      </c>
      <c r="C4867" t="inlineStr">
        <is>
          <t>Föryngringsavverkning</t>
        </is>
      </c>
      <c r="D4867" s="1" t="n">
        <v>45785</v>
      </c>
      <c r="E4867" s="1" t="n">
        <v>46312</v>
      </c>
      <c r="F4867" t="inlineStr">
        <is>
          <t>SKÅNE LÄN</t>
        </is>
      </c>
      <c r="G4867" t="inlineStr">
        <is>
          <t>SVALÖV</t>
        </is>
      </c>
      <c r="I4867" t="n">
        <v>2</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12038-2025</t>
        </is>
      </c>
      <c r="B4868" t="inlineStr">
        <is>
          <t>avverkningsanmälan</t>
        </is>
      </c>
      <c r="C4868" t="inlineStr">
        <is>
          <t>Föryngringsavverkning</t>
        </is>
      </c>
      <c r="D4868" s="1" t="n">
        <v>45728</v>
      </c>
      <c r="E4868" s="1" t="n">
        <v>46312</v>
      </c>
      <c r="F4868" t="inlineStr">
        <is>
          <t>SKÅNE LÄN</t>
        </is>
      </c>
      <c r="G4868" t="inlineStr">
        <is>
          <t>ÖRKELLJUNGA</t>
        </is>
      </c>
      <c r="I4868" t="n">
        <v>1.6</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32020-2025</t>
        </is>
      </c>
      <c r="B4869" t="inlineStr">
        <is>
          <t>avverkningsanmälan</t>
        </is>
      </c>
      <c r="C4869" t="inlineStr">
        <is>
          <t>Föryngringsavverkning</t>
        </is>
      </c>
      <c r="D4869" s="1" t="n">
        <v>45835</v>
      </c>
      <c r="E4869" s="1" t="n">
        <v>46312</v>
      </c>
      <c r="F4869" t="inlineStr">
        <is>
          <t>SKÅNE LÄN</t>
        </is>
      </c>
      <c r="G4869" t="inlineStr">
        <is>
          <t>ÄNGELHOLM</t>
        </is>
      </c>
      <c r="I4869" t="n">
        <v>0.7</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32132-2025</t>
        </is>
      </c>
      <c r="B4870" t="inlineStr">
        <is>
          <t>avverkningsanmälan</t>
        </is>
      </c>
      <c r="C4870" t="inlineStr">
        <is>
          <t>Föryngringsavverkning</t>
        </is>
      </c>
      <c r="D4870" s="1" t="n">
        <v>45835</v>
      </c>
      <c r="E4870" s="1" t="n">
        <v>46312</v>
      </c>
      <c r="F4870" t="inlineStr">
        <is>
          <t>SKÅNE LÄN</t>
        </is>
      </c>
      <c r="G4870" t="inlineStr">
        <is>
          <t>KLIPPAN</t>
        </is>
      </c>
      <c r="I4870" t="n">
        <v>1.1</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31847-2025</t>
        </is>
      </c>
      <c r="B4871" t="inlineStr">
        <is>
          <t>avverkningsanmälan</t>
        </is>
      </c>
      <c r="C4871" t="inlineStr">
        <is>
          <t>Föryngringsavverkning</t>
        </is>
      </c>
      <c r="D4871" s="1" t="n">
        <v>45834</v>
      </c>
      <c r="E4871" s="1" t="n">
        <v>46312</v>
      </c>
      <c r="F4871" t="inlineStr">
        <is>
          <t>SKÅNE LÄN</t>
        </is>
      </c>
      <c r="G4871" t="inlineStr">
        <is>
          <t>ÖSTRA GÖINGE</t>
        </is>
      </c>
      <c r="I4871" t="n">
        <v>1.2</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31823-2025</t>
        </is>
      </c>
      <c r="B4872" t="inlineStr">
        <is>
          <t>avverkningsanmälan</t>
        </is>
      </c>
      <c r="C4872" t="inlineStr">
        <is>
          <t>Föryngringsavverkning</t>
        </is>
      </c>
      <c r="D4872" s="1" t="n">
        <v>45834</v>
      </c>
      <c r="E4872" s="1" t="n">
        <v>46312</v>
      </c>
      <c r="F4872" t="inlineStr">
        <is>
          <t>SKÅNE LÄN</t>
        </is>
      </c>
      <c r="G4872" t="inlineStr">
        <is>
          <t>ÖSTRA GÖINGE</t>
        </is>
      </c>
      <c r="I4872" t="n">
        <v>5.5</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31858-2025</t>
        </is>
      </c>
      <c r="B4873" t="inlineStr">
        <is>
          <t>avverkningsanmälan</t>
        </is>
      </c>
      <c r="C4873" t="inlineStr">
        <is>
          <t>Föryngringsavverkning</t>
        </is>
      </c>
      <c r="D4873" s="1" t="n">
        <v>45834</v>
      </c>
      <c r="E4873" s="1" t="n">
        <v>46312</v>
      </c>
      <c r="F4873" t="inlineStr">
        <is>
          <t>SKÅNE LÄN</t>
        </is>
      </c>
      <c r="G4873" t="inlineStr">
        <is>
          <t>ÖSTRA GÖINGE</t>
        </is>
      </c>
      <c r="I4873" t="n">
        <v>0.6</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34175-2025</t>
        </is>
      </c>
      <c r="B4874" t="inlineStr">
        <is>
          <t>avverkningsanmälan</t>
        </is>
      </c>
      <c r="C4874" t="inlineStr">
        <is>
          <t>Föryngringsavverkning</t>
        </is>
      </c>
      <c r="D4874" s="1" t="n">
        <v>45835</v>
      </c>
      <c r="E4874" s="1" t="n">
        <v>46312</v>
      </c>
      <c r="F4874" t="inlineStr">
        <is>
          <t>SKÅNE LÄN</t>
        </is>
      </c>
      <c r="G4874" t="inlineStr">
        <is>
          <t>ÖSTRA GÖINGE</t>
        </is>
      </c>
      <c r="I4874" t="n">
        <v>1.4</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31638-2025</t>
        </is>
      </c>
      <c r="B4875" t="inlineStr">
        <is>
          <t>avverkningsanmälan</t>
        </is>
      </c>
      <c r="C4875" t="inlineStr">
        <is>
          <t>Föryngringsavverkning</t>
        </is>
      </c>
      <c r="D4875" s="1" t="n">
        <v>45834</v>
      </c>
      <c r="E4875" s="1" t="n">
        <v>46312</v>
      </c>
      <c r="F4875" t="inlineStr">
        <is>
          <t>SKÅNE LÄN</t>
        </is>
      </c>
      <c r="G4875" t="inlineStr">
        <is>
          <t>OSBY</t>
        </is>
      </c>
      <c r="I4875" t="n">
        <v>2.7</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31947-2025</t>
        </is>
      </c>
      <c r="B4876" t="inlineStr">
        <is>
          <t>avverkningsanmälan</t>
        </is>
      </c>
      <c r="C4876" t="inlineStr">
        <is>
          <t>Föryngringsavverkning</t>
        </is>
      </c>
      <c r="D4876" s="1" t="n">
        <v>45835</v>
      </c>
      <c r="E4876" s="1" t="n">
        <v>46312</v>
      </c>
      <c r="F4876" t="inlineStr">
        <is>
          <t>SKÅNE LÄN</t>
        </is>
      </c>
      <c r="G4876" t="inlineStr">
        <is>
          <t>OSBY</t>
        </is>
      </c>
      <c r="I4876" t="n">
        <v>6.1</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32958-2025</t>
        </is>
      </c>
      <c r="B4877" t="inlineStr">
        <is>
          <t>avverkningsanmälan</t>
        </is>
      </c>
      <c r="C4877" t="inlineStr">
        <is>
          <t>Föryngringsavverkning</t>
        </is>
      </c>
      <c r="D4877" s="1" t="n">
        <v>45839</v>
      </c>
      <c r="E4877" s="1" t="n">
        <v>46312</v>
      </c>
      <c r="F4877" t="inlineStr">
        <is>
          <t>SKÅNE LÄN</t>
        </is>
      </c>
      <c r="G4877" t="inlineStr">
        <is>
          <t>HÖRBY</t>
        </is>
      </c>
      <c r="I4877" t="n">
        <v>5</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17753-2025</t>
        </is>
      </c>
      <c r="B4878" t="inlineStr">
        <is>
          <t>avverkningsanmälan</t>
        </is>
      </c>
      <c r="C4878" t="inlineStr">
        <is>
          <t>Föryngringsavverkning</t>
        </is>
      </c>
      <c r="D4878" s="1" t="n">
        <v>45758</v>
      </c>
      <c r="E4878" s="1" t="n">
        <v>46312</v>
      </c>
      <c r="F4878" t="inlineStr">
        <is>
          <t>SKÅNE LÄN</t>
        </is>
      </c>
      <c r="G4878" t="inlineStr">
        <is>
          <t>KRISTIANSTAD</t>
        </is>
      </c>
      <c r="I4878" t="n">
        <v>7.2</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8478-2025</t>
        </is>
      </c>
      <c r="B4879" t="inlineStr">
        <is>
          <t>avverkningsanmälan</t>
        </is>
      </c>
      <c r="C4879" t="inlineStr">
        <is>
          <t>Föryngringsavverkning</t>
        </is>
      </c>
      <c r="D4879" s="1" t="n">
        <v>45709</v>
      </c>
      <c r="E4879" s="1" t="n">
        <v>46312</v>
      </c>
      <c r="F4879" t="inlineStr">
        <is>
          <t>SKÅNE LÄN</t>
        </is>
      </c>
      <c r="G4879" t="inlineStr">
        <is>
          <t>HÖÖR</t>
        </is>
      </c>
      <c r="I4879" t="n">
        <v>1.8</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21238-2024</t>
        </is>
      </c>
      <c r="B4880" t="inlineStr">
        <is>
          <t>avverkningsanmälan</t>
        </is>
      </c>
      <c r="C4880" t="inlineStr">
        <is>
          <t>Föryngringsavverkning</t>
        </is>
      </c>
      <c r="D4880" s="1" t="n">
        <v>45440</v>
      </c>
      <c r="E4880" s="1" t="n">
        <v>46312</v>
      </c>
      <c r="F4880" t="inlineStr">
        <is>
          <t>SKÅNE LÄN</t>
        </is>
      </c>
      <c r="G4880" t="inlineStr">
        <is>
          <t>KRISTIANSTAD</t>
        </is>
      </c>
      <c r="I4880" t="n">
        <v>5.4</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17270-2025</t>
        </is>
      </c>
      <c r="B4881" t="inlineStr">
        <is>
          <t>avverkningsanmälan</t>
        </is>
      </c>
      <c r="C4881" t="inlineStr">
        <is>
          <t>Föryngringsavverkning</t>
        </is>
      </c>
      <c r="D4881" s="1" t="n">
        <v>45756</v>
      </c>
      <c r="E4881" s="1" t="n">
        <v>46312</v>
      </c>
      <c r="F4881" t="inlineStr">
        <is>
          <t>SKÅNE LÄN</t>
        </is>
      </c>
      <c r="G4881" t="inlineStr">
        <is>
          <t>ÖRKELLJUNGA</t>
        </is>
      </c>
      <c r="I4881" t="n">
        <v>0.7</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32459-2025</t>
        </is>
      </c>
      <c r="B4882" t="inlineStr">
        <is>
          <t>avverkningsanmälan</t>
        </is>
      </c>
      <c r="C4882" t="inlineStr">
        <is>
          <t>Föryngringsavverkning</t>
        </is>
      </c>
      <c r="D4882" s="1" t="n">
        <v>45838</v>
      </c>
      <c r="E4882" s="1" t="n">
        <v>46312</v>
      </c>
      <c r="F4882" t="inlineStr">
        <is>
          <t>SKÅNE LÄN</t>
        </is>
      </c>
      <c r="G4882" t="inlineStr">
        <is>
          <t>HÖRBY</t>
        </is>
      </c>
      <c r="I4882" t="n">
        <v>1.2</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32704-2025</t>
        </is>
      </c>
      <c r="B4883" t="inlineStr">
        <is>
          <t>avverkningsanmälan</t>
        </is>
      </c>
      <c r="C4883" t="inlineStr">
        <is>
          <t>Föryngringsavverkning</t>
        </is>
      </c>
      <c r="D4883" s="1" t="n">
        <v>45839</v>
      </c>
      <c r="E4883" s="1" t="n">
        <v>46312</v>
      </c>
      <c r="F4883" t="inlineStr">
        <is>
          <t>SKÅNE LÄN</t>
        </is>
      </c>
      <c r="G4883" t="inlineStr">
        <is>
          <t>ÖRKELLJUNGA</t>
        </is>
      </c>
      <c r="I4883" t="n">
        <v>0.9</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2981-2024</t>
        </is>
      </c>
      <c r="B4884" t="inlineStr">
        <is>
          <t>avverkningsanmälan</t>
        </is>
      </c>
      <c r="C4884" t="inlineStr">
        <is>
          <t>Föryngringsavverkning</t>
        </is>
      </c>
      <c r="D4884" s="1" t="n">
        <v>45315</v>
      </c>
      <c r="E4884" s="1" t="n">
        <v>46312</v>
      </c>
      <c r="F4884" t="inlineStr">
        <is>
          <t>SKÅNE LÄN</t>
        </is>
      </c>
      <c r="G4884" t="inlineStr">
        <is>
          <t>HÖRBY</t>
        </is>
      </c>
      <c r="H4884" t="inlineStr">
        <is>
          <t>Kyrkan</t>
        </is>
      </c>
      <c r="I4884" t="n">
        <v>6.4</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33251-2024</t>
        </is>
      </c>
      <c r="B4885" t="inlineStr">
        <is>
          <t>avverkningsanmälan</t>
        </is>
      </c>
      <c r="C4885" t="inlineStr">
        <is>
          <t>Föryngringsavverkning</t>
        </is>
      </c>
      <c r="D4885" s="1" t="n">
        <v>45518</v>
      </c>
      <c r="E4885" s="1" t="n">
        <v>46312</v>
      </c>
      <c r="F4885" t="inlineStr">
        <is>
          <t>SKÅNE LÄN</t>
        </is>
      </c>
      <c r="G4885" t="inlineStr">
        <is>
          <t>OSBY</t>
        </is>
      </c>
      <c r="H4885" t="inlineStr">
        <is>
          <t>Naturvårdsverket</t>
        </is>
      </c>
      <c r="I4885" t="n">
        <v>6.4</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32518-2025</t>
        </is>
      </c>
      <c r="B4886" t="inlineStr">
        <is>
          <t>avverkningsanmälan</t>
        </is>
      </c>
      <c r="C4886" t="inlineStr">
        <is>
          <t>Föryngringsavverkning</t>
        </is>
      </c>
      <c r="D4886" s="1" t="n">
        <v>45838</v>
      </c>
      <c r="E4886" s="1" t="n">
        <v>46312</v>
      </c>
      <c r="F4886" t="inlineStr">
        <is>
          <t>SKÅNE LÄN</t>
        </is>
      </c>
      <c r="G4886" t="inlineStr">
        <is>
          <t>OSBY</t>
        </is>
      </c>
      <c r="I4886" t="n">
        <v>1.5</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32520-2025</t>
        </is>
      </c>
      <c r="B4887" t="inlineStr">
        <is>
          <t>avverkningsanmälan</t>
        </is>
      </c>
      <c r="C4887" t="inlineStr">
        <is>
          <t>Föryngringsavverkning</t>
        </is>
      </c>
      <c r="D4887" s="1" t="n">
        <v>45838</v>
      </c>
      <c r="E4887" s="1" t="n">
        <v>46312</v>
      </c>
      <c r="F4887" t="inlineStr">
        <is>
          <t>SKÅNE LÄN</t>
        </is>
      </c>
      <c r="G4887" t="inlineStr">
        <is>
          <t>OSBY</t>
        </is>
      </c>
      <c r="I4887" t="n">
        <v>1.2</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32592-2025</t>
        </is>
      </c>
      <c r="B4888" t="inlineStr">
        <is>
          <t>avverkningsanmälan</t>
        </is>
      </c>
      <c r="C4888" t="inlineStr">
        <is>
          <t>Föryngringsavverkning</t>
        </is>
      </c>
      <c r="D4888" s="1" t="n">
        <v>45838</v>
      </c>
      <c r="E4888" s="1" t="n">
        <v>46312</v>
      </c>
      <c r="F4888" t="inlineStr">
        <is>
          <t>SKÅNE LÄN</t>
        </is>
      </c>
      <c r="G4888" t="inlineStr">
        <is>
          <t>HÄSSLEHOLM</t>
        </is>
      </c>
      <c r="I4888" t="n">
        <v>2.1</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30145-2025</t>
        </is>
      </c>
      <c r="B4889" t="inlineStr">
        <is>
          <t>avverkningsanmälan</t>
        </is>
      </c>
      <c r="C4889" t="inlineStr">
        <is>
          <t>Föryngringsavverkning</t>
        </is>
      </c>
      <c r="D4889" s="1" t="n">
        <v>45826</v>
      </c>
      <c r="E4889" s="1" t="n">
        <v>46312</v>
      </c>
      <c r="F4889" t="inlineStr">
        <is>
          <t>SKÅNE LÄN</t>
        </is>
      </c>
      <c r="G4889" t="inlineStr">
        <is>
          <t>OSBY</t>
        </is>
      </c>
      <c r="I4889" t="n">
        <v>0.6</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29285-2025</t>
        </is>
      </c>
      <c r="B4890" t="inlineStr">
        <is>
          <t>avverkningsanmälan</t>
        </is>
      </c>
      <c r="C4890" t="inlineStr">
        <is>
          <t>Föryngringsavverkning</t>
        </is>
      </c>
      <c r="D4890" s="1" t="n">
        <v>45824</v>
      </c>
      <c r="E4890" s="1" t="n">
        <v>46312</v>
      </c>
      <c r="F4890" t="inlineStr">
        <is>
          <t>SKÅNE LÄN</t>
        </is>
      </c>
      <c r="G4890" t="inlineStr">
        <is>
          <t>HÖÖR</t>
        </is>
      </c>
      <c r="I4890" t="n">
        <v>8.199999999999999</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34053-2025</t>
        </is>
      </c>
      <c r="B4891" t="inlineStr">
        <is>
          <t>avverkningsanmälan</t>
        </is>
      </c>
      <c r="C4891" t="inlineStr">
        <is>
          <t>Föryngringsavverkning</t>
        </is>
      </c>
      <c r="D4891" s="1" t="n">
        <v>45845</v>
      </c>
      <c r="E4891" s="1" t="n">
        <v>46312</v>
      </c>
      <c r="F4891" t="inlineStr">
        <is>
          <t>SKÅNE LÄN</t>
        </is>
      </c>
      <c r="G4891" t="inlineStr">
        <is>
          <t>OSBY</t>
        </is>
      </c>
      <c r="I4891" t="n">
        <v>11</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17980-2025</t>
        </is>
      </c>
      <c r="B4892" t="inlineStr">
        <is>
          <t>avverkningsanmälan</t>
        </is>
      </c>
      <c r="C4892" t="inlineStr">
        <is>
          <t>Föryngringsavverkning</t>
        </is>
      </c>
      <c r="D4892" s="1" t="n">
        <v>45761</v>
      </c>
      <c r="E4892" s="1" t="n">
        <v>46312</v>
      </c>
      <c r="F4892" t="inlineStr">
        <is>
          <t>SKÅNE LÄN</t>
        </is>
      </c>
      <c r="G4892" t="inlineStr">
        <is>
          <t>SVALÖV</t>
        </is>
      </c>
      <c r="I4892" t="n">
        <v>3.4</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34047-2025</t>
        </is>
      </c>
      <c r="B4893" t="inlineStr">
        <is>
          <t>avverkningsanmälan</t>
        </is>
      </c>
      <c r="C4893" t="inlineStr">
        <is>
          <t>Föryngringsavverkning</t>
        </is>
      </c>
      <c r="D4893" s="1" t="n">
        <v>45845</v>
      </c>
      <c r="E4893" s="1" t="n">
        <v>46312</v>
      </c>
      <c r="F4893" t="inlineStr">
        <is>
          <t>SKÅNE LÄN</t>
        </is>
      </c>
      <c r="G4893" t="inlineStr">
        <is>
          <t>OSBY</t>
        </is>
      </c>
      <c r="I4893" t="n">
        <v>8.800000000000001</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34173-2025</t>
        </is>
      </c>
      <c r="B4894" t="inlineStr">
        <is>
          <t>avverkningsanmälan</t>
        </is>
      </c>
      <c r="C4894" t="inlineStr">
        <is>
          <t>Föryngringsavverkning</t>
        </is>
      </c>
      <c r="D4894" s="1" t="n">
        <v>45845</v>
      </c>
      <c r="E4894" s="1" t="n">
        <v>46312</v>
      </c>
      <c r="F4894" t="inlineStr">
        <is>
          <t>SKÅNE LÄN</t>
        </is>
      </c>
      <c r="G4894" t="inlineStr">
        <is>
          <t>SJÖBO</t>
        </is>
      </c>
      <c r="I4894" t="n">
        <v>5</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34227-2025</t>
        </is>
      </c>
      <c r="B4895" t="inlineStr">
        <is>
          <t>avverkningsanmälan</t>
        </is>
      </c>
      <c r="C4895" t="inlineStr">
        <is>
          <t>Föryngringsavverkning</t>
        </is>
      </c>
      <c r="D4895" s="1" t="n">
        <v>45844</v>
      </c>
      <c r="E4895" s="1" t="n">
        <v>46312</v>
      </c>
      <c r="F4895" t="inlineStr">
        <is>
          <t>SKÅNE LÄN</t>
        </is>
      </c>
      <c r="G4895" t="inlineStr">
        <is>
          <t>OSBY</t>
        </is>
      </c>
      <c r="I4895" t="n">
        <v>3.8</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33877-2025</t>
        </is>
      </c>
      <c r="B4896" t="inlineStr">
        <is>
          <t>avverkningsanmälan</t>
        </is>
      </c>
      <c r="C4896" t="inlineStr">
        <is>
          <t>Föryngringsavverkning</t>
        </is>
      </c>
      <c r="D4896" s="1" t="n">
        <v>45842</v>
      </c>
      <c r="E4896" s="1" t="n">
        <v>46312</v>
      </c>
      <c r="F4896" t="inlineStr">
        <is>
          <t>SKÅNE LÄN</t>
        </is>
      </c>
      <c r="G4896" t="inlineStr">
        <is>
          <t>HÄSSLEHOLM</t>
        </is>
      </c>
      <c r="I4896" t="n">
        <v>3.9</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52495-2024</t>
        </is>
      </c>
      <c r="B4897" t="inlineStr">
        <is>
          <t>avverkningsanmälan</t>
        </is>
      </c>
      <c r="C4897" t="inlineStr">
        <is>
          <t>Föryngringsavverkning</t>
        </is>
      </c>
      <c r="D4897" s="1" t="n">
        <v>45609</v>
      </c>
      <c r="E4897" s="1" t="n">
        <v>46312</v>
      </c>
      <c r="F4897" t="inlineStr">
        <is>
          <t>SKÅNE LÄN</t>
        </is>
      </c>
      <c r="G4897" t="inlineStr">
        <is>
          <t>KRISTIANSTAD</t>
        </is>
      </c>
      <c r="I4897" t="n">
        <v>3.6</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3769-2024</t>
        </is>
      </c>
      <c r="B4898" t="inlineStr">
        <is>
          <t>avverkningsanmälan</t>
        </is>
      </c>
      <c r="C4898" t="inlineStr">
        <is>
          <t>Avverkning för annat ändamål</t>
        </is>
      </c>
      <c r="D4898" s="1" t="n">
        <v>45321</v>
      </c>
      <c r="E4898" s="1" t="n">
        <v>46312</v>
      </c>
      <c r="F4898" t="inlineStr">
        <is>
          <t>SKÅNE LÄN</t>
        </is>
      </c>
      <c r="G4898" t="inlineStr">
        <is>
          <t>KRISTIANSTAD</t>
        </is>
      </c>
      <c r="I4898" t="n">
        <v>1</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37756-2024</t>
        </is>
      </c>
      <c r="B4899" t="inlineStr">
        <is>
          <t>avverkningsanmälan</t>
        </is>
      </c>
      <c r="C4899" t="inlineStr">
        <is>
          <t>Föryngringsavverkning</t>
        </is>
      </c>
      <c r="D4899" s="1" t="n">
        <v>45541</v>
      </c>
      <c r="E4899" s="1" t="n">
        <v>46312</v>
      </c>
      <c r="F4899" t="inlineStr">
        <is>
          <t>SKÅNE LÄN</t>
        </is>
      </c>
      <c r="G4899" t="inlineStr">
        <is>
          <t>HÖRBY</t>
        </is>
      </c>
      <c r="I4899" t="n">
        <v>3.2</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32596-2024</t>
        </is>
      </c>
      <c r="B4900" t="inlineStr">
        <is>
          <t>avverkningsanmälan</t>
        </is>
      </c>
      <c r="C4900" t="inlineStr">
        <is>
          <t>Föryngringsavverkning</t>
        </is>
      </c>
      <c r="D4900" s="1" t="n">
        <v>45513</v>
      </c>
      <c r="E4900" s="1" t="n">
        <v>46312</v>
      </c>
      <c r="F4900" t="inlineStr">
        <is>
          <t>SKÅNE LÄN</t>
        </is>
      </c>
      <c r="G4900" t="inlineStr">
        <is>
          <t>YSTAD</t>
        </is>
      </c>
      <c r="I4900" t="n">
        <v>2.6</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16525-2024</t>
        </is>
      </c>
      <c r="B4901" t="inlineStr">
        <is>
          <t>avverkningsanmälan</t>
        </is>
      </c>
      <c r="C4901" t="inlineStr">
        <is>
          <t>Föryngringsavverkning</t>
        </is>
      </c>
      <c r="D4901" s="1" t="n">
        <v>45408</v>
      </c>
      <c r="E4901" s="1" t="n">
        <v>46312</v>
      </c>
      <c r="F4901" t="inlineStr">
        <is>
          <t>SKÅNE LÄN</t>
        </is>
      </c>
      <c r="G4901" t="inlineStr">
        <is>
          <t>KRISTIANSTAD</t>
        </is>
      </c>
      <c r="I4901" t="n">
        <v>1.1</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13562-2025</t>
        </is>
      </c>
      <c r="B4902" t="inlineStr">
        <is>
          <t>avverkningsanmälan</t>
        </is>
      </c>
      <c r="C4902" t="inlineStr">
        <is>
          <t>Föryngringsavverkning</t>
        </is>
      </c>
      <c r="D4902" s="1" t="n">
        <v>45736</v>
      </c>
      <c r="E4902" s="1" t="n">
        <v>46312</v>
      </c>
      <c r="F4902" t="inlineStr">
        <is>
          <t>SKÅNE LÄN</t>
        </is>
      </c>
      <c r="G4902" t="inlineStr">
        <is>
          <t>KRISTIANSTAD</t>
        </is>
      </c>
      <c r="I4902" t="n">
        <v>2.2</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14682-2023</t>
        </is>
      </c>
      <c r="B4903" t="inlineStr">
        <is>
          <t>avverkningsanmälan</t>
        </is>
      </c>
      <c r="C4903" t="inlineStr">
        <is>
          <t>Föryngringsavverkning</t>
        </is>
      </c>
      <c r="D4903" s="1" t="n">
        <v>45014</v>
      </c>
      <c r="E4903" s="1" t="n">
        <v>46312</v>
      </c>
      <c r="F4903" t="inlineStr">
        <is>
          <t>SKÅNE LÄN</t>
        </is>
      </c>
      <c r="G4903" t="inlineStr">
        <is>
          <t>KRISTIANSTAD</t>
        </is>
      </c>
      <c r="I4903" t="n">
        <v>1.1</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13662-2025</t>
        </is>
      </c>
      <c r="B4904" t="inlineStr">
        <is>
          <t>avverkningsanmälan</t>
        </is>
      </c>
      <c r="C4904" t="inlineStr">
        <is>
          <t>Föryngringsavverkning</t>
        </is>
      </c>
      <c r="D4904" s="1" t="n">
        <v>45736</v>
      </c>
      <c r="E4904" s="1" t="n">
        <v>46312</v>
      </c>
      <c r="F4904" t="inlineStr">
        <is>
          <t>SKÅNE LÄN</t>
        </is>
      </c>
      <c r="G4904" t="inlineStr">
        <is>
          <t>ÄNGELHOLM</t>
        </is>
      </c>
      <c r="I4904" t="n">
        <v>6.4</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13664-2025</t>
        </is>
      </c>
      <c r="B4905" t="inlineStr">
        <is>
          <t>avverkningsanmälan</t>
        </is>
      </c>
      <c r="C4905" t="inlineStr">
        <is>
          <t>Föryngringsavverkning</t>
        </is>
      </c>
      <c r="D4905" s="1" t="n">
        <v>45736</v>
      </c>
      <c r="E4905" s="1" t="n">
        <v>46312</v>
      </c>
      <c r="F4905" t="inlineStr">
        <is>
          <t>SKÅNE LÄN</t>
        </is>
      </c>
      <c r="G4905" t="inlineStr">
        <is>
          <t>KRISTIANSTAD</t>
        </is>
      </c>
      <c r="I4905" t="n">
        <v>1.1</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7802-2025</t>
        </is>
      </c>
      <c r="B4906" t="inlineStr">
        <is>
          <t>avverkningsanmälan</t>
        </is>
      </c>
      <c r="C4906" t="inlineStr">
        <is>
          <t>Föryngringsavverkning</t>
        </is>
      </c>
      <c r="D4906" s="1" t="n">
        <v>45706</v>
      </c>
      <c r="E4906" s="1" t="n">
        <v>46312</v>
      </c>
      <c r="F4906" t="inlineStr">
        <is>
          <t>SKÅNE LÄN</t>
        </is>
      </c>
      <c r="G4906" t="inlineStr">
        <is>
          <t>KRISTIANSTAD</t>
        </is>
      </c>
      <c r="I4906" t="n">
        <v>2.1</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32958-2023</t>
        </is>
      </c>
      <c r="B4907" t="inlineStr">
        <is>
          <t>avverkningsanmälan</t>
        </is>
      </c>
      <c r="C4907" t="inlineStr">
        <is>
          <t>Föryngringsavverkning</t>
        </is>
      </c>
      <c r="D4907" s="1" t="n">
        <v>45125</v>
      </c>
      <c r="E4907" s="1" t="n">
        <v>46312</v>
      </c>
      <c r="F4907" t="inlineStr">
        <is>
          <t>SKÅNE LÄN</t>
        </is>
      </c>
      <c r="G4907" t="inlineStr">
        <is>
          <t>HÄSSLEHOLM</t>
        </is>
      </c>
      <c r="I4907" t="n">
        <v>7.9</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34174-2025</t>
        </is>
      </c>
      <c r="B4908" t="inlineStr">
        <is>
          <t>avverkningsanmälan</t>
        </is>
      </c>
      <c r="C4908" t="inlineStr">
        <is>
          <t>Föryngringsavverkning</t>
        </is>
      </c>
      <c r="D4908" s="1" t="n">
        <v>45844</v>
      </c>
      <c r="E4908" s="1" t="n">
        <v>46312</v>
      </c>
      <c r="F4908" t="inlineStr">
        <is>
          <t>SKÅNE LÄN</t>
        </is>
      </c>
      <c r="G4908" t="inlineStr">
        <is>
          <t>HÄSSLEHOLM</t>
        </is>
      </c>
      <c r="I4908" t="n">
        <v>4.7</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34177-2025</t>
        </is>
      </c>
      <c r="B4909" t="inlineStr">
        <is>
          <t>avverkningsanmälan</t>
        </is>
      </c>
      <c r="C4909" t="inlineStr">
        <is>
          <t>Föryngringsavverkning</t>
        </is>
      </c>
      <c r="D4909" s="1" t="n">
        <v>45844</v>
      </c>
      <c r="E4909" s="1" t="n">
        <v>46312</v>
      </c>
      <c r="F4909" t="inlineStr">
        <is>
          <t>SKÅNE LÄN</t>
        </is>
      </c>
      <c r="G4909" t="inlineStr">
        <is>
          <t>HÄSSLEHOLM</t>
        </is>
      </c>
      <c r="I4909" t="n">
        <v>3</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9596-2025</t>
        </is>
      </c>
      <c r="B4910" t="inlineStr">
        <is>
          <t>avverkningsanmälan</t>
        </is>
      </c>
      <c r="C4910" t="inlineStr">
        <is>
          <t>Föryngringsavverkning</t>
        </is>
      </c>
      <c r="D4910" s="1" t="n">
        <v>45715</v>
      </c>
      <c r="E4910" s="1" t="n">
        <v>46312</v>
      </c>
      <c r="F4910" t="inlineStr">
        <is>
          <t>SKÅNE LÄN</t>
        </is>
      </c>
      <c r="G4910" t="inlineStr">
        <is>
          <t>KRISTIANSTAD</t>
        </is>
      </c>
      <c r="I4910" t="n">
        <v>3.3</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34131-2025</t>
        </is>
      </c>
      <c r="B4911" t="inlineStr">
        <is>
          <t>avverkningsanmälan</t>
        </is>
      </c>
      <c r="C4911" t="inlineStr">
        <is>
          <t>Föryngringsavverkning</t>
        </is>
      </c>
      <c r="D4911" s="1" t="n">
        <v>45845</v>
      </c>
      <c r="E4911" s="1" t="n">
        <v>46312</v>
      </c>
      <c r="F4911" t="inlineStr">
        <is>
          <t>SKÅNE LÄN</t>
        </is>
      </c>
      <c r="G4911" t="inlineStr">
        <is>
          <t>KRISTIANSTAD</t>
        </is>
      </c>
      <c r="I4911" t="n">
        <v>0.5</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30063-2025</t>
        </is>
      </c>
      <c r="B4912" t="inlineStr">
        <is>
          <t>avverkningsanmälan</t>
        </is>
      </c>
      <c r="C4912" t="inlineStr">
        <is>
          <t>Föryngringsavverkning</t>
        </is>
      </c>
      <c r="D4912" s="1" t="n">
        <v>45826</v>
      </c>
      <c r="E4912" s="1" t="n">
        <v>46312</v>
      </c>
      <c r="F4912" t="inlineStr">
        <is>
          <t>SKÅNE LÄN</t>
        </is>
      </c>
      <c r="G4912" t="inlineStr">
        <is>
          <t>PERSTORP</t>
        </is>
      </c>
      <c r="I4912" t="n">
        <v>4.5</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34400-2025</t>
        </is>
      </c>
      <c r="B4913" t="inlineStr">
        <is>
          <t>avverkningsanmälan</t>
        </is>
      </c>
      <c r="C4913" t="inlineStr">
        <is>
          <t>Föryngringsavverkning</t>
        </is>
      </c>
      <c r="D4913" s="1" t="n">
        <v>45846</v>
      </c>
      <c r="E4913" s="1" t="n">
        <v>46312</v>
      </c>
      <c r="F4913" t="inlineStr">
        <is>
          <t>SKÅNE LÄN</t>
        </is>
      </c>
      <c r="G4913" t="inlineStr">
        <is>
          <t>BÅSTAD</t>
        </is>
      </c>
      <c r="I4913" t="n">
        <v>1.3</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1225-2025</t>
        </is>
      </c>
      <c r="B4914" t="inlineStr">
        <is>
          <t>avverkningsanmälan</t>
        </is>
      </c>
      <c r="C4914" t="inlineStr">
        <is>
          <t>Föryngringsavverkning</t>
        </is>
      </c>
      <c r="D4914" s="1" t="n">
        <v>45667</v>
      </c>
      <c r="E4914" s="1" t="n">
        <v>46312</v>
      </c>
      <c r="F4914" t="inlineStr">
        <is>
          <t>SKÅNE LÄN</t>
        </is>
      </c>
      <c r="G4914" t="inlineStr">
        <is>
          <t>ÖSTRA GÖINGE</t>
        </is>
      </c>
      <c r="I4914" t="n">
        <v>4.6</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28830-2025</t>
        </is>
      </c>
      <c r="B4915" t="inlineStr">
        <is>
          <t>avverkningsanmälan</t>
        </is>
      </c>
      <c r="C4915" t="inlineStr">
        <is>
          <t>Föryngringsavverkning</t>
        </is>
      </c>
      <c r="D4915" s="1" t="n">
        <v>45820</v>
      </c>
      <c r="E4915" s="1" t="n">
        <v>46312</v>
      </c>
      <c r="F4915" t="inlineStr">
        <is>
          <t>SKÅNE LÄN</t>
        </is>
      </c>
      <c r="G4915" t="inlineStr">
        <is>
          <t>HÖÖR</t>
        </is>
      </c>
      <c r="I4915" t="n">
        <v>3.8</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34687-2025</t>
        </is>
      </c>
      <c r="B4916" t="inlineStr">
        <is>
          <t>avverkningsanmälan</t>
        </is>
      </c>
      <c r="C4916" t="inlineStr">
        <is>
          <t>Föryngringsavverkning</t>
        </is>
      </c>
      <c r="D4916" s="1" t="n">
        <v>45848</v>
      </c>
      <c r="E4916" s="1" t="n">
        <v>46312</v>
      </c>
      <c r="F4916" t="inlineStr">
        <is>
          <t>SKÅNE LÄN</t>
        </is>
      </c>
      <c r="G4916" t="inlineStr">
        <is>
          <t>ÖSTRA GÖINGE</t>
        </is>
      </c>
      <c r="I4916" t="n">
        <v>1.1</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34869-2025</t>
        </is>
      </c>
      <c r="B4917" t="inlineStr">
        <is>
          <t>avverkningsanmälan</t>
        </is>
      </c>
      <c r="C4917" t="inlineStr">
        <is>
          <t>Föryngringsavverkning</t>
        </is>
      </c>
      <c r="D4917" s="1" t="n">
        <v>45849</v>
      </c>
      <c r="E4917" s="1" t="n">
        <v>46312</v>
      </c>
      <c r="F4917" t="inlineStr">
        <is>
          <t>SKÅNE LÄN</t>
        </is>
      </c>
      <c r="G4917" t="inlineStr">
        <is>
          <t>HÄSSLEHOLM</t>
        </is>
      </c>
      <c r="I4917" t="n">
        <v>0.5</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34690-2025</t>
        </is>
      </c>
      <c r="B4918" t="inlineStr">
        <is>
          <t>avverkningsanmälan</t>
        </is>
      </c>
      <c r="C4918" t="inlineStr">
        <is>
          <t>Föryngringsavverkning</t>
        </is>
      </c>
      <c r="D4918" s="1" t="n">
        <v>45848</v>
      </c>
      <c r="E4918" s="1" t="n">
        <v>46312</v>
      </c>
      <c r="F4918" t="inlineStr">
        <is>
          <t>SKÅNE LÄN</t>
        </is>
      </c>
      <c r="G4918" t="inlineStr">
        <is>
          <t>ÖSTRA GÖINGE</t>
        </is>
      </c>
      <c r="I4918" t="n">
        <v>1.2</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19282-2025</t>
        </is>
      </c>
      <c r="B4919" t="inlineStr">
        <is>
          <t>avverkningsanmälan</t>
        </is>
      </c>
      <c r="C4919" t="inlineStr">
        <is>
          <t>Avverkning för annat ändamål</t>
        </is>
      </c>
      <c r="D4919" s="1" t="n">
        <v>45769</v>
      </c>
      <c r="E4919" s="1" t="n">
        <v>46312</v>
      </c>
      <c r="F4919" t="inlineStr">
        <is>
          <t>SKÅNE LÄN</t>
        </is>
      </c>
      <c r="G4919" t="inlineStr">
        <is>
          <t>SVALÖV</t>
        </is>
      </c>
      <c r="I4919" t="n">
        <v>0.8</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28161-2025</t>
        </is>
      </c>
      <c r="B4920" t="inlineStr">
        <is>
          <t>avverkningsanmälan</t>
        </is>
      </c>
      <c r="C4920" t="inlineStr">
        <is>
          <t>Föryngringsavverkning</t>
        </is>
      </c>
      <c r="D4920" s="1" t="n">
        <v>45818</v>
      </c>
      <c r="E4920" s="1" t="n">
        <v>46312</v>
      </c>
      <c r="F4920" t="inlineStr">
        <is>
          <t>SKÅNE LÄN</t>
        </is>
      </c>
      <c r="G4920" t="inlineStr">
        <is>
          <t>KRISTIANSTAD</t>
        </is>
      </c>
      <c r="I4920" t="n">
        <v>2.4</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58944-2024</t>
        </is>
      </c>
      <c r="B4921" t="inlineStr">
        <is>
          <t>avverkningsanmälan</t>
        </is>
      </c>
      <c r="C4921" t="inlineStr">
        <is>
          <t>Föryngringsavverkning</t>
        </is>
      </c>
      <c r="D4921" s="1" t="n">
        <v>45636</v>
      </c>
      <c r="E4921" s="1" t="n">
        <v>46312</v>
      </c>
      <c r="F4921" t="inlineStr">
        <is>
          <t>SKÅNE LÄN</t>
        </is>
      </c>
      <c r="G4921" t="inlineStr">
        <is>
          <t>ÖSTRA GÖINGE</t>
        </is>
      </c>
      <c r="I4921" t="n">
        <v>1.9</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1879-2025</t>
        </is>
      </c>
      <c r="B4922" t="inlineStr">
        <is>
          <t>avverkningsanmälan</t>
        </is>
      </c>
      <c r="C4922" t="inlineStr">
        <is>
          <t>Föryngringsavverkning</t>
        </is>
      </c>
      <c r="D4922" s="1" t="n">
        <v>45671</v>
      </c>
      <c r="E4922" s="1" t="n">
        <v>46312</v>
      </c>
      <c r="F4922" t="inlineStr">
        <is>
          <t>SKÅNE LÄN</t>
        </is>
      </c>
      <c r="G4922" t="inlineStr">
        <is>
          <t>SJÖBO</t>
        </is>
      </c>
      <c r="I4922" t="n">
        <v>0.5</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15890-2025</t>
        </is>
      </c>
      <c r="B4923" t="inlineStr">
        <is>
          <t>avverkningsanmälan</t>
        </is>
      </c>
      <c r="C4923" t="inlineStr">
        <is>
          <t>Föryngringsavverkning</t>
        </is>
      </c>
      <c r="D4923" s="1" t="n">
        <v>45749</v>
      </c>
      <c r="E4923" s="1" t="n">
        <v>46312</v>
      </c>
      <c r="F4923" t="inlineStr">
        <is>
          <t>SKÅNE LÄN</t>
        </is>
      </c>
      <c r="G4923" t="inlineStr">
        <is>
          <t>KRISTIANSTAD</t>
        </is>
      </c>
      <c r="I4923" t="n">
        <v>1.4</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20970-2025</t>
        </is>
      </c>
      <c r="B4924" t="inlineStr">
        <is>
          <t>avverkningsanmälan</t>
        </is>
      </c>
      <c r="C4924" t="inlineStr">
        <is>
          <t>Föryngringsavverkning</t>
        </is>
      </c>
      <c r="D4924" s="1" t="n">
        <v>45777</v>
      </c>
      <c r="E4924" s="1" t="n">
        <v>46312</v>
      </c>
      <c r="F4924" t="inlineStr">
        <is>
          <t>SKÅNE LÄN</t>
        </is>
      </c>
      <c r="G4924" t="inlineStr">
        <is>
          <t>HÄSSLEHOLM</t>
        </is>
      </c>
      <c r="I4924" t="n">
        <v>2.2</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18285-2025</t>
        </is>
      </c>
      <c r="B4925" t="inlineStr">
        <is>
          <t>avverkningsanmälan</t>
        </is>
      </c>
      <c r="C4925" t="inlineStr">
        <is>
          <t>Föryngringsavverkning</t>
        </is>
      </c>
      <c r="D4925" s="1" t="n">
        <v>45762</v>
      </c>
      <c r="E4925" s="1" t="n">
        <v>46312</v>
      </c>
      <c r="F4925" t="inlineStr">
        <is>
          <t>SKÅNE LÄN</t>
        </is>
      </c>
      <c r="G4925" t="inlineStr">
        <is>
          <t>ÖRKELLJUNGA</t>
        </is>
      </c>
      <c r="I4925" t="n">
        <v>1.2</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26590-2025</t>
        </is>
      </c>
      <c r="B4926" t="inlineStr">
        <is>
          <t>avverkningsanmälan</t>
        </is>
      </c>
      <c r="C4926" t="inlineStr">
        <is>
          <t>Föryngringsavverkning</t>
        </is>
      </c>
      <c r="D4926" s="1" t="n">
        <v>45807</v>
      </c>
      <c r="E4926" s="1" t="n">
        <v>46312</v>
      </c>
      <c r="F4926" t="inlineStr">
        <is>
          <t>SKÅNE LÄN</t>
        </is>
      </c>
      <c r="G4926" t="inlineStr">
        <is>
          <t>HÖÖR</t>
        </is>
      </c>
      <c r="I4926" t="n">
        <v>3.3</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17413-2025</t>
        </is>
      </c>
      <c r="B4927" t="inlineStr">
        <is>
          <t>avverkningsanmälan</t>
        </is>
      </c>
      <c r="C4927" t="inlineStr">
        <is>
          <t>Föryngringsavverkning</t>
        </is>
      </c>
      <c r="D4927" s="1" t="n">
        <v>45757</v>
      </c>
      <c r="E4927" s="1" t="n">
        <v>46312</v>
      </c>
      <c r="F4927" t="inlineStr">
        <is>
          <t>SKÅNE LÄN</t>
        </is>
      </c>
      <c r="G4927" t="inlineStr">
        <is>
          <t>HÄSSLEHOLM</t>
        </is>
      </c>
      <c r="I4927" t="n">
        <v>0.8</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34780-2025</t>
        </is>
      </c>
      <c r="B4928" t="inlineStr">
        <is>
          <t>avverkningsanmälan</t>
        </is>
      </c>
      <c r="C4928" t="inlineStr">
        <is>
          <t>Avverkning för annat ändamål</t>
        </is>
      </c>
      <c r="D4928" s="1" t="n">
        <v>45848</v>
      </c>
      <c r="E4928" s="1" t="n">
        <v>46312</v>
      </c>
      <c r="F4928" t="inlineStr">
        <is>
          <t>SKÅNE LÄN</t>
        </is>
      </c>
      <c r="G4928" t="inlineStr">
        <is>
          <t>SJÖBO</t>
        </is>
      </c>
      <c r="I4928" t="n">
        <v>6.1</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35536-2025</t>
        </is>
      </c>
      <c r="B4929" t="inlineStr">
        <is>
          <t>avverkningsanmälan</t>
        </is>
      </c>
      <c r="C4929" t="inlineStr">
        <is>
          <t>Avverkning för annat ändamål</t>
        </is>
      </c>
      <c r="D4929" s="1" t="n">
        <v>45856</v>
      </c>
      <c r="E4929" s="1" t="n">
        <v>46312</v>
      </c>
      <c r="F4929" t="inlineStr">
        <is>
          <t>SKÅNE LÄN</t>
        </is>
      </c>
      <c r="G4929" t="inlineStr">
        <is>
          <t>LANDSKRONA</t>
        </is>
      </c>
      <c r="I4929" t="n">
        <v>4</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26591-2025</t>
        </is>
      </c>
      <c r="B4930" t="inlineStr">
        <is>
          <t>avverkningsanmälan</t>
        </is>
      </c>
      <c r="C4930" t="inlineStr">
        <is>
          <t>Föryngringsavverkning</t>
        </is>
      </c>
      <c r="D4930" s="1" t="n">
        <v>45807</v>
      </c>
      <c r="E4930" s="1" t="n">
        <v>46312</v>
      </c>
      <c r="F4930" t="inlineStr">
        <is>
          <t>SKÅNE LÄN</t>
        </is>
      </c>
      <c r="G4930" t="inlineStr">
        <is>
          <t>HÖÖR</t>
        </is>
      </c>
      <c r="I4930" t="n">
        <v>1</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61602-2024</t>
        </is>
      </c>
      <c r="B4931" t="inlineStr">
        <is>
          <t>avverkningsanmälan</t>
        </is>
      </c>
      <c r="C4931" t="inlineStr">
        <is>
          <t>Föryngringsavverkning</t>
        </is>
      </c>
      <c r="D4931" s="1" t="n">
        <v>45646</v>
      </c>
      <c r="E4931" s="1" t="n">
        <v>46312</v>
      </c>
      <c r="F4931" t="inlineStr">
        <is>
          <t>SKÅNE LÄN</t>
        </is>
      </c>
      <c r="G4931" t="inlineStr">
        <is>
          <t>ÖRKELLJUNGA</t>
        </is>
      </c>
      <c r="I4931" t="n">
        <v>3</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15232-2025</t>
        </is>
      </c>
      <c r="B4932" t="inlineStr">
        <is>
          <t>avverkningsanmälan</t>
        </is>
      </c>
      <c r="C4932" t="inlineStr">
        <is>
          <t>Föryngringsavverkning</t>
        </is>
      </c>
      <c r="D4932" s="1" t="n">
        <v>45744</v>
      </c>
      <c r="E4932" s="1" t="n">
        <v>46312</v>
      </c>
      <c r="F4932" t="inlineStr">
        <is>
          <t>SKÅNE LÄN</t>
        </is>
      </c>
      <c r="G4932" t="inlineStr">
        <is>
          <t>OSBY</t>
        </is>
      </c>
      <c r="I4932" t="n">
        <v>1.5</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35792-2025</t>
        </is>
      </c>
      <c r="B4933" t="inlineStr">
        <is>
          <t>avverkningsanmälan</t>
        </is>
      </c>
      <c r="C4933" t="inlineStr">
        <is>
          <t>Föryngringsavverkning</t>
        </is>
      </c>
      <c r="D4933" s="1" t="n">
        <v>45861</v>
      </c>
      <c r="E4933" s="1" t="n">
        <v>46312</v>
      </c>
      <c r="F4933" t="inlineStr">
        <is>
          <t>SKÅNE LÄN</t>
        </is>
      </c>
      <c r="G4933" t="inlineStr">
        <is>
          <t>TOMELILLA</t>
        </is>
      </c>
      <c r="H4933" t="inlineStr">
        <is>
          <t>Övriga Aktiebolag</t>
        </is>
      </c>
      <c r="I4933" t="n">
        <v>1.3</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35721-2025</t>
        </is>
      </c>
      <c r="B4934" t="inlineStr">
        <is>
          <t>avverkningsanmälan</t>
        </is>
      </c>
      <c r="C4934" t="inlineStr">
        <is>
          <t>Föryngringsavverkning</t>
        </is>
      </c>
      <c r="D4934" s="1" t="n">
        <v>45860</v>
      </c>
      <c r="E4934" s="1" t="n">
        <v>46312</v>
      </c>
      <c r="F4934" t="inlineStr">
        <is>
          <t>SKÅNE LÄN</t>
        </is>
      </c>
      <c r="G4934" t="inlineStr">
        <is>
          <t>KRISTIANSTAD</t>
        </is>
      </c>
      <c r="I4934" t="n">
        <v>0.6</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56646-2023</t>
        </is>
      </c>
      <c r="B4935" t="inlineStr">
        <is>
          <t>avverkningsanmälan</t>
        </is>
      </c>
      <c r="C4935" t="inlineStr">
        <is>
          <t>Föryngringsavverkning</t>
        </is>
      </c>
      <c r="D4935" s="1" t="n">
        <v>45243</v>
      </c>
      <c r="E4935" s="1" t="n">
        <v>46312</v>
      </c>
      <c r="F4935" t="inlineStr">
        <is>
          <t>SKÅNE LÄN</t>
        </is>
      </c>
      <c r="G4935" t="inlineStr">
        <is>
          <t>ÖSTRA GÖINGE</t>
        </is>
      </c>
      <c r="I4935" t="n">
        <v>7.2</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6830-2025</t>
        </is>
      </c>
      <c r="B4936" t="inlineStr">
        <is>
          <t>avverkningsanmälan</t>
        </is>
      </c>
      <c r="C4936" t="inlineStr">
        <is>
          <t>Avverkning för annat ändamål</t>
        </is>
      </c>
      <c r="D4936" s="1" t="n">
        <v>45700</v>
      </c>
      <c r="E4936" s="1" t="n">
        <v>46312</v>
      </c>
      <c r="F4936" t="inlineStr">
        <is>
          <t>SKÅNE LÄN</t>
        </is>
      </c>
      <c r="G4936" t="inlineStr">
        <is>
          <t>SIMRISHAMN</t>
        </is>
      </c>
      <c r="I4936" t="n">
        <v>1.7</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35971-2025</t>
        </is>
      </c>
      <c r="B4937" t="inlineStr">
        <is>
          <t>avverkningsanmälan</t>
        </is>
      </c>
      <c r="C4937" t="inlineStr">
        <is>
          <t>Föryngringsavverkning</t>
        </is>
      </c>
      <c r="D4937" s="1" t="n">
        <v>45863</v>
      </c>
      <c r="E4937" s="1" t="n">
        <v>46312</v>
      </c>
      <c r="F4937" t="inlineStr">
        <is>
          <t>SKÅNE LÄN</t>
        </is>
      </c>
      <c r="G4937" t="inlineStr">
        <is>
          <t>TOMELILLA</t>
        </is>
      </c>
      <c r="I4937" t="n">
        <v>1.2</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22120-2025</t>
        </is>
      </c>
      <c r="B4938" t="inlineStr">
        <is>
          <t>avverkningsanmälan</t>
        </is>
      </c>
      <c r="C4938" t="inlineStr">
        <is>
          <t>Föryngringsavverkning</t>
        </is>
      </c>
      <c r="D4938" s="1" t="n">
        <v>45785</v>
      </c>
      <c r="E4938" s="1" t="n">
        <v>46312</v>
      </c>
      <c r="F4938" t="inlineStr">
        <is>
          <t>SKÅNE LÄN</t>
        </is>
      </c>
      <c r="G4938" t="inlineStr">
        <is>
          <t>KLIPPAN</t>
        </is>
      </c>
      <c r="I4938" t="n">
        <v>2.7</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19666-2025</t>
        </is>
      </c>
      <c r="B4939" t="inlineStr">
        <is>
          <t>avverkningsanmälan</t>
        </is>
      </c>
      <c r="C4939" t="inlineStr">
        <is>
          <t>Föryngringsavverkning</t>
        </is>
      </c>
      <c r="D4939" s="1" t="n">
        <v>45770</v>
      </c>
      <c r="E4939" s="1" t="n">
        <v>46312</v>
      </c>
      <c r="F4939" t="inlineStr">
        <is>
          <t>SKÅNE LÄN</t>
        </is>
      </c>
      <c r="G4939" t="inlineStr">
        <is>
          <t>HÄSSLEHOLM</t>
        </is>
      </c>
      <c r="I4939" t="n">
        <v>2.4</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30457-2025</t>
        </is>
      </c>
      <c r="B4940" t="inlineStr">
        <is>
          <t>avverkningsanmälan</t>
        </is>
      </c>
      <c r="C4940" t="inlineStr">
        <is>
          <t>Föryngringsavverkning</t>
        </is>
      </c>
      <c r="D4940" s="1" t="n">
        <v>45827</v>
      </c>
      <c r="E4940" s="1" t="n">
        <v>46312</v>
      </c>
      <c r="F4940" t="inlineStr">
        <is>
          <t>SKÅNE LÄN</t>
        </is>
      </c>
      <c r="G4940" t="inlineStr">
        <is>
          <t>KRISTIANSTAD</t>
        </is>
      </c>
      <c r="I4940" t="n">
        <v>2.4</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22292-2022</t>
        </is>
      </c>
      <c r="B4941" t="inlineStr">
        <is>
          <t>avverkningsanmälan</t>
        </is>
      </c>
      <c r="C4941" t="inlineStr">
        <is>
          <t>Föryngringsavverkning</t>
        </is>
      </c>
      <c r="D4941" s="1" t="n">
        <v>44712</v>
      </c>
      <c r="E4941" s="1" t="n">
        <v>46312</v>
      </c>
      <c r="F4941" t="inlineStr">
        <is>
          <t>SKÅNE LÄN</t>
        </is>
      </c>
      <c r="G4941" t="inlineStr">
        <is>
          <t>KRISTIANSTAD</t>
        </is>
      </c>
      <c r="H4941" t="inlineStr">
        <is>
          <t>Övriga Aktiebolag</t>
        </is>
      </c>
      <c r="I4941" t="n">
        <v>19.5</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36359-2025</t>
        </is>
      </c>
      <c r="B4942" t="inlineStr">
        <is>
          <t>avverkningsanmälan</t>
        </is>
      </c>
      <c r="C4942" t="inlineStr">
        <is>
          <t>Föryngringsavverkning</t>
        </is>
      </c>
      <c r="D4942" s="1" t="n">
        <v>45867</v>
      </c>
      <c r="E4942" s="1" t="n">
        <v>46312</v>
      </c>
      <c r="F4942" t="inlineStr">
        <is>
          <t>SKÅNE LÄN</t>
        </is>
      </c>
      <c r="G4942" t="inlineStr">
        <is>
          <t>HÄSSLEHOLM</t>
        </is>
      </c>
      <c r="I4942" t="n">
        <v>2.2</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36355-2025</t>
        </is>
      </c>
      <c r="B4943" t="inlineStr">
        <is>
          <t>avverkningsanmälan</t>
        </is>
      </c>
      <c r="C4943" t="inlineStr">
        <is>
          <t>Föryngringsavverkning</t>
        </is>
      </c>
      <c r="D4943" s="1" t="n">
        <v>45868</v>
      </c>
      <c r="E4943" s="1" t="n">
        <v>46312</v>
      </c>
      <c r="F4943" t="inlineStr">
        <is>
          <t>SKÅNE LÄN</t>
        </is>
      </c>
      <c r="G4943" t="inlineStr">
        <is>
          <t>HÖRBY</t>
        </is>
      </c>
      <c r="I4943" t="n">
        <v>3.6</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35547-2023</t>
        </is>
      </c>
      <c r="B4944" t="inlineStr">
        <is>
          <t>avverkningsanmälan</t>
        </is>
      </c>
      <c r="C4944" t="inlineStr">
        <is>
          <t>Avverkning för annat ändamål</t>
        </is>
      </c>
      <c r="D4944" s="1" t="n">
        <v>45146</v>
      </c>
      <c r="E4944" s="1" t="n">
        <v>46312</v>
      </c>
      <c r="F4944" t="inlineStr">
        <is>
          <t>SKÅNE LÄN</t>
        </is>
      </c>
      <c r="G4944" t="inlineStr">
        <is>
          <t>ÖSTRA GÖINGE</t>
        </is>
      </c>
      <c r="I4944" t="n">
        <v>5.1</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17904-2025</t>
        </is>
      </c>
      <c r="B4945" t="inlineStr">
        <is>
          <t>avverkningsanmälan</t>
        </is>
      </c>
      <c r="C4945" t="inlineStr">
        <is>
          <t>Föryngringsavverkning</t>
        </is>
      </c>
      <c r="D4945" s="1" t="n">
        <v>45758</v>
      </c>
      <c r="E4945" s="1" t="n">
        <v>46312</v>
      </c>
      <c r="F4945" t="inlineStr">
        <is>
          <t>SKÅNE LÄN</t>
        </is>
      </c>
      <c r="G4945" t="inlineStr">
        <is>
          <t>ÖSTRA GÖINGE</t>
        </is>
      </c>
      <c r="I4945" t="n">
        <v>1.7</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23479-2024</t>
        </is>
      </c>
      <c r="B4946" t="inlineStr">
        <is>
          <t>avverkningsanmälan</t>
        </is>
      </c>
      <c r="C4946" t="inlineStr">
        <is>
          <t>Föryngringsavverkning</t>
        </is>
      </c>
      <c r="D4946" s="1" t="n">
        <v>45453</v>
      </c>
      <c r="E4946" s="1" t="n">
        <v>46312</v>
      </c>
      <c r="F4946" t="inlineStr">
        <is>
          <t>SKÅNE LÄN</t>
        </is>
      </c>
      <c r="G4946" t="inlineStr">
        <is>
          <t>OSBY</t>
        </is>
      </c>
      <c r="H4946" t="inlineStr">
        <is>
          <t>Sveaskog</t>
        </is>
      </c>
      <c r="I4946" t="n">
        <v>4.5</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57543-2022</t>
        </is>
      </c>
      <c r="B4947" t="inlineStr">
        <is>
          <t>avverkningsanmälan</t>
        </is>
      </c>
      <c r="C4947" t="inlineStr">
        <is>
          <t>Föryngringsavverkning</t>
        </is>
      </c>
      <c r="D4947" s="1" t="n">
        <v>44896</v>
      </c>
      <c r="E4947" s="1" t="n">
        <v>46312</v>
      </c>
      <c r="F4947" t="inlineStr">
        <is>
          <t>SKÅNE LÄN</t>
        </is>
      </c>
      <c r="G4947" t="inlineStr">
        <is>
          <t>ÖSTRA GÖINGE</t>
        </is>
      </c>
      <c r="I4947" t="n">
        <v>2.3</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57181-2024</t>
        </is>
      </c>
      <c r="B4948" t="inlineStr">
        <is>
          <t>avverkningsanmälan</t>
        </is>
      </c>
      <c r="C4948" t="inlineStr">
        <is>
          <t>Föryngringsavverkning</t>
        </is>
      </c>
      <c r="D4948" s="1" t="n">
        <v>45629</v>
      </c>
      <c r="E4948" s="1" t="n">
        <v>46312</v>
      </c>
      <c r="F4948" t="inlineStr">
        <is>
          <t>SKÅNE LÄN</t>
        </is>
      </c>
      <c r="G4948" t="inlineStr">
        <is>
          <t>BROMÖLLA</t>
        </is>
      </c>
      <c r="I4948" t="n">
        <v>1</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27965-2025</t>
        </is>
      </c>
      <c r="B4949" t="inlineStr">
        <is>
          <t>avverkningsanmälan</t>
        </is>
      </c>
      <c r="C4949" t="inlineStr">
        <is>
          <t>Föryngringsavverkning</t>
        </is>
      </c>
      <c r="D4949" s="1" t="n">
        <v>45817</v>
      </c>
      <c r="E4949" s="1" t="n">
        <v>46312</v>
      </c>
      <c r="F4949" t="inlineStr">
        <is>
          <t>SKÅNE LÄN</t>
        </is>
      </c>
      <c r="G4949" t="inlineStr">
        <is>
          <t>BROMÖLLA</t>
        </is>
      </c>
      <c r="I4949" t="n">
        <v>12.7</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8209-2025</t>
        </is>
      </c>
      <c r="B4950" t="inlineStr">
        <is>
          <t>avverkningsanmälan</t>
        </is>
      </c>
      <c r="C4950" t="inlineStr">
        <is>
          <t>Föryngringsavverkning</t>
        </is>
      </c>
      <c r="D4950" s="1" t="n">
        <v>45708</v>
      </c>
      <c r="E4950" s="1" t="n">
        <v>46312</v>
      </c>
      <c r="F4950" t="inlineStr">
        <is>
          <t>SKÅNE LÄN</t>
        </is>
      </c>
      <c r="G4950" t="inlineStr">
        <is>
          <t>HÄSSLEHOLM</t>
        </is>
      </c>
      <c r="I4950" t="n">
        <v>1.5</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25552-2025</t>
        </is>
      </c>
      <c r="B4951" t="inlineStr">
        <is>
          <t>avverkningsanmälan</t>
        </is>
      </c>
      <c r="C4951" t="inlineStr">
        <is>
          <t>Föryngringsavverkning</t>
        </is>
      </c>
      <c r="D4951" s="1" t="n">
        <v>45803</v>
      </c>
      <c r="E4951" s="1" t="n">
        <v>46312</v>
      </c>
      <c r="F4951" t="inlineStr">
        <is>
          <t>SKÅNE LÄN</t>
        </is>
      </c>
      <c r="G4951" t="inlineStr">
        <is>
          <t>HÖRBY</t>
        </is>
      </c>
      <c r="I4951" t="n">
        <v>2</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37189-2025</t>
        </is>
      </c>
      <c r="B4952" t="inlineStr">
        <is>
          <t>avverkningsanmälan</t>
        </is>
      </c>
      <c r="C4952" t="inlineStr">
        <is>
          <t>Föryngringsavverkning</t>
        </is>
      </c>
      <c r="D4952" s="1" t="n">
        <v>45875</v>
      </c>
      <c r="E4952" s="1" t="n">
        <v>46312</v>
      </c>
      <c r="F4952" t="inlineStr">
        <is>
          <t>SKÅNE LÄN</t>
        </is>
      </c>
      <c r="G4952" t="inlineStr">
        <is>
          <t>SIMRISHAMN</t>
        </is>
      </c>
      <c r="I4952" t="n">
        <v>1.2</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37140-2025</t>
        </is>
      </c>
      <c r="B4953" t="inlineStr">
        <is>
          <t>avverkningsanmälan</t>
        </is>
      </c>
      <c r="C4953" t="inlineStr">
        <is>
          <t>Föryngringsavverkning</t>
        </is>
      </c>
      <c r="D4953" s="1" t="n">
        <v>45874</v>
      </c>
      <c r="E4953" s="1" t="n">
        <v>46312</v>
      </c>
      <c r="F4953" t="inlineStr">
        <is>
          <t>SKÅNE LÄN</t>
        </is>
      </c>
      <c r="G4953" t="inlineStr">
        <is>
          <t>KRISTIANSTAD</t>
        </is>
      </c>
      <c r="I4953" t="n">
        <v>1.9</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36916-2025</t>
        </is>
      </c>
      <c r="B4954" t="inlineStr">
        <is>
          <t>avverkningsanmälan</t>
        </is>
      </c>
      <c r="C4954" t="inlineStr">
        <is>
          <t>Föryngringsavverkning</t>
        </is>
      </c>
      <c r="D4954" s="1" t="n">
        <v>45874</v>
      </c>
      <c r="E4954" s="1" t="n">
        <v>46312</v>
      </c>
      <c r="F4954" t="inlineStr">
        <is>
          <t>SKÅNE LÄN</t>
        </is>
      </c>
      <c r="G4954" t="inlineStr">
        <is>
          <t>KRISTIANSTAD</t>
        </is>
      </c>
      <c r="I4954" t="n">
        <v>5.7</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37141-2025</t>
        </is>
      </c>
      <c r="B4955" t="inlineStr">
        <is>
          <t>avverkningsanmälan</t>
        </is>
      </c>
      <c r="C4955" t="inlineStr">
        <is>
          <t>Föryngringsavverkning</t>
        </is>
      </c>
      <c r="D4955" s="1" t="n">
        <v>45874</v>
      </c>
      <c r="E4955" s="1" t="n">
        <v>46312</v>
      </c>
      <c r="F4955" t="inlineStr">
        <is>
          <t>SKÅNE LÄN</t>
        </is>
      </c>
      <c r="G4955" t="inlineStr">
        <is>
          <t>KRISTIANSTAD</t>
        </is>
      </c>
      <c r="I4955" t="n">
        <v>1.6</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37286-2025</t>
        </is>
      </c>
      <c r="B4956" t="inlineStr">
        <is>
          <t>avverkningsanmälan</t>
        </is>
      </c>
      <c r="C4956" t="inlineStr">
        <is>
          <t>Föryngringsavverkning</t>
        </is>
      </c>
      <c r="D4956" s="1" t="n">
        <v>45876</v>
      </c>
      <c r="E4956" s="1" t="n">
        <v>46312</v>
      </c>
      <c r="F4956" t="inlineStr">
        <is>
          <t>SKÅNE LÄN</t>
        </is>
      </c>
      <c r="G4956" t="inlineStr">
        <is>
          <t>HÄSSLEHOLM</t>
        </is>
      </c>
      <c r="I4956" t="n">
        <v>2.9</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22504-2022</t>
        </is>
      </c>
      <c r="B4957" t="inlineStr">
        <is>
          <t>avverkningsanmälan</t>
        </is>
      </c>
      <c r="C4957" t="inlineStr">
        <is>
          <t>Föryngringsavverkning</t>
        </is>
      </c>
      <c r="D4957" s="1" t="n">
        <v>44713</v>
      </c>
      <c r="E4957" s="1" t="n">
        <v>46312</v>
      </c>
      <c r="F4957" t="inlineStr">
        <is>
          <t>SKÅNE LÄN</t>
        </is>
      </c>
      <c r="G4957" t="inlineStr">
        <is>
          <t>KRISTIANSTAD</t>
        </is>
      </c>
      <c r="H4957" t="inlineStr">
        <is>
          <t>Övriga Aktiebolag</t>
        </is>
      </c>
      <c r="I4957" t="n">
        <v>0.5</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51903-2024</t>
        </is>
      </c>
      <c r="B4958" t="inlineStr">
        <is>
          <t>avverkningsanmälan</t>
        </is>
      </c>
      <c r="C4958" t="inlineStr">
        <is>
          <t>Föryngringsavverkning</t>
        </is>
      </c>
      <c r="D4958" s="1" t="n">
        <v>45607</v>
      </c>
      <c r="E4958" s="1" t="n">
        <v>46312</v>
      </c>
      <c r="F4958" t="inlineStr">
        <is>
          <t>SKÅNE LÄN</t>
        </is>
      </c>
      <c r="G4958" t="inlineStr">
        <is>
          <t>KRISTIANSTAD</t>
        </is>
      </c>
      <c r="H4958" t="inlineStr">
        <is>
          <t>Övriga Aktiebolag</t>
        </is>
      </c>
      <c r="I4958" t="n">
        <v>5.7</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51898-2024</t>
        </is>
      </c>
      <c r="B4959" t="inlineStr">
        <is>
          <t>avverkningsanmälan</t>
        </is>
      </c>
      <c r="C4959" t="inlineStr">
        <is>
          <t>Föryngringsavverkning</t>
        </is>
      </c>
      <c r="D4959" s="1" t="n">
        <v>45607</v>
      </c>
      <c r="E4959" s="1" t="n">
        <v>46312</v>
      </c>
      <c r="F4959" t="inlineStr">
        <is>
          <t>SKÅNE LÄN</t>
        </is>
      </c>
      <c r="G4959" t="inlineStr">
        <is>
          <t>KRISTIANSTAD</t>
        </is>
      </c>
      <c r="H4959" t="inlineStr">
        <is>
          <t>Övriga Aktiebolag</t>
        </is>
      </c>
      <c r="I4959" t="n">
        <v>3.7</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7546-2022</t>
        </is>
      </c>
      <c r="B4960" t="inlineStr">
        <is>
          <t>avverkningsanmälan</t>
        </is>
      </c>
      <c r="C4960" t="inlineStr">
        <is>
          <t>Föryngringsavverkning</t>
        </is>
      </c>
      <c r="D4960" s="1" t="n">
        <v>44607</v>
      </c>
      <c r="E4960" s="1" t="n">
        <v>46312</v>
      </c>
      <c r="F4960" t="inlineStr">
        <is>
          <t>SKÅNE LÄN</t>
        </is>
      </c>
      <c r="G4960" t="inlineStr">
        <is>
          <t>KRISTIANSTAD</t>
        </is>
      </c>
      <c r="I4960" t="n">
        <v>0.6</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32981-2025</t>
        </is>
      </c>
      <c r="B4961" t="inlineStr">
        <is>
          <t>avverkningsanmälan</t>
        </is>
      </c>
      <c r="C4961" t="inlineStr">
        <is>
          <t>Föryngringsavverkning</t>
        </is>
      </c>
      <c r="D4961" s="1" t="n">
        <v>45839</v>
      </c>
      <c r="E4961" s="1" t="n">
        <v>46312</v>
      </c>
      <c r="F4961" t="inlineStr">
        <is>
          <t>SKÅNE LÄN</t>
        </is>
      </c>
      <c r="G4961" t="inlineStr">
        <is>
          <t>HÄSSLEHOLM</t>
        </is>
      </c>
      <c r="I4961" t="n">
        <v>2.7</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37907-2025</t>
        </is>
      </c>
      <c r="B4962" t="inlineStr">
        <is>
          <t>avverkningsanmälan</t>
        </is>
      </c>
      <c r="C4962" t="inlineStr">
        <is>
          <t>Föryngringsavverkning</t>
        </is>
      </c>
      <c r="D4962" s="1" t="n">
        <v>45880</v>
      </c>
      <c r="E4962" s="1" t="n">
        <v>46312</v>
      </c>
      <c r="F4962" t="inlineStr">
        <is>
          <t>SKÅNE LÄN</t>
        </is>
      </c>
      <c r="G4962" t="inlineStr">
        <is>
          <t>SVALÖV</t>
        </is>
      </c>
      <c r="H4962" t="inlineStr">
        <is>
          <t>Kyrkan</t>
        </is>
      </c>
      <c r="I4962" t="n">
        <v>5.7</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38400-2024</t>
        </is>
      </c>
      <c r="B4963" t="inlineStr">
        <is>
          <t>avverkningsanmälan</t>
        </is>
      </c>
      <c r="C4963" t="inlineStr">
        <is>
          <t>Föryngringsavverkning</t>
        </is>
      </c>
      <c r="D4963" s="1" t="n">
        <v>45546</v>
      </c>
      <c r="E4963" s="1" t="n">
        <v>46312</v>
      </c>
      <c r="F4963" t="inlineStr">
        <is>
          <t>SKÅNE LÄN</t>
        </is>
      </c>
      <c r="G4963" t="inlineStr">
        <is>
          <t>KRISTIANSTAD</t>
        </is>
      </c>
      <c r="H4963" t="inlineStr">
        <is>
          <t>Övriga Aktiebolag</t>
        </is>
      </c>
      <c r="I4963" t="n">
        <v>19.8</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40896-2024</t>
        </is>
      </c>
      <c r="B4964" t="inlineStr">
        <is>
          <t>avverkningsanmälan</t>
        </is>
      </c>
      <c r="C4964" t="inlineStr">
        <is>
          <t>Föryngringsavverkning</t>
        </is>
      </c>
      <c r="D4964" s="1" t="n">
        <v>45558</v>
      </c>
      <c r="E4964" s="1" t="n">
        <v>46312</v>
      </c>
      <c r="F4964" t="inlineStr">
        <is>
          <t>SKÅNE LÄN</t>
        </is>
      </c>
      <c r="G4964" t="inlineStr">
        <is>
          <t>KRISTIANSTAD</t>
        </is>
      </c>
      <c r="H4964" t="inlineStr">
        <is>
          <t>Övriga Aktiebolag</t>
        </is>
      </c>
      <c r="I4964" t="n">
        <v>1.7</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40903-2024</t>
        </is>
      </c>
      <c r="B4965" t="inlineStr">
        <is>
          <t>avverkningsanmälan</t>
        </is>
      </c>
      <c r="C4965" t="inlineStr">
        <is>
          <t>Föryngringsavverkning</t>
        </is>
      </c>
      <c r="D4965" s="1" t="n">
        <v>45558</v>
      </c>
      <c r="E4965" s="1" t="n">
        <v>46312</v>
      </c>
      <c r="F4965" t="inlineStr">
        <is>
          <t>SKÅNE LÄN</t>
        </is>
      </c>
      <c r="G4965" t="inlineStr">
        <is>
          <t>KRISTIANSTAD</t>
        </is>
      </c>
      <c r="H4965" t="inlineStr">
        <is>
          <t>Övriga Aktiebolag</t>
        </is>
      </c>
      <c r="I4965" t="n">
        <v>1.9</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24813-2025</t>
        </is>
      </c>
      <c r="B4966" t="inlineStr">
        <is>
          <t>avverkningsanmälan</t>
        </is>
      </c>
      <c r="C4966" t="inlineStr">
        <is>
          <t>Föryngringsavverkning</t>
        </is>
      </c>
      <c r="D4966" s="1" t="n">
        <v>45799</v>
      </c>
      <c r="E4966" s="1" t="n">
        <v>46312</v>
      </c>
      <c r="F4966" t="inlineStr">
        <is>
          <t>SKÅNE LÄN</t>
        </is>
      </c>
      <c r="G4966" t="inlineStr">
        <is>
          <t>KLIPPAN</t>
        </is>
      </c>
      <c r="I4966" t="n">
        <v>2.3</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40470-2025</t>
        </is>
      </c>
      <c r="B4967" t="inlineStr">
        <is>
          <t>avverkningsanmälan</t>
        </is>
      </c>
      <c r="C4967" t="inlineStr">
        <is>
          <t>Avverkning för annat ändamål</t>
        </is>
      </c>
      <c r="D4967" s="1" t="n">
        <v>45895</v>
      </c>
      <c r="E4967" s="1" t="n">
        <v>46312</v>
      </c>
      <c r="F4967" t="inlineStr">
        <is>
          <t>SKÅNE LÄN</t>
        </is>
      </c>
      <c r="G4967" t="inlineStr">
        <is>
          <t>SVALÖV</t>
        </is>
      </c>
      <c r="I4967" t="n">
        <v>0.1</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18109-2025</t>
        </is>
      </c>
      <c r="B4968" t="inlineStr">
        <is>
          <t>avverkningsanmälan</t>
        </is>
      </c>
      <c r="C4968" t="inlineStr">
        <is>
          <t>Avverkning för annat ändamål</t>
        </is>
      </c>
      <c r="D4968" s="1" t="n">
        <v>45761</v>
      </c>
      <c r="E4968" s="1" t="n">
        <v>46312</v>
      </c>
      <c r="F4968" t="inlineStr">
        <is>
          <t>SKÅNE LÄN</t>
        </is>
      </c>
      <c r="G4968" t="inlineStr">
        <is>
          <t>HÄSSLEHOLM</t>
        </is>
      </c>
      <c r="I4968" t="n">
        <v>1.4</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17693-2024</t>
        </is>
      </c>
      <c r="B4969" t="inlineStr">
        <is>
          <t>avverkningsanmälan</t>
        </is>
      </c>
      <c r="C4969" t="inlineStr">
        <is>
          <t>Föryngringsavverkning</t>
        </is>
      </c>
      <c r="D4969" s="1" t="n">
        <v>45418</v>
      </c>
      <c r="E4969" s="1" t="n">
        <v>46312</v>
      </c>
      <c r="F4969" t="inlineStr">
        <is>
          <t>SKÅNE LÄN</t>
        </is>
      </c>
      <c r="G4969" t="inlineStr">
        <is>
          <t>KRISTIANSTAD</t>
        </is>
      </c>
      <c r="H4969" t="inlineStr">
        <is>
          <t>Övriga Aktiebolag</t>
        </is>
      </c>
      <c r="I4969" t="n">
        <v>1.1</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46182-2024</t>
        </is>
      </c>
      <c r="B4970" t="inlineStr">
        <is>
          <t>avverkningsanmälan</t>
        </is>
      </c>
      <c r="C4970" t="inlineStr">
        <is>
          <t>Föryngringsavverkning</t>
        </is>
      </c>
      <c r="D4970" s="1" t="n">
        <v>45581</v>
      </c>
      <c r="E4970" s="1" t="n">
        <v>46312</v>
      </c>
      <c r="F4970" t="inlineStr">
        <is>
          <t>SKÅNE LÄN</t>
        </is>
      </c>
      <c r="G4970" t="inlineStr">
        <is>
          <t>KRISTIANSTAD</t>
        </is>
      </c>
      <c r="H4970" t="inlineStr">
        <is>
          <t>Övriga Aktiebolag</t>
        </is>
      </c>
      <c r="I4970" t="n">
        <v>1.3</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38147-2025</t>
        </is>
      </c>
      <c r="B4971" t="inlineStr">
        <is>
          <t>avverkningsanmälan</t>
        </is>
      </c>
      <c r="C4971" t="inlineStr">
        <is>
          <t>Föryngringsavverkning</t>
        </is>
      </c>
      <c r="D4971" s="1" t="n">
        <v>45882</v>
      </c>
      <c r="E4971" s="1" t="n">
        <v>46312</v>
      </c>
      <c r="F4971" t="inlineStr">
        <is>
          <t>SKÅNE LÄN</t>
        </is>
      </c>
      <c r="G4971" t="inlineStr">
        <is>
          <t>HÖRBY</t>
        </is>
      </c>
      <c r="I4971" t="n">
        <v>1.6</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S 1016-2020</t>
        </is>
      </c>
      <c r="B4972" t="inlineStr">
        <is>
          <t>samrådsanmälan</t>
        </is>
      </c>
      <c r="C4972" t="inlineStr">
        <is>
          <t>Åtgärd i nyckelbiotop</t>
        </is>
      </c>
      <c r="D4972" s="1" t="n">
        <v>43957</v>
      </c>
      <c r="E4972" s="1" t="n">
        <v>46312</v>
      </c>
      <c r="F4972" t="inlineStr">
        <is>
          <t>SKÅNE LÄN</t>
        </is>
      </c>
      <c r="G4972" t="inlineStr">
        <is>
          <t>ÖRKELLJUNGA</t>
        </is>
      </c>
      <c r="I4972" t="n">
        <v>1.4</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S 26-2021</t>
        </is>
      </c>
      <c r="B4973" t="inlineStr">
        <is>
          <t>samrådsanmälan</t>
        </is>
      </c>
      <c r="C4973" t="inlineStr">
        <is>
          <t>Åtgärd i nyckelbiotop</t>
        </is>
      </c>
      <c r="D4973" s="1" t="n">
        <v>44208</v>
      </c>
      <c r="E4973" s="1" t="n">
        <v>46312</v>
      </c>
      <c r="F4973" t="inlineStr">
        <is>
          <t>SKÅNE LÄN</t>
        </is>
      </c>
      <c r="G4973" t="inlineStr">
        <is>
          <t>HÄSSLEHOLM</t>
        </is>
      </c>
      <c r="I4973" t="n">
        <v>1.2</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S 8718-2021</t>
        </is>
      </c>
      <c r="B4974" t="inlineStr">
        <is>
          <t>samrådsanmälan</t>
        </is>
      </c>
      <c r="C4974" t="inlineStr">
        <is>
          <t>Askåterföring</t>
        </is>
      </c>
      <c r="D4974" s="1" t="n">
        <v>44501</v>
      </c>
      <c r="E4974" s="1" t="n">
        <v>46312</v>
      </c>
      <c r="F4974" t="inlineStr">
        <is>
          <t>SKÅNE LÄN</t>
        </is>
      </c>
      <c r="G4974" t="inlineStr">
        <is>
          <t>KRISTIANSTAD</t>
        </is>
      </c>
      <c r="I4974" t="n">
        <v>20.4</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S 1482-2022</t>
        </is>
      </c>
      <c r="B4975" t="inlineStr">
        <is>
          <t>samrådsanmälan</t>
        </is>
      </c>
      <c r="C4975" t="inlineStr">
        <is>
          <t>Skogsbilväg</t>
        </is>
      </c>
      <c r="D4975" s="1" t="n">
        <v>44637</v>
      </c>
      <c r="E4975" s="1" t="n">
        <v>46312</v>
      </c>
      <c r="F4975" t="inlineStr">
        <is>
          <t>SKÅNE LÄN</t>
        </is>
      </c>
      <c r="G4975" t="inlineStr">
        <is>
          <t>PERSTORP</t>
        </is>
      </c>
      <c r="I4975" t="n">
        <v>1.8</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S 3844-2024</t>
        </is>
      </c>
      <c r="B4976" t="inlineStr">
        <is>
          <t>samrådsanmälan</t>
        </is>
      </c>
      <c r="C4976" t="inlineStr">
        <is>
          <t>Askåterföring</t>
        </is>
      </c>
      <c r="D4976" s="1" t="n">
        <v>45560</v>
      </c>
      <c r="E4976" s="1" t="n">
        <v>46312</v>
      </c>
      <c r="F4976" t="inlineStr">
        <is>
          <t>SKÅNE LÄN</t>
        </is>
      </c>
      <c r="G4976" t="inlineStr">
        <is>
          <t>OSBY</t>
        </is>
      </c>
      <c r="I4976" t="n">
        <v>16.1</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S 2081-2024</t>
        </is>
      </c>
      <c r="B4977" t="inlineStr">
        <is>
          <t>samrådsanmälan</t>
        </is>
      </c>
      <c r="C4977" t="inlineStr">
        <is>
          <t>Askåterföring</t>
        </is>
      </c>
      <c r="D4977" s="1" t="n">
        <v>45453</v>
      </c>
      <c r="E4977" s="1" t="n">
        <v>46312</v>
      </c>
      <c r="F4977" t="inlineStr">
        <is>
          <t>SKÅNE LÄN</t>
        </is>
      </c>
      <c r="G4977" t="inlineStr">
        <is>
          <t>HÄSSLEHOLM</t>
        </is>
      </c>
      <c r="I4977" t="n">
        <v>30.1</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S 177-2025</t>
        </is>
      </c>
      <c r="B4978" t="inlineStr">
        <is>
          <t>samrådsanmälan</t>
        </is>
      </c>
      <c r="C4978" t="inlineStr">
        <is>
          <t>Askåterföring</t>
        </is>
      </c>
      <c r="D4978" s="1" t="n">
        <v>45677</v>
      </c>
      <c r="E4978" s="1" t="n">
        <v>46312</v>
      </c>
      <c r="F4978" t="inlineStr">
        <is>
          <t>SKÅNE LÄN</t>
        </is>
      </c>
      <c r="G4978" t="inlineStr">
        <is>
          <t>BROMÖLLA</t>
        </is>
      </c>
      <c r="I4978" t="n">
        <v>8.800000000000001</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S 4463-2023</t>
        </is>
      </c>
      <c r="B4979" t="inlineStr">
        <is>
          <t>samrådsanmälan</t>
        </is>
      </c>
      <c r="C4979" t="inlineStr">
        <is>
          <t>Askåterföring</t>
        </is>
      </c>
      <c r="D4979" s="1" t="n">
        <v>45272</v>
      </c>
      <c r="E4979" s="1" t="n">
        <v>46312</v>
      </c>
      <c r="F4979" t="inlineStr">
        <is>
          <t>SKÅNE LÄN</t>
        </is>
      </c>
      <c r="G4979" t="inlineStr">
        <is>
          <t>HÄSSLEHOLM</t>
        </is>
      </c>
      <c r="I4979" t="n">
        <v>20.7</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S 131-2023</t>
        </is>
      </c>
      <c r="B4980" t="inlineStr">
        <is>
          <t>samrådsanmälan</t>
        </is>
      </c>
      <c r="C4980" t="inlineStr">
        <is>
          <t>Askåterföring</t>
        </is>
      </c>
      <c r="D4980" s="1" t="n">
        <v>44938</v>
      </c>
      <c r="E4980" s="1" t="n">
        <v>46312</v>
      </c>
      <c r="F4980" t="inlineStr">
        <is>
          <t>SKÅNE LÄN</t>
        </is>
      </c>
      <c r="G4980" t="inlineStr">
        <is>
          <t>OSBY</t>
        </is>
      </c>
      <c r="I4980" t="n">
        <v>6.3</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S 4865-2024</t>
        </is>
      </c>
      <c r="B4981" t="inlineStr">
        <is>
          <t>samrådsanmälan</t>
        </is>
      </c>
      <c r="C4981" t="inlineStr">
        <is>
          <t>Askåterföring</t>
        </is>
      </c>
      <c r="D4981" s="1" t="n">
        <v>45617</v>
      </c>
      <c r="E4981" s="1" t="n">
        <v>46312</v>
      </c>
      <c r="F4981" t="inlineStr">
        <is>
          <t>SKÅNE LÄN</t>
        </is>
      </c>
      <c r="G4981" t="inlineStr">
        <is>
          <t>KRISTIANSTAD</t>
        </is>
      </c>
      <c r="I4981" t="n">
        <v>15.6</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S 90-2024</t>
        </is>
      </c>
      <c r="B4982" t="inlineStr">
        <is>
          <t>samrådsanmälan</t>
        </is>
      </c>
      <c r="C4982" t="inlineStr">
        <is>
          <t>Askåterföring</t>
        </is>
      </c>
      <c r="D4982" s="1" t="n">
        <v>45301</v>
      </c>
      <c r="E4982" s="1" t="n">
        <v>46312</v>
      </c>
      <c r="F4982" t="inlineStr">
        <is>
          <t>SKÅNE LÄN</t>
        </is>
      </c>
      <c r="G4982" t="inlineStr">
        <is>
          <t>ÖSTRA GÖINGE</t>
        </is>
      </c>
      <c r="I4982" t="n">
        <v>53.6</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S 3742-2022</t>
        </is>
      </c>
      <c r="B4983" t="inlineStr">
        <is>
          <t>samrådsanmälan</t>
        </is>
      </c>
      <c r="C4983" t="inlineStr">
        <is>
          <t>Skogsbilväg</t>
        </is>
      </c>
      <c r="D4983" s="1" t="n">
        <v>44742</v>
      </c>
      <c r="E4983" s="1" t="n">
        <v>46312</v>
      </c>
      <c r="F4983" t="inlineStr">
        <is>
          <t>SKÅNE LÄN</t>
        </is>
      </c>
      <c r="G4983" t="inlineStr">
        <is>
          <t>HÄSSLEHOLM</t>
        </is>
      </c>
      <c r="I4983" t="n">
        <v>0.2</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S 3541-2023</t>
        </is>
      </c>
      <c r="B4984" t="inlineStr">
        <is>
          <t>samrådsanmälan</t>
        </is>
      </c>
      <c r="C4984" t="inlineStr">
        <is>
          <t>Askåterföring</t>
        </is>
      </c>
      <c r="D4984" s="1" t="n">
        <v>45209</v>
      </c>
      <c r="E4984" s="1" t="n">
        <v>46312</v>
      </c>
      <c r="F4984" t="inlineStr">
        <is>
          <t>SKÅNE LÄN</t>
        </is>
      </c>
      <c r="G4984" t="inlineStr">
        <is>
          <t>KLIPPAN</t>
        </is>
      </c>
      <c r="I4984" t="n">
        <v>11.8</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S 29-2024</t>
        </is>
      </c>
      <c r="B4985" t="inlineStr">
        <is>
          <t>samrådsanmälan</t>
        </is>
      </c>
      <c r="C4985" t="inlineStr">
        <is>
          <t>Annan skogsbruksåtgärd</t>
        </is>
      </c>
      <c r="D4985" s="1" t="n">
        <v>45293</v>
      </c>
      <c r="E4985" s="1" t="n">
        <v>46312</v>
      </c>
      <c r="F4985" t="inlineStr">
        <is>
          <t>SKÅNE LÄN</t>
        </is>
      </c>
      <c r="G4985" t="inlineStr">
        <is>
          <t>HÄSSLEHOLM</t>
        </is>
      </c>
      <c r="I4985" t="n">
        <v>2.4</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S 2502-2023</t>
        </is>
      </c>
      <c r="B4986" t="inlineStr">
        <is>
          <t>samrådsanmälan</t>
        </is>
      </c>
      <c r="C4986" t="inlineStr">
        <is>
          <t>Askåterföring</t>
        </is>
      </c>
      <c r="D4986" s="1" t="n">
        <v>45124</v>
      </c>
      <c r="E4986" s="1" t="n">
        <v>46312</v>
      </c>
      <c r="F4986" t="inlineStr">
        <is>
          <t>SKÅNE LÄN</t>
        </is>
      </c>
      <c r="G4986" t="inlineStr">
        <is>
          <t>ÖSTRA GÖINGE</t>
        </is>
      </c>
      <c r="I4986" t="n">
        <v>11.6</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S 1800-2022</t>
        </is>
      </c>
      <c r="B4987" t="inlineStr">
        <is>
          <t>samrådsanmälan</t>
        </is>
      </c>
      <c r="C4987" t="inlineStr">
        <is>
          <t>Askåterföring</t>
        </is>
      </c>
      <c r="D4987" s="1" t="n">
        <v>44656</v>
      </c>
      <c r="E4987" s="1" t="n">
        <v>46312</v>
      </c>
      <c r="F4987" t="inlineStr">
        <is>
          <t>SKÅNE LÄN</t>
        </is>
      </c>
      <c r="G4987" t="inlineStr">
        <is>
          <t>OSBY</t>
        </is>
      </c>
      <c r="I4987" t="n">
        <v>7.8</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S 3105-2023</t>
        </is>
      </c>
      <c r="B4988" t="inlineStr">
        <is>
          <t>samrådsanmälan</t>
        </is>
      </c>
      <c r="C4988" t="inlineStr">
        <is>
          <t>Askåterföring</t>
        </is>
      </c>
      <c r="D4988" s="1" t="n">
        <v>45182</v>
      </c>
      <c r="E4988" s="1" t="n">
        <v>46312</v>
      </c>
      <c r="F4988" t="inlineStr">
        <is>
          <t>SKÅNE LÄN</t>
        </is>
      </c>
      <c r="G4988" t="inlineStr">
        <is>
          <t>HÄSSLEHOLM</t>
        </is>
      </c>
      <c r="I4988" t="n">
        <v>10.3</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S 2639-2022</t>
        </is>
      </c>
      <c r="B4989" t="inlineStr">
        <is>
          <t>samrådsanmälan</t>
        </is>
      </c>
      <c r="C4989" t="inlineStr">
        <is>
          <t>Annan skogsbruksåtgärd</t>
        </is>
      </c>
      <c r="D4989" s="1" t="n">
        <v>44700</v>
      </c>
      <c r="E4989" s="1" t="n">
        <v>46312</v>
      </c>
      <c r="F4989" t="inlineStr">
        <is>
          <t>SKÅNE LÄN</t>
        </is>
      </c>
      <c r="G4989" t="inlineStr">
        <is>
          <t>ÖSTRA GÖINGE</t>
        </is>
      </c>
      <c r="I4989" t="n">
        <v>0.1</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S 1027-2023</t>
        </is>
      </c>
      <c r="B4990" t="inlineStr">
        <is>
          <t>samrådsanmälan</t>
        </is>
      </c>
      <c r="C4990" t="inlineStr">
        <is>
          <t>Askåterföring</t>
        </is>
      </c>
      <c r="D4990" s="1" t="n">
        <v>45008</v>
      </c>
      <c r="E4990" s="1" t="n">
        <v>46312</v>
      </c>
      <c r="F4990" t="inlineStr">
        <is>
          <t>SKÅNE LÄN</t>
        </is>
      </c>
      <c r="G4990" t="inlineStr">
        <is>
          <t>HÄSSLEHOLM</t>
        </is>
      </c>
      <c r="I4990" t="n">
        <v>10.6</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S 311-2025</t>
        </is>
      </c>
      <c r="B4991" t="inlineStr">
        <is>
          <t>samrådsanmälan</t>
        </is>
      </c>
      <c r="C4991" t="inlineStr">
        <is>
          <t>Askåterföring</t>
        </is>
      </c>
      <c r="D4991" s="1" t="n">
        <v>45688</v>
      </c>
      <c r="E4991" s="1" t="n">
        <v>46312</v>
      </c>
      <c r="F4991" t="inlineStr">
        <is>
          <t>SKÅNE LÄN</t>
        </is>
      </c>
      <c r="G4991" t="inlineStr">
        <is>
          <t>LUND</t>
        </is>
      </c>
      <c r="I4991" t="n">
        <v>40.1</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S 4250-2024</t>
        </is>
      </c>
      <c r="B4992" t="inlineStr">
        <is>
          <t>samrådsanmälan</t>
        </is>
      </c>
      <c r="C4992" t="inlineStr">
        <is>
          <t>Askåterföring</t>
        </is>
      </c>
      <c r="D4992" s="1" t="n">
        <v>45582</v>
      </c>
      <c r="E4992" s="1" t="n">
        <v>46312</v>
      </c>
      <c r="F4992" t="inlineStr">
        <is>
          <t>SKÅNE LÄN</t>
        </is>
      </c>
      <c r="G4992" t="inlineStr">
        <is>
          <t>ÄNGELHOLM</t>
        </is>
      </c>
      <c r="I4992" t="n">
        <v>23.3</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S 4056-2022</t>
        </is>
      </c>
      <c r="B4993" t="inlineStr">
        <is>
          <t>samrådsanmälan</t>
        </is>
      </c>
      <c r="C4993" t="inlineStr">
        <is>
          <t>Askåterföring</t>
        </is>
      </c>
      <c r="D4993" s="1" t="n">
        <v>44757</v>
      </c>
      <c r="E4993" s="1" t="n">
        <v>46312</v>
      </c>
      <c r="F4993" t="inlineStr">
        <is>
          <t>SKÅNE LÄN</t>
        </is>
      </c>
      <c r="G4993" t="inlineStr">
        <is>
          <t>HÄSSLEHOLM</t>
        </is>
      </c>
      <c r="I4993" t="n">
        <v>12.5</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S 5658-2022</t>
        </is>
      </c>
      <c r="B4994" t="inlineStr">
        <is>
          <t>samrådsanmälan</t>
        </is>
      </c>
      <c r="C4994" t="inlineStr">
        <is>
          <t>Askåterföring</t>
        </is>
      </c>
      <c r="D4994" s="1" t="n">
        <v>44841</v>
      </c>
      <c r="E4994" s="1" t="n">
        <v>46312</v>
      </c>
      <c r="F4994" t="inlineStr">
        <is>
          <t>SKÅNE LÄN</t>
        </is>
      </c>
      <c r="G4994" t="inlineStr">
        <is>
          <t>HÄSSLEHOLM</t>
        </is>
      </c>
      <c r="I4994" t="n">
        <v>21.3</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S 5970-2022</t>
        </is>
      </c>
      <c r="B4995" t="inlineStr">
        <is>
          <t>samrådsanmälan</t>
        </is>
      </c>
      <c r="C4995" t="inlineStr">
        <is>
          <t>Askåterföring</t>
        </is>
      </c>
      <c r="D4995" s="1" t="n">
        <v>44858</v>
      </c>
      <c r="E4995" s="1" t="n">
        <v>46312</v>
      </c>
      <c r="F4995" t="inlineStr">
        <is>
          <t>SKÅNE LÄN</t>
        </is>
      </c>
      <c r="G4995" t="inlineStr">
        <is>
          <t>KLIPPAN</t>
        </is>
      </c>
      <c r="I4995" t="n">
        <v>10.6</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S 336-2024</t>
        </is>
      </c>
      <c r="B4996" t="inlineStr">
        <is>
          <t>samrådsanmälan</t>
        </is>
      </c>
      <c r="C4996" t="inlineStr">
        <is>
          <t>Askåterföring</t>
        </is>
      </c>
      <c r="D4996" s="1" t="n">
        <v>45328</v>
      </c>
      <c r="E4996" s="1" t="n">
        <v>46312</v>
      </c>
      <c r="F4996" t="inlineStr">
        <is>
          <t>SKÅNE LÄN</t>
        </is>
      </c>
      <c r="G4996" t="inlineStr">
        <is>
          <t>BROMÖLLA</t>
        </is>
      </c>
      <c r="I4996" t="n">
        <v>25.6</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S 2563-2024</t>
        </is>
      </c>
      <c r="B4997" t="inlineStr">
        <is>
          <t>samrådsanmälan</t>
        </is>
      </c>
      <c r="C4997" t="inlineStr">
        <is>
          <t>Askåterföring</t>
        </is>
      </c>
      <c r="D4997" s="1" t="n">
        <v>45476</v>
      </c>
      <c r="E4997" s="1" t="n">
        <v>46312</v>
      </c>
      <c r="F4997" t="inlineStr">
        <is>
          <t>SKÅNE LÄN</t>
        </is>
      </c>
      <c r="G4997" t="inlineStr">
        <is>
          <t>OSBY</t>
        </is>
      </c>
      <c r="I4997" t="n">
        <v>14.2</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S 5546-2022</t>
        </is>
      </c>
      <c r="B4998" t="inlineStr">
        <is>
          <t>samrådsanmälan</t>
        </is>
      </c>
      <c r="C4998" t="inlineStr">
        <is>
          <t>Askåterföring</t>
        </is>
      </c>
      <c r="D4998" s="1" t="n">
        <v>44837</v>
      </c>
      <c r="E4998" s="1" t="n">
        <v>46312</v>
      </c>
      <c r="F4998" t="inlineStr">
        <is>
          <t>SKÅNE LÄN</t>
        </is>
      </c>
      <c r="G4998" t="inlineStr">
        <is>
          <t>OSBY</t>
        </is>
      </c>
      <c r="I4998" t="n">
        <v>20.9</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S 9170-2021</t>
        </is>
      </c>
      <c r="B4999" t="inlineStr">
        <is>
          <t>samrådsanmälan</t>
        </is>
      </c>
      <c r="C4999" t="inlineStr">
        <is>
          <t>Askåterföring</t>
        </is>
      </c>
      <c r="D4999" s="1" t="n">
        <v>44515</v>
      </c>
      <c r="E4999" s="1" t="n">
        <v>46312</v>
      </c>
      <c r="F4999" t="inlineStr">
        <is>
          <t>SKÅNE LÄN</t>
        </is>
      </c>
      <c r="G4999" t="inlineStr">
        <is>
          <t>HÄSSLEHOLM</t>
        </is>
      </c>
      <c r="I4999" t="n">
        <v>45.8</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S 4342-2023</t>
        </is>
      </c>
      <c r="B5000" t="inlineStr">
        <is>
          <t>samrådsanmälan</t>
        </is>
      </c>
      <c r="C5000" t="inlineStr">
        <is>
          <t>Askåterföring</t>
        </is>
      </c>
      <c r="D5000" s="1" t="n">
        <v>45264</v>
      </c>
      <c r="E5000" s="1" t="n">
        <v>46312</v>
      </c>
      <c r="F5000" t="inlineStr">
        <is>
          <t>SKÅNE LÄN</t>
        </is>
      </c>
      <c r="G5000" t="inlineStr">
        <is>
          <t>OSBY</t>
        </is>
      </c>
      <c r="I5000" t="n">
        <v>21.2</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S 5367-2022</t>
        </is>
      </c>
      <c r="B5001" t="inlineStr">
        <is>
          <t>samrådsanmälan</t>
        </is>
      </c>
      <c r="C5001" t="inlineStr">
        <is>
          <t>Askåterföring</t>
        </is>
      </c>
      <c r="D5001" s="1" t="n">
        <v>44830</v>
      </c>
      <c r="E5001" s="1" t="n">
        <v>46312</v>
      </c>
      <c r="F5001" t="inlineStr">
        <is>
          <t>SKÅNE LÄN</t>
        </is>
      </c>
      <c r="G5001" t="inlineStr">
        <is>
          <t>HÄSSLEHOLM</t>
        </is>
      </c>
      <c r="I5001" t="n">
        <v>17.8</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S 1187-2022</t>
        </is>
      </c>
      <c r="B5002" t="inlineStr">
        <is>
          <t>samrådsanmälan</t>
        </is>
      </c>
      <c r="C5002" t="inlineStr">
        <is>
          <t>Askåterföring</t>
        </is>
      </c>
      <c r="D5002" s="1" t="n">
        <v>44621</v>
      </c>
      <c r="E5002" s="1" t="n">
        <v>46312</v>
      </c>
      <c r="F5002" t="inlineStr">
        <is>
          <t>SKÅNE LÄN</t>
        </is>
      </c>
      <c r="G5002" t="inlineStr">
        <is>
          <t>HÄSSLEHOLM</t>
        </is>
      </c>
      <c r="I5002" t="n">
        <v>1.6</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S 3595-2022</t>
        </is>
      </c>
      <c r="B5003" t="inlineStr">
        <is>
          <t>samrådsanmälan</t>
        </is>
      </c>
      <c r="C5003" t="inlineStr">
        <is>
          <t>Askåterföring</t>
        </is>
      </c>
      <c r="D5003" s="1" t="n">
        <v>44735</v>
      </c>
      <c r="E5003" s="1" t="n">
        <v>46312</v>
      </c>
      <c r="F5003" t="inlineStr">
        <is>
          <t>SKÅNE LÄN</t>
        </is>
      </c>
      <c r="G5003" t="inlineStr">
        <is>
          <t>HÄSSLEHOLM</t>
        </is>
      </c>
      <c r="I5003" t="n">
        <v>60.3</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S 4272-2022</t>
        </is>
      </c>
      <c r="B5004" t="inlineStr">
        <is>
          <t>samrådsanmälan</t>
        </is>
      </c>
      <c r="C5004" t="inlineStr">
        <is>
          <t>Askåterföring</t>
        </is>
      </c>
      <c r="D5004" s="1" t="n">
        <v>44777</v>
      </c>
      <c r="E5004" s="1" t="n">
        <v>46312</v>
      </c>
      <c r="F5004" t="inlineStr">
        <is>
          <t>SKÅNE LÄN</t>
        </is>
      </c>
      <c r="G5004" t="inlineStr">
        <is>
          <t>HÄSSLEHOLM</t>
        </is>
      </c>
      <c r="I5004" t="n">
        <v>57.5</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S 4381-2024</t>
        </is>
      </c>
      <c r="B5005" t="inlineStr">
        <is>
          <t>samrådsanmälan</t>
        </is>
      </c>
      <c r="C5005" t="inlineStr">
        <is>
          <t>Askåterföring</t>
        </is>
      </c>
      <c r="D5005" s="1" t="n">
        <v>45588</v>
      </c>
      <c r="E5005" s="1" t="n">
        <v>46312</v>
      </c>
      <c r="F5005" t="inlineStr">
        <is>
          <t>SKÅNE LÄN</t>
        </is>
      </c>
      <c r="G5005" t="inlineStr">
        <is>
          <t>HÄSSLEHOLM</t>
        </is>
      </c>
      <c r="I5005" t="n">
        <v>13.7</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S 1708-2024</t>
        </is>
      </c>
      <c r="B5006" t="inlineStr">
        <is>
          <t>samrådsanmälan</t>
        </is>
      </c>
      <c r="C5006" t="inlineStr">
        <is>
          <t>Askåterföring</t>
        </is>
      </c>
      <c r="D5006" s="1" t="n">
        <v>45434</v>
      </c>
      <c r="E5006" s="1" t="n">
        <v>46312</v>
      </c>
      <c r="F5006" t="inlineStr">
        <is>
          <t>SKÅNE LÄN</t>
        </is>
      </c>
      <c r="G5006" t="inlineStr">
        <is>
          <t>PERSTORP</t>
        </is>
      </c>
      <c r="H5006" t="inlineStr">
        <is>
          <t>Övriga Aktiebolag</t>
        </is>
      </c>
      <c r="I5006" t="n">
        <v>9.4</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S 1261-2024</t>
        </is>
      </c>
      <c r="B5007" t="inlineStr">
        <is>
          <t>samrådsanmälan</t>
        </is>
      </c>
      <c r="C5007" t="inlineStr">
        <is>
          <t>Askåterföring</t>
        </is>
      </c>
      <c r="D5007" s="1" t="n">
        <v>45400</v>
      </c>
      <c r="E5007" s="1" t="n">
        <v>46312</v>
      </c>
      <c r="F5007" t="inlineStr">
        <is>
          <t>SKÅNE LÄN</t>
        </is>
      </c>
      <c r="G5007" t="inlineStr">
        <is>
          <t>OSBY</t>
        </is>
      </c>
      <c r="I5007" t="n">
        <v>11.8</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S 7204-2022</t>
        </is>
      </c>
      <c r="B5008" t="inlineStr">
        <is>
          <t>samrådsanmälan</t>
        </is>
      </c>
      <c r="C5008" t="inlineStr">
        <is>
          <t>Askåterföring</t>
        </is>
      </c>
      <c r="D5008" s="1" t="n">
        <v>44918</v>
      </c>
      <c r="E5008" s="1" t="n">
        <v>46312</v>
      </c>
      <c r="F5008" t="inlineStr">
        <is>
          <t>SKÅNE LÄN</t>
        </is>
      </c>
      <c r="G5008" t="inlineStr">
        <is>
          <t>PERSTORP</t>
        </is>
      </c>
      <c r="I5008" t="n">
        <v>10.7</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S 731-2024</t>
        </is>
      </c>
      <c r="B5009" t="inlineStr">
        <is>
          <t>samrådsanmälan</t>
        </is>
      </c>
      <c r="C5009" t="inlineStr">
        <is>
          <t>Askåterföring</t>
        </is>
      </c>
      <c r="D5009" s="1" t="n">
        <v>45365</v>
      </c>
      <c r="E5009" s="1" t="n">
        <v>46312</v>
      </c>
      <c r="F5009" t="inlineStr">
        <is>
          <t>SKÅNE LÄN</t>
        </is>
      </c>
      <c r="G5009" t="inlineStr">
        <is>
          <t>OSBY</t>
        </is>
      </c>
      <c r="I5009" t="n">
        <v>15.3</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S 24-2025</t>
        </is>
      </c>
      <c r="B5010" t="inlineStr">
        <is>
          <t>samrådsanmälan</t>
        </is>
      </c>
      <c r="C5010" t="inlineStr">
        <is>
          <t>Annan skogsbruksåtgärd</t>
        </is>
      </c>
      <c r="D5010" s="1" t="n">
        <v>45664</v>
      </c>
      <c r="E5010" s="1" t="n">
        <v>46312</v>
      </c>
      <c r="F5010" t="inlineStr">
        <is>
          <t>SKÅNE LÄN</t>
        </is>
      </c>
      <c r="G5010" t="inlineStr">
        <is>
          <t>HÄSSLEHOLM</t>
        </is>
      </c>
      <c r="I5010" t="n">
        <v>1.4</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S 5989-2022</t>
        </is>
      </c>
      <c r="B5011" t="inlineStr">
        <is>
          <t>samrådsanmälan</t>
        </is>
      </c>
      <c r="C5011" t="inlineStr">
        <is>
          <t>Askåterföring</t>
        </is>
      </c>
      <c r="D5011" s="1" t="n">
        <v>44859</v>
      </c>
      <c r="E5011" s="1" t="n">
        <v>46312</v>
      </c>
      <c r="F5011" t="inlineStr">
        <is>
          <t>SKÅNE LÄN</t>
        </is>
      </c>
      <c r="G5011" t="inlineStr">
        <is>
          <t>HÄSSLEHOLM</t>
        </is>
      </c>
      <c r="H5011" t="inlineStr">
        <is>
          <t>Övriga Aktiebolag</t>
        </is>
      </c>
      <c r="I5011" t="n">
        <v>33.2</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S 558-2023</t>
        </is>
      </c>
      <c r="B5012" t="inlineStr">
        <is>
          <t>samrådsanmälan</t>
        </is>
      </c>
      <c r="C5012" t="inlineStr">
        <is>
          <t>Annan skogsbruksåtgärd</t>
        </is>
      </c>
      <c r="D5012" s="1" t="n">
        <v>44970</v>
      </c>
      <c r="E5012" s="1" t="n">
        <v>46312</v>
      </c>
      <c r="F5012" t="inlineStr">
        <is>
          <t>SKÅNE LÄN</t>
        </is>
      </c>
      <c r="G5012" t="inlineStr">
        <is>
          <t>KRISTIANSTAD</t>
        </is>
      </c>
      <c r="H5012" t="inlineStr">
        <is>
          <t>Kyrkan</t>
        </is>
      </c>
      <c r="I5012" t="n">
        <v>2.3</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S 3284-2023</t>
        </is>
      </c>
      <c r="B5013" t="inlineStr">
        <is>
          <t>samrådsanmälan</t>
        </is>
      </c>
      <c r="C5013" t="inlineStr">
        <is>
          <t>Askåterföring</t>
        </is>
      </c>
      <c r="D5013" s="1" t="n">
        <v>45194</v>
      </c>
      <c r="E5013" s="1" t="n">
        <v>46312</v>
      </c>
      <c r="F5013" t="inlineStr">
        <is>
          <t>SKÅNE LÄN</t>
        </is>
      </c>
      <c r="G5013" t="inlineStr">
        <is>
          <t>HÄSSLEHOLM</t>
        </is>
      </c>
      <c r="I5013" t="n">
        <v>11.2</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S 4466-2023</t>
        </is>
      </c>
      <c r="B5014" t="inlineStr">
        <is>
          <t>samrådsanmälan</t>
        </is>
      </c>
      <c r="C5014" t="inlineStr">
        <is>
          <t>Askåterföring</t>
        </is>
      </c>
      <c r="D5014" s="1" t="n">
        <v>45272</v>
      </c>
      <c r="E5014" s="1" t="n">
        <v>46312</v>
      </c>
      <c r="F5014" t="inlineStr">
        <is>
          <t>SKÅNE LÄN</t>
        </is>
      </c>
      <c r="G5014" t="inlineStr">
        <is>
          <t>OSBY</t>
        </is>
      </c>
      <c r="I5014" t="n">
        <v>28.5</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S 960-2024</t>
        </is>
      </c>
      <c r="B5015" t="inlineStr">
        <is>
          <t>samrådsanmälan</t>
        </is>
      </c>
      <c r="C5015" t="inlineStr">
        <is>
          <t>Askåterföring</t>
        </is>
      </c>
      <c r="D5015" s="1" t="n">
        <v>45379</v>
      </c>
      <c r="E5015" s="1" t="n">
        <v>46312</v>
      </c>
      <c r="F5015" t="inlineStr">
        <is>
          <t>SKÅNE LÄN</t>
        </is>
      </c>
      <c r="G5015" t="inlineStr">
        <is>
          <t>HÄSSLEHOLM</t>
        </is>
      </c>
      <c r="I5015" t="n">
        <v>9.699999999999999</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S 116-2023</t>
        </is>
      </c>
      <c r="B5016" t="inlineStr">
        <is>
          <t>samrådsanmälan</t>
        </is>
      </c>
      <c r="C5016" t="inlineStr">
        <is>
          <t>Askåterföring</t>
        </is>
      </c>
      <c r="D5016" s="1" t="n">
        <v>44936</v>
      </c>
      <c r="E5016" s="1" t="n">
        <v>46312</v>
      </c>
      <c r="F5016" t="inlineStr">
        <is>
          <t>SKÅNE LÄN</t>
        </is>
      </c>
      <c r="G5016" t="inlineStr">
        <is>
          <t>KLIPPAN</t>
        </is>
      </c>
      <c r="I5016" t="n">
        <v>51.8</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S 376-2024</t>
        </is>
      </c>
      <c r="B5017" t="inlineStr">
        <is>
          <t>samrådsanmälan</t>
        </is>
      </c>
      <c r="C5017" t="inlineStr">
        <is>
          <t>Askåterföring</t>
        </is>
      </c>
      <c r="D5017" s="1" t="n">
        <v>45330</v>
      </c>
      <c r="E5017" s="1" t="n">
        <v>46312</v>
      </c>
      <c r="F5017" t="inlineStr">
        <is>
          <t>SKÅNE LÄN</t>
        </is>
      </c>
      <c r="G5017" t="inlineStr">
        <is>
          <t>ÖSTRA GÖINGE</t>
        </is>
      </c>
      <c r="I5017" t="n">
        <v>43.3</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S 286-2024</t>
        </is>
      </c>
      <c r="B5018" t="inlineStr">
        <is>
          <t>samrådsanmälan</t>
        </is>
      </c>
      <c r="C5018" t="inlineStr">
        <is>
          <t>Askåterföring</t>
        </is>
      </c>
      <c r="D5018" s="1" t="n">
        <v>45323</v>
      </c>
      <c r="E5018" s="1" t="n">
        <v>46312</v>
      </c>
      <c r="F5018" t="inlineStr">
        <is>
          <t>SKÅNE LÄN</t>
        </is>
      </c>
      <c r="G5018" t="inlineStr">
        <is>
          <t>HÄSSLEHOLM</t>
        </is>
      </c>
      <c r="I5018" t="n">
        <v>20.9</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S 525-2024</t>
        </is>
      </c>
      <c r="B5019" t="inlineStr">
        <is>
          <t>samrådsanmälan</t>
        </is>
      </c>
      <c r="C5019" t="inlineStr">
        <is>
          <t>Askåterföring</t>
        </is>
      </c>
      <c r="D5019" s="1" t="n">
        <v>45348</v>
      </c>
      <c r="E5019" s="1" t="n">
        <v>46312</v>
      </c>
      <c r="F5019" t="inlineStr">
        <is>
          <t>SKÅNE LÄN</t>
        </is>
      </c>
      <c r="G5019" t="inlineStr">
        <is>
          <t>KLIPPAN</t>
        </is>
      </c>
      <c r="I5019" t="n">
        <v>22.3</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S 2174-2023</t>
        </is>
      </c>
      <c r="B5020" t="inlineStr">
        <is>
          <t>samrådsanmälan</t>
        </is>
      </c>
      <c r="C5020" t="inlineStr">
        <is>
          <t>Askåterföring</t>
        </is>
      </c>
      <c r="D5020" s="1" t="n">
        <v>45089</v>
      </c>
      <c r="E5020" s="1" t="n">
        <v>46312</v>
      </c>
      <c r="F5020" t="inlineStr">
        <is>
          <t>SKÅNE LÄN</t>
        </is>
      </c>
      <c r="G5020" t="inlineStr">
        <is>
          <t>KRISTIANSTAD</t>
        </is>
      </c>
      <c r="I5020" t="n">
        <v>7.4</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S 4916-2024</t>
        </is>
      </c>
      <c r="B5021" t="inlineStr">
        <is>
          <t>samrådsanmälan</t>
        </is>
      </c>
      <c r="C5021" t="inlineStr">
        <is>
          <t>Askåterföring</t>
        </is>
      </c>
      <c r="D5021" s="1" t="n">
        <v>45622</v>
      </c>
      <c r="E5021" s="1" t="n">
        <v>46312</v>
      </c>
      <c r="F5021" t="inlineStr">
        <is>
          <t>SKÅNE LÄN</t>
        </is>
      </c>
      <c r="G5021" t="inlineStr">
        <is>
          <t>OSBY</t>
        </is>
      </c>
      <c r="I5021" t="n">
        <v>30.9</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S 1043-2022</t>
        </is>
      </c>
      <c r="B5022" t="inlineStr">
        <is>
          <t>samrådsanmälan</t>
        </is>
      </c>
      <c r="C5022" t="inlineStr">
        <is>
          <t>Åtgärd i nyckelbiotop</t>
        </is>
      </c>
      <c r="D5022" s="1" t="n">
        <v>44613</v>
      </c>
      <c r="E5022" s="1" t="n">
        <v>46312</v>
      </c>
      <c r="F5022" t="inlineStr">
        <is>
          <t>SKÅNE LÄN</t>
        </is>
      </c>
      <c r="G5022" t="inlineStr">
        <is>
          <t>ÖSTRA GÖINGE</t>
        </is>
      </c>
      <c r="I5022" t="n">
        <v>2</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S 4775-2022</t>
        </is>
      </c>
      <c r="B5023" t="inlineStr">
        <is>
          <t>samrådsanmälan</t>
        </is>
      </c>
      <c r="C5023" t="inlineStr">
        <is>
          <t>Askåterföring</t>
        </is>
      </c>
      <c r="D5023" s="1" t="n">
        <v>44802</v>
      </c>
      <c r="E5023" s="1" t="n">
        <v>46312</v>
      </c>
      <c r="F5023" t="inlineStr">
        <is>
          <t>SKÅNE LÄN</t>
        </is>
      </c>
      <c r="G5023" t="inlineStr">
        <is>
          <t>OSBY</t>
        </is>
      </c>
      <c r="I5023" t="n">
        <v>24.3</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S 1710-2024</t>
        </is>
      </c>
      <c r="B5024" t="inlineStr">
        <is>
          <t>samrådsanmälan</t>
        </is>
      </c>
      <c r="C5024" t="inlineStr">
        <is>
          <t>Askåterföring</t>
        </is>
      </c>
      <c r="D5024" s="1" t="n">
        <v>45434</v>
      </c>
      <c r="E5024" s="1" t="n">
        <v>46312</v>
      </c>
      <c r="F5024" t="inlineStr">
        <is>
          <t>SKÅNE LÄN</t>
        </is>
      </c>
      <c r="G5024" t="inlineStr">
        <is>
          <t>KLIPPAN</t>
        </is>
      </c>
      <c r="H5024" t="inlineStr">
        <is>
          <t>Övriga Aktiebolag</t>
        </is>
      </c>
      <c r="I5024" t="n">
        <v>13.4</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S 1713-2024</t>
        </is>
      </c>
      <c r="B5025" t="inlineStr">
        <is>
          <t>samrådsanmälan</t>
        </is>
      </c>
      <c r="C5025" t="inlineStr">
        <is>
          <t>Askåterföring</t>
        </is>
      </c>
      <c r="D5025" s="1" t="n">
        <v>45434</v>
      </c>
      <c r="E5025" s="1" t="n">
        <v>46312</v>
      </c>
      <c r="F5025" t="inlineStr">
        <is>
          <t>SKÅNE LÄN</t>
        </is>
      </c>
      <c r="G5025" t="inlineStr">
        <is>
          <t>KLIPPAN</t>
        </is>
      </c>
      <c r="H5025" t="inlineStr">
        <is>
          <t>Övriga Aktiebolag</t>
        </is>
      </c>
      <c r="I5025" t="n">
        <v>12.3</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S 3970-2024</t>
        </is>
      </c>
      <c r="B5026" t="inlineStr">
        <is>
          <t>samrådsanmälan</t>
        </is>
      </c>
      <c r="C5026" t="inlineStr">
        <is>
          <t>Askåterföring</t>
        </is>
      </c>
      <c r="D5026" s="1" t="n">
        <v>45568</v>
      </c>
      <c r="E5026" s="1" t="n">
        <v>46312</v>
      </c>
      <c r="F5026" t="inlineStr">
        <is>
          <t>SKÅNE LÄN</t>
        </is>
      </c>
      <c r="G5026" t="inlineStr">
        <is>
          <t>HÄSSLEHOLM</t>
        </is>
      </c>
      <c r="I5026" t="n">
        <v>22.1</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S 5383-2022</t>
        </is>
      </c>
      <c r="B5027" t="inlineStr">
        <is>
          <t>samrådsanmälan</t>
        </is>
      </c>
      <c r="C5027" t="inlineStr">
        <is>
          <t>Askåterföring</t>
        </is>
      </c>
      <c r="D5027" s="1" t="n">
        <v>44830</v>
      </c>
      <c r="E5027" s="1" t="n">
        <v>46312</v>
      </c>
      <c r="F5027" t="inlineStr">
        <is>
          <t>SKÅNE LÄN</t>
        </is>
      </c>
      <c r="G5027" t="inlineStr">
        <is>
          <t>PERSTORP</t>
        </is>
      </c>
      <c r="I5027" t="n">
        <v>44.5</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S 3662-2024</t>
        </is>
      </c>
      <c r="B5028" t="inlineStr">
        <is>
          <t>samrådsanmälan</t>
        </is>
      </c>
      <c r="C5028" t="inlineStr">
        <is>
          <t>Skogsbilväg</t>
        </is>
      </c>
      <c r="D5028" s="1" t="n">
        <v>45546</v>
      </c>
      <c r="E5028" s="1" t="n">
        <v>46312</v>
      </c>
      <c r="F5028" t="inlineStr">
        <is>
          <t>SKÅNE LÄN</t>
        </is>
      </c>
      <c r="G5028" t="inlineStr">
        <is>
          <t>HÄSSLEHOLM</t>
        </is>
      </c>
      <c r="I5028" t="n">
        <v>0.1</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S 371-2024</t>
        </is>
      </c>
      <c r="B5029" t="inlineStr">
        <is>
          <t>samrådsanmälan</t>
        </is>
      </c>
      <c r="C5029" t="inlineStr">
        <is>
          <t>Askåterföring</t>
        </is>
      </c>
      <c r="D5029" s="1" t="n">
        <v>45330</v>
      </c>
      <c r="E5029" s="1" t="n">
        <v>46312</v>
      </c>
      <c r="F5029" t="inlineStr">
        <is>
          <t>SKÅNE LÄN</t>
        </is>
      </c>
      <c r="G5029" t="inlineStr">
        <is>
          <t>ÖSTRA GÖINGE</t>
        </is>
      </c>
      <c r="I5029" t="n">
        <v>19.2</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S 4776-2022</t>
        </is>
      </c>
      <c r="B5030" t="inlineStr">
        <is>
          <t>samrådsanmälan</t>
        </is>
      </c>
      <c r="C5030" t="inlineStr">
        <is>
          <t>Askåterföring</t>
        </is>
      </c>
      <c r="D5030" s="1" t="n">
        <v>44802</v>
      </c>
      <c r="E5030" s="1" t="n">
        <v>46312</v>
      </c>
      <c r="F5030" t="inlineStr">
        <is>
          <t>SKÅNE LÄN</t>
        </is>
      </c>
      <c r="G5030" t="inlineStr">
        <is>
          <t>OSBY</t>
        </is>
      </c>
      <c r="I5030" t="n">
        <v>8.300000000000001</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S 642-2023</t>
        </is>
      </c>
      <c r="B5031" t="inlineStr">
        <is>
          <t>samrådsanmälan</t>
        </is>
      </c>
      <c r="C5031" t="inlineStr">
        <is>
          <t>Askåterföring</t>
        </is>
      </c>
      <c r="D5031" s="1" t="n">
        <v>44973</v>
      </c>
      <c r="E5031" s="1" t="n">
        <v>46312</v>
      </c>
      <c r="F5031" t="inlineStr">
        <is>
          <t>SKÅNE LÄN</t>
        </is>
      </c>
      <c r="G5031" t="inlineStr">
        <is>
          <t>ÖSTRA GÖINGE</t>
        </is>
      </c>
      <c r="I5031" t="n">
        <v>20.4</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S 4785-2024</t>
        </is>
      </c>
      <c r="B5032" t="inlineStr">
        <is>
          <t>samrådsanmälan</t>
        </is>
      </c>
      <c r="C5032" t="inlineStr">
        <is>
          <t>Askåterföring</t>
        </is>
      </c>
      <c r="D5032" s="1" t="n">
        <v>45611</v>
      </c>
      <c r="E5032" s="1" t="n">
        <v>46312</v>
      </c>
      <c r="F5032" t="inlineStr">
        <is>
          <t>SKÅNE LÄN</t>
        </is>
      </c>
      <c r="G5032" t="inlineStr">
        <is>
          <t>HÄSSLEHOLM</t>
        </is>
      </c>
      <c r="I5032" t="n">
        <v>14.8</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S 5209-2022</t>
        </is>
      </c>
      <c r="B5033" t="inlineStr">
        <is>
          <t>samrådsanmälan</t>
        </is>
      </c>
      <c r="C5033" t="inlineStr">
        <is>
          <t>Askåterföring</t>
        </is>
      </c>
      <c r="D5033" s="1" t="n">
        <v>44820</v>
      </c>
      <c r="E5033" s="1" t="n">
        <v>46312</v>
      </c>
      <c r="F5033" t="inlineStr">
        <is>
          <t>SKÅNE LÄN</t>
        </is>
      </c>
      <c r="G5033" t="inlineStr">
        <is>
          <t>OSBY</t>
        </is>
      </c>
      <c r="I5033" t="n">
        <v>55.8</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S 497-2022</t>
        </is>
      </c>
      <c r="B5034" t="inlineStr">
        <is>
          <t>samrådsanmälan</t>
        </is>
      </c>
      <c r="C5034" t="inlineStr">
        <is>
          <t>Skogsbilväg</t>
        </is>
      </c>
      <c r="D5034" s="1" t="n">
        <v>44588</v>
      </c>
      <c r="E5034" s="1" t="n">
        <v>46312</v>
      </c>
      <c r="F5034" t="inlineStr">
        <is>
          <t>SKÅNE LÄN</t>
        </is>
      </c>
      <c r="G5034" t="inlineStr">
        <is>
          <t>HÄSSLEHOLM</t>
        </is>
      </c>
      <c r="I5034" t="n">
        <v>0.7</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S 2442-2022</t>
        </is>
      </c>
      <c r="B5035" t="inlineStr">
        <is>
          <t>samrådsanmälan</t>
        </is>
      </c>
      <c r="C5035" t="inlineStr">
        <is>
          <t>Askåterföring</t>
        </is>
      </c>
      <c r="D5035" s="1" t="n">
        <v>44691</v>
      </c>
      <c r="E5035" s="1" t="n">
        <v>46312</v>
      </c>
      <c r="F5035" t="inlineStr">
        <is>
          <t>SKÅNE LÄN</t>
        </is>
      </c>
      <c r="G5035" t="inlineStr">
        <is>
          <t>HÖÖR</t>
        </is>
      </c>
      <c r="I5035" t="n">
        <v>12.4</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S 3116-2023</t>
        </is>
      </c>
      <c r="B5036" t="inlineStr">
        <is>
          <t>samrådsanmälan</t>
        </is>
      </c>
      <c r="C5036" t="inlineStr">
        <is>
          <t>Askåterföring</t>
        </is>
      </c>
      <c r="D5036" s="1" t="n">
        <v>45182</v>
      </c>
      <c r="E5036" s="1" t="n">
        <v>46312</v>
      </c>
      <c r="F5036" t="inlineStr">
        <is>
          <t>SKÅNE LÄN</t>
        </is>
      </c>
      <c r="G5036" t="inlineStr">
        <is>
          <t>OSBY</t>
        </is>
      </c>
      <c r="I5036" t="n">
        <v>35.3</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S 2857-2024</t>
        </is>
      </c>
      <c r="B5037" t="inlineStr">
        <is>
          <t>samrådsanmälan</t>
        </is>
      </c>
      <c r="C5037" t="inlineStr">
        <is>
          <t>Annan skogsbruksåtgärd</t>
        </is>
      </c>
      <c r="D5037" s="1" t="n">
        <v>45496</v>
      </c>
      <c r="E5037" s="1" t="n">
        <v>46312</v>
      </c>
      <c r="F5037" t="inlineStr">
        <is>
          <t>SKÅNE LÄN</t>
        </is>
      </c>
      <c r="G5037" t="inlineStr">
        <is>
          <t>ÖRKELLJUNGA</t>
        </is>
      </c>
      <c r="I5037" t="n">
        <v>2.5</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S 573-2024</t>
        </is>
      </c>
      <c r="B5038" t="inlineStr">
        <is>
          <t>samrådsanmälan</t>
        </is>
      </c>
      <c r="C5038" t="inlineStr">
        <is>
          <t>Askåterföring</t>
        </is>
      </c>
      <c r="D5038" s="1" t="n">
        <v>45350</v>
      </c>
      <c r="E5038" s="1" t="n">
        <v>46312</v>
      </c>
      <c r="F5038" t="inlineStr">
        <is>
          <t>SKÅNE LÄN</t>
        </is>
      </c>
      <c r="G5038" t="inlineStr">
        <is>
          <t>ÖSTRA GÖINGE</t>
        </is>
      </c>
      <c r="I5038" t="n">
        <v>24.3</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S 9957-2021</t>
        </is>
      </c>
      <c r="B5039" t="inlineStr">
        <is>
          <t>samrådsanmälan</t>
        </is>
      </c>
      <c r="C5039" t="inlineStr">
        <is>
          <t>Askåterföring</t>
        </is>
      </c>
      <c r="D5039" s="1" t="n">
        <v>44536</v>
      </c>
      <c r="E5039" s="1" t="n">
        <v>46312</v>
      </c>
      <c r="F5039" t="inlineStr">
        <is>
          <t>SKÅNE LÄN</t>
        </is>
      </c>
      <c r="G5039" t="inlineStr">
        <is>
          <t>ÖRKELLJUNGA</t>
        </is>
      </c>
      <c r="I5039" t="n">
        <v>26.1</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S 4901-2022</t>
        </is>
      </c>
      <c r="B5040" t="inlineStr">
        <is>
          <t>samrådsanmälan</t>
        </is>
      </c>
      <c r="C5040" t="inlineStr">
        <is>
          <t>Askåterföring</t>
        </is>
      </c>
      <c r="D5040" s="1" t="n">
        <v>44806</v>
      </c>
      <c r="E5040" s="1" t="n">
        <v>46312</v>
      </c>
      <c r="F5040" t="inlineStr">
        <is>
          <t>SKÅNE LÄN</t>
        </is>
      </c>
      <c r="G5040" t="inlineStr">
        <is>
          <t>OSBY</t>
        </is>
      </c>
      <c r="I5040" t="n">
        <v>18.5</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S 3422-2024</t>
        </is>
      </c>
      <c r="B5041" t="inlineStr">
        <is>
          <t>samrådsanmälan</t>
        </is>
      </c>
      <c r="C5041" t="inlineStr">
        <is>
          <t>Annan skogsbruksåtgärd</t>
        </is>
      </c>
      <c r="D5041" s="1" t="n">
        <v>45537</v>
      </c>
      <c r="E5041" s="1" t="n">
        <v>46312</v>
      </c>
      <c r="F5041" t="inlineStr">
        <is>
          <t>SKÅNE LÄN</t>
        </is>
      </c>
      <c r="G5041" t="inlineStr">
        <is>
          <t>TOMELILLA</t>
        </is>
      </c>
      <c r="H5041" t="inlineStr">
        <is>
          <t>Sveaskog</t>
        </is>
      </c>
      <c r="I5041" t="n">
        <v>0.1</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S 3004-2022</t>
        </is>
      </c>
      <c r="B5042" t="inlineStr">
        <is>
          <t>samrådsanmälan</t>
        </is>
      </c>
      <c r="C5042" t="inlineStr">
        <is>
          <t>Askåterföring</t>
        </is>
      </c>
      <c r="D5042" s="1" t="n">
        <v>44713</v>
      </c>
      <c r="E5042" s="1" t="n">
        <v>46312</v>
      </c>
      <c r="F5042" t="inlineStr">
        <is>
          <t>SKÅNE LÄN</t>
        </is>
      </c>
      <c r="G5042" t="inlineStr">
        <is>
          <t>KRISTIANSTAD</t>
        </is>
      </c>
      <c r="I5042" t="n">
        <v>3.5</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S 3101-2023</t>
        </is>
      </c>
      <c r="B5043" t="inlineStr">
        <is>
          <t>samrådsanmälan</t>
        </is>
      </c>
      <c r="C5043" t="inlineStr">
        <is>
          <t>Askåterföring</t>
        </is>
      </c>
      <c r="D5043" s="1" t="n">
        <v>45182</v>
      </c>
      <c r="E5043" s="1" t="n">
        <v>46312</v>
      </c>
      <c r="F5043" t="inlineStr">
        <is>
          <t>SKÅNE LÄN</t>
        </is>
      </c>
      <c r="G5043" t="inlineStr">
        <is>
          <t>HÄSSLEHOLM</t>
        </is>
      </c>
      <c r="I5043" t="n">
        <v>9.300000000000001</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S 181-2025</t>
        </is>
      </c>
      <c r="B5044" t="inlineStr">
        <is>
          <t>samrådsanmälan</t>
        </is>
      </c>
      <c r="C5044" t="inlineStr">
        <is>
          <t>Askåterföring</t>
        </is>
      </c>
      <c r="D5044" s="1" t="n">
        <v>45677</v>
      </c>
      <c r="E5044" s="1" t="n">
        <v>46312</v>
      </c>
      <c r="F5044" t="inlineStr">
        <is>
          <t>SKÅNE LÄN</t>
        </is>
      </c>
      <c r="G5044" t="inlineStr">
        <is>
          <t>BROMÖLLA</t>
        </is>
      </c>
      <c r="I5044" t="n">
        <v>12.8</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S 3997-2024</t>
        </is>
      </c>
      <c r="B5045" t="inlineStr">
        <is>
          <t>samrådsanmälan</t>
        </is>
      </c>
      <c r="C5045" t="inlineStr">
        <is>
          <t>Annan skogsbruksåtgärd</t>
        </is>
      </c>
      <c r="D5045" s="1" t="n">
        <v>45569</v>
      </c>
      <c r="E5045" s="1" t="n">
        <v>46312</v>
      </c>
      <c r="F5045" t="inlineStr">
        <is>
          <t>SKÅNE LÄN</t>
        </is>
      </c>
      <c r="G5045" t="inlineStr">
        <is>
          <t>ÖSTRA GÖINGE</t>
        </is>
      </c>
      <c r="I5045" t="n">
        <v>0.9</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S 4255-2024</t>
        </is>
      </c>
      <c r="B5046" t="inlineStr">
        <is>
          <t>samrådsanmälan</t>
        </is>
      </c>
      <c r="C5046" t="inlineStr">
        <is>
          <t>Askåterföring</t>
        </is>
      </c>
      <c r="D5046" s="1" t="n">
        <v>45582</v>
      </c>
      <c r="E5046" s="1" t="n">
        <v>46312</v>
      </c>
      <c r="F5046" t="inlineStr">
        <is>
          <t>SKÅNE LÄN</t>
        </is>
      </c>
      <c r="G5046" t="inlineStr">
        <is>
          <t>ÄNGELHOLM</t>
        </is>
      </c>
      <c r="I5046" t="n">
        <v>5.9</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S 1300-2022</t>
        </is>
      </c>
      <c r="B5047" t="inlineStr">
        <is>
          <t>samrådsanmälan</t>
        </is>
      </c>
      <c r="C5047" t="inlineStr">
        <is>
          <t>Annan skogsbruksåtgärd</t>
        </is>
      </c>
      <c r="D5047" s="1" t="n">
        <v>44627</v>
      </c>
      <c r="E5047" s="1" t="n">
        <v>46312</v>
      </c>
      <c r="F5047" t="inlineStr">
        <is>
          <t>SKÅNE LÄN</t>
        </is>
      </c>
      <c r="G5047" t="inlineStr">
        <is>
          <t>HÄSSLEHOLM</t>
        </is>
      </c>
      <c r="I5047" t="n">
        <v>5.4</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S 1303-2022</t>
        </is>
      </c>
      <c r="B5048" t="inlineStr">
        <is>
          <t>samrådsanmälan</t>
        </is>
      </c>
      <c r="C5048" t="inlineStr">
        <is>
          <t>Askåterföring</t>
        </is>
      </c>
      <c r="D5048" s="1" t="n">
        <v>44627</v>
      </c>
      <c r="E5048" s="1" t="n">
        <v>46312</v>
      </c>
      <c r="F5048" t="inlineStr">
        <is>
          <t>SKÅNE LÄN</t>
        </is>
      </c>
      <c r="G5048" t="inlineStr">
        <is>
          <t>HÄSSLEHOLM</t>
        </is>
      </c>
      <c r="I5048" t="n">
        <v>29.4</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S 4910-2022</t>
        </is>
      </c>
      <c r="B5049" t="inlineStr">
        <is>
          <t>samrådsanmälan</t>
        </is>
      </c>
      <c r="C5049" t="inlineStr">
        <is>
          <t>Askåterföring</t>
        </is>
      </c>
      <c r="D5049" s="1" t="n">
        <v>44809</v>
      </c>
      <c r="E5049" s="1" t="n">
        <v>46312</v>
      </c>
      <c r="F5049" t="inlineStr">
        <is>
          <t>SKÅNE LÄN</t>
        </is>
      </c>
      <c r="G5049" t="inlineStr">
        <is>
          <t>KRISTIANSTAD</t>
        </is>
      </c>
      <c r="I5049" t="n">
        <v>13.3</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S 4573-2024</t>
        </is>
      </c>
      <c r="B5050" t="inlineStr">
        <is>
          <t>samrådsanmälan</t>
        </is>
      </c>
      <c r="C5050" t="inlineStr">
        <is>
          <t>Annan skogsbruksåtgärd</t>
        </is>
      </c>
      <c r="D5050" s="1" t="n">
        <v>45600</v>
      </c>
      <c r="E5050" s="1" t="n">
        <v>46312</v>
      </c>
      <c r="F5050" t="inlineStr">
        <is>
          <t>SKÅNE LÄN</t>
        </is>
      </c>
      <c r="G5050" t="inlineStr">
        <is>
          <t>HÄSSLEHOLM</t>
        </is>
      </c>
      <c r="I5050" t="n">
        <v>4</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S 2068-2024</t>
        </is>
      </c>
      <c r="B5051" t="inlineStr">
        <is>
          <t>samrådsanmälan</t>
        </is>
      </c>
      <c r="C5051" t="inlineStr">
        <is>
          <t>Dikesrensning</t>
        </is>
      </c>
      <c r="D5051" s="1" t="n">
        <v>45453</v>
      </c>
      <c r="E5051" s="1" t="n">
        <v>46312</v>
      </c>
      <c r="F5051" t="inlineStr">
        <is>
          <t>SKÅNE LÄN</t>
        </is>
      </c>
      <c r="G5051" t="inlineStr">
        <is>
          <t>OSBY</t>
        </is>
      </c>
      <c r="I5051" t="n">
        <v>1.4</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S 10184-2021</t>
        </is>
      </c>
      <c r="B5052" t="inlineStr">
        <is>
          <t>samrådsanmälan</t>
        </is>
      </c>
      <c r="C5052" t="inlineStr">
        <is>
          <t>Askåterföring</t>
        </is>
      </c>
      <c r="D5052" s="1" t="n">
        <v>44543</v>
      </c>
      <c r="E5052" s="1" t="n">
        <v>46312</v>
      </c>
      <c r="F5052" t="inlineStr">
        <is>
          <t>SKÅNE LÄN</t>
        </is>
      </c>
      <c r="G5052" t="inlineStr">
        <is>
          <t>PERSTORP</t>
        </is>
      </c>
      <c r="I5052" t="n">
        <v>17.5</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S 9431-2021</t>
        </is>
      </c>
      <c r="B5053" t="inlineStr">
        <is>
          <t>samrådsanmälan</t>
        </is>
      </c>
      <c r="C5053" t="inlineStr">
        <is>
          <t>Skogsbilväg</t>
        </is>
      </c>
      <c r="D5053" s="1" t="n">
        <v>44522</v>
      </c>
      <c r="E5053" s="1" t="n">
        <v>46312</v>
      </c>
      <c r="F5053" t="inlineStr">
        <is>
          <t>SKÅNE LÄN</t>
        </is>
      </c>
      <c r="G5053" t="inlineStr">
        <is>
          <t>HÄSSLEHOLM</t>
        </is>
      </c>
      <c r="I5053" t="n">
        <v>1.6</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S 4829-2024</t>
        </is>
      </c>
      <c r="B5054" t="inlineStr">
        <is>
          <t>samrådsanmälan</t>
        </is>
      </c>
      <c r="C5054" t="inlineStr">
        <is>
          <t>Askåterföring</t>
        </is>
      </c>
      <c r="D5054" s="1" t="n">
        <v>45615</v>
      </c>
      <c r="E5054" s="1" t="n">
        <v>46312</v>
      </c>
      <c r="F5054" t="inlineStr">
        <is>
          <t>SKÅNE LÄN</t>
        </is>
      </c>
      <c r="G5054" t="inlineStr">
        <is>
          <t>HÄSSLEHOLM</t>
        </is>
      </c>
      <c r="I5054" t="n">
        <v>14.3</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S 1865-2024</t>
        </is>
      </c>
      <c r="B5055" t="inlineStr">
        <is>
          <t>samrådsanmälan</t>
        </is>
      </c>
      <c r="C5055" t="inlineStr">
        <is>
          <t>Askåterföring</t>
        </is>
      </c>
      <c r="D5055" s="1" t="n">
        <v>45440</v>
      </c>
      <c r="E5055" s="1" t="n">
        <v>46312</v>
      </c>
      <c r="F5055" t="inlineStr">
        <is>
          <t>SKÅNE LÄN</t>
        </is>
      </c>
      <c r="G5055" t="inlineStr">
        <is>
          <t>KRISTIANSTAD</t>
        </is>
      </c>
      <c r="I5055" t="n">
        <v>29.3</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S 5014-2024</t>
        </is>
      </c>
      <c r="B5056" t="inlineStr">
        <is>
          <t>samrådsanmälan</t>
        </is>
      </c>
      <c r="C5056" t="inlineStr">
        <is>
          <t>Askåterföring</t>
        </is>
      </c>
      <c r="D5056" s="1" t="n">
        <v>45632</v>
      </c>
      <c r="E5056" s="1" t="n">
        <v>46312</v>
      </c>
      <c r="F5056" t="inlineStr">
        <is>
          <t>SKÅNE LÄN</t>
        </is>
      </c>
      <c r="G5056" t="inlineStr">
        <is>
          <t>HÄSSLEHOLM</t>
        </is>
      </c>
      <c r="I5056" t="n">
        <v>25</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S 1184-2022</t>
        </is>
      </c>
      <c r="B5057" t="inlineStr">
        <is>
          <t>samrådsanmälan</t>
        </is>
      </c>
      <c r="C5057" t="inlineStr">
        <is>
          <t>Askåterföring</t>
        </is>
      </c>
      <c r="D5057" s="1" t="n">
        <v>44621</v>
      </c>
      <c r="E5057" s="1" t="n">
        <v>46312</v>
      </c>
      <c r="F5057" t="inlineStr">
        <is>
          <t>SKÅNE LÄN</t>
        </is>
      </c>
      <c r="G5057" t="inlineStr">
        <is>
          <t>HÄSSLEHOLM</t>
        </is>
      </c>
      <c r="I5057" t="n">
        <v>7.1</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S 568-2024</t>
        </is>
      </c>
      <c r="B5058" t="inlineStr">
        <is>
          <t>samrådsanmälan</t>
        </is>
      </c>
      <c r="C5058" t="inlineStr">
        <is>
          <t>Askåterföring</t>
        </is>
      </c>
      <c r="D5058" s="1" t="n">
        <v>45350</v>
      </c>
      <c r="E5058" s="1" t="n">
        <v>46312</v>
      </c>
      <c r="F5058" t="inlineStr">
        <is>
          <t>SKÅNE LÄN</t>
        </is>
      </c>
      <c r="G5058" t="inlineStr">
        <is>
          <t>ÖSTRA GÖINGE</t>
        </is>
      </c>
      <c r="I5058" t="n">
        <v>21.2</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S 2223-2023</t>
        </is>
      </c>
      <c r="B5059" t="inlineStr">
        <is>
          <t>samrådsanmälan</t>
        </is>
      </c>
      <c r="C5059" t="inlineStr">
        <is>
          <t>Askåterföring</t>
        </is>
      </c>
      <c r="D5059" s="1" t="n">
        <v>45099</v>
      </c>
      <c r="E5059" s="1" t="n">
        <v>46312</v>
      </c>
      <c r="F5059" t="inlineStr">
        <is>
          <t>SKÅNE LÄN</t>
        </is>
      </c>
      <c r="G5059" t="inlineStr">
        <is>
          <t>HÄSSLEHOLM</t>
        </is>
      </c>
      <c r="I5059" t="n">
        <v>12.5</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S 3796-2024</t>
        </is>
      </c>
      <c r="B5060" t="inlineStr">
        <is>
          <t>samrådsanmälan</t>
        </is>
      </c>
      <c r="C5060" t="inlineStr">
        <is>
          <t>Annan skogsbruksåtgärd</t>
        </is>
      </c>
      <c r="D5060" s="1" t="n">
        <v>45558</v>
      </c>
      <c r="E5060" s="1" t="n">
        <v>46312</v>
      </c>
      <c r="F5060" t="inlineStr">
        <is>
          <t>SKÅNE LÄN</t>
        </is>
      </c>
      <c r="G5060" t="inlineStr">
        <is>
          <t>KLIPPAN</t>
        </is>
      </c>
      <c r="H5060" t="inlineStr">
        <is>
          <t>Sveaskog</t>
        </is>
      </c>
      <c r="I5060" t="n">
        <v>2.7</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S 263-2023</t>
        </is>
      </c>
      <c r="B5061" t="inlineStr">
        <is>
          <t>samrådsanmälan</t>
        </is>
      </c>
      <c r="C5061" t="inlineStr">
        <is>
          <t>Askåterföring</t>
        </is>
      </c>
      <c r="D5061" s="1" t="n">
        <v>44952</v>
      </c>
      <c r="E5061" s="1" t="n">
        <v>46312</v>
      </c>
      <c r="F5061" t="inlineStr">
        <is>
          <t>SKÅNE LÄN</t>
        </is>
      </c>
      <c r="G5061" t="inlineStr">
        <is>
          <t>OSBY</t>
        </is>
      </c>
      <c r="I5061" t="n">
        <v>23.5</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S 2600-2022</t>
        </is>
      </c>
      <c r="B5062" t="inlineStr">
        <is>
          <t>samrådsanmälan</t>
        </is>
      </c>
      <c r="C5062" t="inlineStr">
        <is>
          <t>Askåterföring</t>
        </is>
      </c>
      <c r="D5062" s="1" t="n">
        <v>44698</v>
      </c>
      <c r="E5062" s="1" t="n">
        <v>46312</v>
      </c>
      <c r="F5062" t="inlineStr">
        <is>
          <t>SKÅNE LÄN</t>
        </is>
      </c>
      <c r="G5062" t="inlineStr">
        <is>
          <t>ÖSTRA GÖINGE</t>
        </is>
      </c>
      <c r="I5062" t="n">
        <v>12</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S 824-2023</t>
        </is>
      </c>
      <c r="B5063" t="inlineStr">
        <is>
          <t>samrådsanmälan</t>
        </is>
      </c>
      <c r="C5063" t="inlineStr">
        <is>
          <t>Askåterföring</t>
        </is>
      </c>
      <c r="D5063" s="1" t="n">
        <v>44988</v>
      </c>
      <c r="E5063" s="1" t="n">
        <v>46312</v>
      </c>
      <c r="F5063" t="inlineStr">
        <is>
          <t>SKÅNE LÄN</t>
        </is>
      </c>
      <c r="G5063" t="inlineStr">
        <is>
          <t>PERSTORP</t>
        </is>
      </c>
      <c r="I5063" t="n">
        <v>9.4</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S 4256-2024</t>
        </is>
      </c>
      <c r="B5064" t="inlineStr">
        <is>
          <t>samrådsanmälan</t>
        </is>
      </c>
      <c r="C5064" t="inlineStr">
        <is>
          <t>Askåterföring</t>
        </is>
      </c>
      <c r="D5064" s="1" t="n">
        <v>45582</v>
      </c>
      <c r="E5064" s="1" t="n">
        <v>46312</v>
      </c>
      <c r="F5064" t="inlineStr">
        <is>
          <t>SKÅNE LÄN</t>
        </is>
      </c>
      <c r="G5064" t="inlineStr">
        <is>
          <t>ÄNGELHOLM</t>
        </is>
      </c>
      <c r="I5064" t="n">
        <v>6.6</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S 171-2025</t>
        </is>
      </c>
      <c r="B5065" t="inlineStr">
        <is>
          <t>samrådsanmälan</t>
        </is>
      </c>
      <c r="C5065" t="inlineStr">
        <is>
          <t>Askåterföring</t>
        </is>
      </c>
      <c r="D5065" s="1" t="n">
        <v>45677</v>
      </c>
      <c r="E5065" s="1" t="n">
        <v>46312</v>
      </c>
      <c r="F5065" t="inlineStr">
        <is>
          <t>SKÅNE LÄN</t>
        </is>
      </c>
      <c r="G5065" t="inlineStr">
        <is>
          <t>KRISTIANSTAD</t>
        </is>
      </c>
      <c r="I5065" t="n">
        <v>4.3</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S 4383-2023</t>
        </is>
      </c>
      <c r="B5066" t="inlineStr">
        <is>
          <t>samrådsanmälan</t>
        </is>
      </c>
      <c r="C5066" t="inlineStr">
        <is>
          <t>Askåterföring</t>
        </is>
      </c>
      <c r="D5066" s="1" t="n">
        <v>45265</v>
      </c>
      <c r="E5066" s="1" t="n">
        <v>46312</v>
      </c>
      <c r="F5066" t="inlineStr">
        <is>
          <t>SKÅNE LÄN</t>
        </is>
      </c>
      <c r="G5066" t="inlineStr">
        <is>
          <t>HÖÖR</t>
        </is>
      </c>
      <c r="I5066" t="n">
        <v>18.9</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S 569-2024</t>
        </is>
      </c>
      <c r="B5067" t="inlineStr">
        <is>
          <t>samrådsanmälan</t>
        </is>
      </c>
      <c r="C5067" t="inlineStr">
        <is>
          <t>Askåterföring</t>
        </is>
      </c>
      <c r="D5067" s="1" t="n">
        <v>45350</v>
      </c>
      <c r="E5067" s="1" t="n">
        <v>46312</v>
      </c>
      <c r="F5067" t="inlineStr">
        <is>
          <t>SKÅNE LÄN</t>
        </is>
      </c>
      <c r="G5067" t="inlineStr">
        <is>
          <t>ÖSTRA GÖINGE</t>
        </is>
      </c>
      <c r="I5067" t="n">
        <v>35.3</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S 4258-2024</t>
        </is>
      </c>
      <c r="B5068" t="inlineStr">
        <is>
          <t>samrådsanmälan</t>
        </is>
      </c>
      <c r="C5068" t="inlineStr">
        <is>
          <t>Askåterföring</t>
        </is>
      </c>
      <c r="D5068" s="1" t="n">
        <v>45582</v>
      </c>
      <c r="E5068" s="1" t="n">
        <v>46312</v>
      </c>
      <c r="F5068" t="inlineStr">
        <is>
          <t>SKÅNE LÄN</t>
        </is>
      </c>
      <c r="G5068" t="inlineStr">
        <is>
          <t>ÄNGELHOLM</t>
        </is>
      </c>
      <c r="I5068" t="n">
        <v>8.800000000000001</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S 3804-2024</t>
        </is>
      </c>
      <c r="B5069" t="inlineStr">
        <is>
          <t>samrådsanmälan</t>
        </is>
      </c>
      <c r="C5069" t="inlineStr">
        <is>
          <t>Annan skogsbruksåtgärd</t>
        </is>
      </c>
      <c r="D5069" s="1" t="n">
        <v>45558</v>
      </c>
      <c r="E5069" s="1" t="n">
        <v>46312</v>
      </c>
      <c r="F5069" t="inlineStr">
        <is>
          <t>SKÅNE LÄN</t>
        </is>
      </c>
      <c r="G5069" t="inlineStr">
        <is>
          <t>KLIPPAN</t>
        </is>
      </c>
      <c r="H5069" t="inlineStr">
        <is>
          <t>Sveaskog</t>
        </is>
      </c>
      <c r="I5069" t="n">
        <v>1.3</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S 704-2022</t>
        </is>
      </c>
      <c r="B5070" t="inlineStr">
        <is>
          <t>samrådsanmälan</t>
        </is>
      </c>
      <c r="C5070" t="inlineStr">
        <is>
          <t>Skogsbilväg</t>
        </is>
      </c>
      <c r="D5070" s="1" t="n">
        <v>44599</v>
      </c>
      <c r="E5070" s="1" t="n">
        <v>46312</v>
      </c>
      <c r="F5070" t="inlineStr">
        <is>
          <t>SKÅNE LÄN</t>
        </is>
      </c>
      <c r="G5070" t="inlineStr">
        <is>
          <t>KLIPPAN</t>
        </is>
      </c>
      <c r="I5070" t="n">
        <v>0.7</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S 2418-2023</t>
        </is>
      </c>
      <c r="B5071" t="inlineStr">
        <is>
          <t>samrådsanmälan</t>
        </is>
      </c>
      <c r="C5071" t="inlineStr">
        <is>
          <t>Askåterföring</t>
        </is>
      </c>
      <c r="D5071" s="1" t="n">
        <v>45124</v>
      </c>
      <c r="E5071" s="1" t="n">
        <v>46312</v>
      </c>
      <c r="F5071" t="inlineStr">
        <is>
          <t>SKÅNE LÄN</t>
        </is>
      </c>
      <c r="G5071" t="inlineStr">
        <is>
          <t>OSBY</t>
        </is>
      </c>
      <c r="I5071" t="n">
        <v>14.4</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S 4436-2024</t>
        </is>
      </c>
      <c r="B5072" t="inlineStr">
        <is>
          <t>samrådsanmälan</t>
        </is>
      </c>
      <c r="C5072" t="inlineStr">
        <is>
          <t>Askåterföring</t>
        </is>
      </c>
      <c r="D5072" s="1" t="n">
        <v>45593</v>
      </c>
      <c r="E5072" s="1" t="n">
        <v>46312</v>
      </c>
      <c r="F5072" t="inlineStr">
        <is>
          <t>SKÅNE LÄN</t>
        </is>
      </c>
      <c r="G5072" t="inlineStr">
        <is>
          <t>HÄSSLEHOLM</t>
        </is>
      </c>
      <c r="I5072" t="n">
        <v>12</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S 566-2024</t>
        </is>
      </c>
      <c r="B5073" t="inlineStr">
        <is>
          <t>samrådsanmälan</t>
        </is>
      </c>
      <c r="C5073" t="inlineStr">
        <is>
          <t>Askåterföring</t>
        </is>
      </c>
      <c r="D5073" s="1" t="n">
        <v>45350</v>
      </c>
      <c r="E5073" s="1" t="n">
        <v>46312</v>
      </c>
      <c r="F5073" t="inlineStr">
        <is>
          <t>SKÅNE LÄN</t>
        </is>
      </c>
      <c r="G5073" t="inlineStr">
        <is>
          <t>OSBY</t>
        </is>
      </c>
      <c r="I5073" t="n">
        <v>17.2</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S 455-2023</t>
        </is>
      </c>
      <c r="B5074" t="inlineStr">
        <is>
          <t>samrådsanmälan</t>
        </is>
      </c>
      <c r="C5074" t="inlineStr">
        <is>
          <t>Askåterföring</t>
        </is>
      </c>
      <c r="D5074" s="1" t="n">
        <v>44959</v>
      </c>
      <c r="E5074" s="1" t="n">
        <v>46312</v>
      </c>
      <c r="F5074" t="inlineStr">
        <is>
          <t>SKÅNE LÄN</t>
        </is>
      </c>
      <c r="G5074" t="inlineStr">
        <is>
          <t>ÖRKELLJUNGA</t>
        </is>
      </c>
      <c r="I5074" t="n">
        <v>14.9</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S 9359-2021</t>
        </is>
      </c>
      <c r="B5075" t="inlineStr">
        <is>
          <t>samrådsanmälan</t>
        </is>
      </c>
      <c r="C5075" t="inlineStr">
        <is>
          <t>Annan skogsbruksåtgärd</t>
        </is>
      </c>
      <c r="D5075" s="1" t="n">
        <v>44519</v>
      </c>
      <c r="E5075" s="1" t="n">
        <v>46312</v>
      </c>
      <c r="F5075" t="inlineStr">
        <is>
          <t>SKÅNE LÄN</t>
        </is>
      </c>
      <c r="G5075" t="inlineStr">
        <is>
          <t>ÄNGELHOLM</t>
        </is>
      </c>
      <c r="I5075" t="n">
        <v>0.5</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S 5219-2022</t>
        </is>
      </c>
      <c r="B5076" t="inlineStr">
        <is>
          <t>samrådsanmälan</t>
        </is>
      </c>
      <c r="C5076" t="inlineStr">
        <is>
          <t>Askåterföring</t>
        </is>
      </c>
      <c r="D5076" s="1" t="n">
        <v>44820</v>
      </c>
      <c r="E5076" s="1" t="n">
        <v>46312</v>
      </c>
      <c r="F5076" t="inlineStr">
        <is>
          <t>SKÅNE LÄN</t>
        </is>
      </c>
      <c r="G5076" t="inlineStr">
        <is>
          <t>ÖRKELLJUNGA</t>
        </is>
      </c>
      <c r="I5076" t="n">
        <v>22.7</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S 798-2024</t>
        </is>
      </c>
      <c r="B5077" t="inlineStr">
        <is>
          <t>samrådsanmälan</t>
        </is>
      </c>
      <c r="C5077" t="inlineStr">
        <is>
          <t>Askåterföring</t>
        </is>
      </c>
      <c r="D5077" s="1" t="n">
        <v>45370</v>
      </c>
      <c r="E5077" s="1" t="n">
        <v>46312</v>
      </c>
      <c r="F5077" t="inlineStr">
        <is>
          <t>SKÅNE LÄN</t>
        </is>
      </c>
      <c r="G5077" t="inlineStr">
        <is>
          <t>OSBY</t>
        </is>
      </c>
      <c r="I5077" t="n">
        <v>14.8</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S 2465-2024</t>
        </is>
      </c>
      <c r="B5078" t="inlineStr">
        <is>
          <t>samrådsanmälan</t>
        </is>
      </c>
      <c r="C5078" t="inlineStr">
        <is>
          <t>Askåterföring</t>
        </is>
      </c>
      <c r="D5078" s="1" t="n">
        <v>45470</v>
      </c>
      <c r="E5078" s="1" t="n">
        <v>46312</v>
      </c>
      <c r="F5078" t="inlineStr">
        <is>
          <t>SKÅNE LÄN</t>
        </is>
      </c>
      <c r="G5078" t="inlineStr">
        <is>
          <t>ÖSTRA GÖINGE</t>
        </is>
      </c>
      <c r="I5078" t="n">
        <v>36.3</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S 3888-2023</t>
        </is>
      </c>
      <c r="B5079" t="inlineStr">
        <is>
          <t>samrådsanmälan</t>
        </is>
      </c>
      <c r="C5079" t="inlineStr">
        <is>
          <t>Askåterföring</t>
        </is>
      </c>
      <c r="D5079" s="1" t="n">
        <v>45230</v>
      </c>
      <c r="E5079" s="1" t="n">
        <v>46312</v>
      </c>
      <c r="F5079" t="inlineStr">
        <is>
          <t>SKÅNE LÄN</t>
        </is>
      </c>
      <c r="G5079" t="inlineStr">
        <is>
          <t>HÖRBY</t>
        </is>
      </c>
      <c r="I5079" t="n">
        <v>13.9</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S 3993-2023</t>
        </is>
      </c>
      <c r="B5080" t="inlineStr">
        <is>
          <t>samrådsanmälan</t>
        </is>
      </c>
      <c r="C5080" t="inlineStr">
        <is>
          <t>Askåterföring</t>
        </is>
      </c>
      <c r="D5080" s="1" t="n">
        <v>45239</v>
      </c>
      <c r="E5080" s="1" t="n">
        <v>46312</v>
      </c>
      <c r="F5080" t="inlineStr">
        <is>
          <t>SKÅNE LÄN</t>
        </is>
      </c>
      <c r="G5080" t="inlineStr">
        <is>
          <t>ÄNGELHOLM</t>
        </is>
      </c>
      <c r="I5080" t="n">
        <v>11.8</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S 3114-2023</t>
        </is>
      </c>
      <c r="B5081" t="inlineStr">
        <is>
          <t>samrådsanmälan</t>
        </is>
      </c>
      <c r="C5081" t="inlineStr">
        <is>
          <t>Askåterföring</t>
        </is>
      </c>
      <c r="D5081" s="1" t="n">
        <v>45182</v>
      </c>
      <c r="E5081" s="1" t="n">
        <v>46312</v>
      </c>
      <c r="F5081" t="inlineStr">
        <is>
          <t>SKÅNE LÄN</t>
        </is>
      </c>
      <c r="G5081" t="inlineStr">
        <is>
          <t>ÖSTRA GÖINGE</t>
        </is>
      </c>
      <c r="I5081" t="n">
        <v>17.1</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S 175-2025</t>
        </is>
      </c>
      <c r="B5082" t="inlineStr">
        <is>
          <t>samrådsanmälan</t>
        </is>
      </c>
      <c r="C5082" t="inlineStr">
        <is>
          <t>Askåterföring</t>
        </is>
      </c>
      <c r="D5082" s="1" t="n">
        <v>45677</v>
      </c>
      <c r="E5082" s="1" t="n">
        <v>46312</v>
      </c>
      <c r="F5082" t="inlineStr">
        <is>
          <t>SKÅNE LÄN</t>
        </is>
      </c>
      <c r="G5082" t="inlineStr">
        <is>
          <t>KRISTIANSTAD</t>
        </is>
      </c>
      <c r="I5082" t="n">
        <v>1.6</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S 375-2024</t>
        </is>
      </c>
      <c r="B5083" t="inlineStr">
        <is>
          <t>samrådsanmälan</t>
        </is>
      </c>
      <c r="C5083" t="inlineStr">
        <is>
          <t>Askåterföring</t>
        </is>
      </c>
      <c r="D5083" s="1" t="n">
        <v>45330</v>
      </c>
      <c r="E5083" s="1" t="n">
        <v>46312</v>
      </c>
      <c r="F5083" t="inlineStr">
        <is>
          <t>SKÅNE LÄN</t>
        </is>
      </c>
      <c r="G5083" t="inlineStr">
        <is>
          <t>HÄSSLEHOLM</t>
        </is>
      </c>
      <c r="I5083" t="n">
        <v>13.1</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S 4495-2024</t>
        </is>
      </c>
      <c r="B5084" t="inlineStr">
        <is>
          <t>samrådsanmälan</t>
        </is>
      </c>
      <c r="C5084" t="inlineStr">
        <is>
          <t>Askåterföring</t>
        </is>
      </c>
      <c r="D5084" s="1" t="n">
        <v>45595</v>
      </c>
      <c r="E5084" s="1" t="n">
        <v>46312</v>
      </c>
      <c r="F5084" t="inlineStr">
        <is>
          <t>SKÅNE LÄN</t>
        </is>
      </c>
      <c r="G5084" t="inlineStr">
        <is>
          <t>HÄSSLEHOLM</t>
        </is>
      </c>
      <c r="I5084" t="n">
        <v>23</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S 4249-2024</t>
        </is>
      </c>
      <c r="B5085" t="inlineStr">
        <is>
          <t>samrådsanmälan</t>
        </is>
      </c>
      <c r="C5085" t="inlineStr">
        <is>
          <t>Askåterföring</t>
        </is>
      </c>
      <c r="D5085" s="1" t="n">
        <v>45582</v>
      </c>
      <c r="E5085" s="1" t="n">
        <v>46312</v>
      </c>
      <c r="F5085" t="inlineStr">
        <is>
          <t>SKÅNE LÄN</t>
        </is>
      </c>
      <c r="G5085" t="inlineStr">
        <is>
          <t>HÄSSLEHOLM</t>
        </is>
      </c>
      <c r="I5085" t="n">
        <v>5.6</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S 3915-2024</t>
        </is>
      </c>
      <c r="B5086" t="inlineStr">
        <is>
          <t>samrådsanmälan</t>
        </is>
      </c>
      <c r="C5086" t="inlineStr">
        <is>
          <t>Annan skogsbruksåtgärd</t>
        </is>
      </c>
      <c r="D5086" s="1" t="n">
        <v>45565</v>
      </c>
      <c r="E5086" s="1" t="n">
        <v>46312</v>
      </c>
      <c r="F5086" t="inlineStr">
        <is>
          <t>SKÅNE LÄN</t>
        </is>
      </c>
      <c r="G5086" t="inlineStr">
        <is>
          <t>PERSTORP</t>
        </is>
      </c>
      <c r="I5086" t="n">
        <v>0.6</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S 2907-2024</t>
        </is>
      </c>
      <c r="B5087" t="inlineStr">
        <is>
          <t>samrådsanmälan</t>
        </is>
      </c>
      <c r="C5087" t="inlineStr">
        <is>
          <t>Askåterföring</t>
        </is>
      </c>
      <c r="D5087" s="1" t="n">
        <v>45503</v>
      </c>
      <c r="E5087" s="1" t="n">
        <v>46312</v>
      </c>
      <c r="F5087" t="inlineStr">
        <is>
          <t>SKÅNE LÄN</t>
        </is>
      </c>
      <c r="G5087" t="inlineStr">
        <is>
          <t>ÖRKELLJUNGA</t>
        </is>
      </c>
      <c r="I5087" t="n">
        <v>72.5</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S 4689-2022</t>
        </is>
      </c>
      <c r="B5088" t="inlineStr">
        <is>
          <t>samrådsanmälan</t>
        </is>
      </c>
      <c r="C5088" t="inlineStr">
        <is>
          <t>Askåterföring</t>
        </is>
      </c>
      <c r="D5088" s="1" t="n">
        <v>44796</v>
      </c>
      <c r="E5088" s="1" t="n">
        <v>46312</v>
      </c>
      <c r="F5088" t="inlineStr">
        <is>
          <t>SKÅNE LÄN</t>
        </is>
      </c>
      <c r="G5088" t="inlineStr">
        <is>
          <t>BROMÖLLA</t>
        </is>
      </c>
      <c r="I5088" t="n">
        <v>34</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S 308-2025</t>
        </is>
      </c>
      <c r="B5089" t="inlineStr">
        <is>
          <t>samrådsanmälan</t>
        </is>
      </c>
      <c r="C5089" t="inlineStr">
        <is>
          <t>Askåterföring</t>
        </is>
      </c>
      <c r="D5089" s="1" t="n">
        <v>45688</v>
      </c>
      <c r="E5089" s="1" t="n">
        <v>46312</v>
      </c>
      <c r="F5089" t="inlineStr">
        <is>
          <t>SKÅNE LÄN</t>
        </is>
      </c>
      <c r="G5089" t="inlineStr">
        <is>
          <t>HÄSSLEHOLM</t>
        </is>
      </c>
      <c r="I5089" t="n">
        <v>1.4</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S 2678-2022</t>
        </is>
      </c>
      <c r="B5090" t="inlineStr">
        <is>
          <t>samrådsanmälan</t>
        </is>
      </c>
      <c r="C5090" t="inlineStr">
        <is>
          <t>Askåterföring</t>
        </is>
      </c>
      <c r="D5090" s="1" t="n">
        <v>44701</v>
      </c>
      <c r="E5090" s="1" t="n">
        <v>46312</v>
      </c>
      <c r="F5090" t="inlineStr">
        <is>
          <t>SKÅNE LÄN</t>
        </is>
      </c>
      <c r="G5090" t="inlineStr">
        <is>
          <t>KLIPPAN</t>
        </is>
      </c>
      <c r="I5090" t="n">
        <v>15</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S 524-2024</t>
        </is>
      </c>
      <c r="B5091" t="inlineStr">
        <is>
          <t>samrådsanmälan</t>
        </is>
      </c>
      <c r="C5091" t="inlineStr">
        <is>
          <t>Askåterföring</t>
        </is>
      </c>
      <c r="D5091" s="1" t="n">
        <v>45348</v>
      </c>
      <c r="E5091" s="1" t="n">
        <v>46312</v>
      </c>
      <c r="F5091" t="inlineStr">
        <is>
          <t>SKÅNE LÄN</t>
        </is>
      </c>
      <c r="G5091" t="inlineStr">
        <is>
          <t>PERSTORP</t>
        </is>
      </c>
      <c r="I5091" t="n">
        <v>7</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S 1105-2023</t>
        </is>
      </c>
      <c r="B5092" t="inlineStr">
        <is>
          <t>samrådsanmälan</t>
        </is>
      </c>
      <c r="C5092" t="inlineStr">
        <is>
          <t>Askåterföring</t>
        </is>
      </c>
      <c r="D5092" s="1" t="n">
        <v>45014</v>
      </c>
      <c r="E5092" s="1" t="n">
        <v>46312</v>
      </c>
      <c r="F5092" t="inlineStr">
        <is>
          <t>SKÅNE LÄN</t>
        </is>
      </c>
      <c r="G5092" t="inlineStr">
        <is>
          <t>HÄSSLEHOLM</t>
        </is>
      </c>
      <c r="I5092" t="n">
        <v>0.6</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S 2417-2023</t>
        </is>
      </c>
      <c r="B5093" t="inlineStr">
        <is>
          <t>samrådsanmälan</t>
        </is>
      </c>
      <c r="C5093" t="inlineStr">
        <is>
          <t>Askåterföring</t>
        </is>
      </c>
      <c r="D5093" s="1" t="n">
        <v>45124</v>
      </c>
      <c r="E5093" s="1" t="n">
        <v>46312</v>
      </c>
      <c r="F5093" t="inlineStr">
        <is>
          <t>SKÅNE LÄN</t>
        </is>
      </c>
      <c r="G5093" t="inlineStr">
        <is>
          <t>HÄSSLEHOLM</t>
        </is>
      </c>
      <c r="I5093" t="n">
        <v>3.4</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S 5974-2022</t>
        </is>
      </c>
      <c r="B5094" t="inlineStr">
        <is>
          <t>samrådsanmälan</t>
        </is>
      </c>
      <c r="C5094" t="inlineStr">
        <is>
          <t>Askåterföring</t>
        </is>
      </c>
      <c r="D5094" s="1" t="n">
        <v>44858</v>
      </c>
      <c r="E5094" s="1" t="n">
        <v>46312</v>
      </c>
      <c r="F5094" t="inlineStr">
        <is>
          <t>SKÅNE LÄN</t>
        </is>
      </c>
      <c r="G5094" t="inlineStr">
        <is>
          <t>PERSTORP</t>
        </is>
      </c>
      <c r="I5094" t="n">
        <v>15.8</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S 3954-2024</t>
        </is>
      </c>
      <c r="B5095" t="inlineStr">
        <is>
          <t>samrådsanmälan</t>
        </is>
      </c>
      <c r="C5095" t="inlineStr">
        <is>
          <t>Askåterföring</t>
        </is>
      </c>
      <c r="D5095" s="1" t="n">
        <v>45567</v>
      </c>
      <c r="E5095" s="1" t="n">
        <v>46312</v>
      </c>
      <c r="F5095" t="inlineStr">
        <is>
          <t>SKÅNE LÄN</t>
        </is>
      </c>
      <c r="G5095" t="inlineStr">
        <is>
          <t>HÄSSLEHOLM</t>
        </is>
      </c>
      <c r="I5095" t="n">
        <v>38.6</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S 4386-2022</t>
        </is>
      </c>
      <c r="B5096" t="inlineStr">
        <is>
          <t>samrådsanmälan</t>
        </is>
      </c>
      <c r="C5096" t="inlineStr">
        <is>
          <t>Askåterföring</t>
        </is>
      </c>
      <c r="D5096" s="1" t="n">
        <v>44783</v>
      </c>
      <c r="E5096" s="1" t="n">
        <v>46312</v>
      </c>
      <c r="F5096" t="inlineStr">
        <is>
          <t>SKÅNE LÄN</t>
        </is>
      </c>
      <c r="G5096" t="inlineStr">
        <is>
          <t>BÅSTAD</t>
        </is>
      </c>
      <c r="I5096" t="n">
        <v>21.9</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S 4732-2024</t>
        </is>
      </c>
      <c r="B5097" t="inlineStr">
        <is>
          <t>samrådsanmälan</t>
        </is>
      </c>
      <c r="C5097" t="inlineStr">
        <is>
          <t>Askåterföring</t>
        </is>
      </c>
      <c r="D5097" s="1" t="n">
        <v>45608</v>
      </c>
      <c r="E5097" s="1" t="n">
        <v>46312</v>
      </c>
      <c r="F5097" t="inlineStr">
        <is>
          <t>SKÅNE LÄN</t>
        </is>
      </c>
      <c r="G5097" t="inlineStr">
        <is>
          <t>PERSTORP</t>
        </is>
      </c>
      <c r="I5097" t="n">
        <v>1.9</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S 1864-2024</t>
        </is>
      </c>
      <c r="B5098" t="inlineStr">
        <is>
          <t>samrådsanmälan</t>
        </is>
      </c>
      <c r="C5098" t="inlineStr">
        <is>
          <t>Askåterföring</t>
        </is>
      </c>
      <c r="D5098" s="1" t="n">
        <v>45440</v>
      </c>
      <c r="E5098" s="1" t="n">
        <v>46312</v>
      </c>
      <c r="F5098" t="inlineStr">
        <is>
          <t>SKÅNE LÄN</t>
        </is>
      </c>
      <c r="G5098" t="inlineStr">
        <is>
          <t>BROMÖLLA</t>
        </is>
      </c>
      <c r="I5098" t="n">
        <v>5</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S 180-2025</t>
        </is>
      </c>
      <c r="B5099" t="inlineStr">
        <is>
          <t>samrådsanmälan</t>
        </is>
      </c>
      <c r="C5099" t="inlineStr">
        <is>
          <t>Askåterföring</t>
        </is>
      </c>
      <c r="D5099" s="1" t="n">
        <v>45677</v>
      </c>
      <c r="E5099" s="1" t="n">
        <v>46312</v>
      </c>
      <c r="F5099" t="inlineStr">
        <is>
          <t>SKÅNE LÄN</t>
        </is>
      </c>
      <c r="G5099" t="inlineStr">
        <is>
          <t>BROMÖLLA</t>
        </is>
      </c>
      <c r="I5099" t="n">
        <v>11.6</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S 1716-2024</t>
        </is>
      </c>
      <c r="B5100" t="inlineStr">
        <is>
          <t>samrådsanmälan</t>
        </is>
      </c>
      <c r="C5100" t="inlineStr">
        <is>
          <t>Askåterföring</t>
        </is>
      </c>
      <c r="D5100" s="1" t="n">
        <v>45434</v>
      </c>
      <c r="E5100" s="1" t="n">
        <v>46312</v>
      </c>
      <c r="F5100" t="inlineStr">
        <is>
          <t>SKÅNE LÄN</t>
        </is>
      </c>
      <c r="G5100" t="inlineStr">
        <is>
          <t>KLIPPAN</t>
        </is>
      </c>
      <c r="H5100" t="inlineStr">
        <is>
          <t>Övriga Aktiebolag</t>
        </is>
      </c>
      <c r="I5100" t="n">
        <v>29.5</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S 1259-2022</t>
        </is>
      </c>
      <c r="B5101" t="inlineStr">
        <is>
          <t>samrådsanmälan</t>
        </is>
      </c>
      <c r="C5101" t="inlineStr">
        <is>
          <t>Skogsbilväg</t>
        </is>
      </c>
      <c r="D5101" s="1" t="n">
        <v>44627</v>
      </c>
      <c r="E5101" s="1" t="n">
        <v>46312</v>
      </c>
      <c r="F5101" t="inlineStr">
        <is>
          <t>SKÅNE LÄN</t>
        </is>
      </c>
      <c r="G5101" t="inlineStr">
        <is>
          <t>ÖRKELLJUNGA</t>
        </is>
      </c>
      <c r="I5101" t="n">
        <v>0.7</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S 4069-2022</t>
        </is>
      </c>
      <c r="B5102" t="inlineStr">
        <is>
          <t>samrådsanmälan</t>
        </is>
      </c>
      <c r="C5102" t="inlineStr">
        <is>
          <t>Askåterföring</t>
        </is>
      </c>
      <c r="D5102" s="1" t="n">
        <v>44757</v>
      </c>
      <c r="E5102" s="1" t="n">
        <v>46312</v>
      </c>
      <c r="F5102" t="inlineStr">
        <is>
          <t>SKÅNE LÄN</t>
        </is>
      </c>
      <c r="G5102" t="inlineStr">
        <is>
          <t>ÖRKELLJUNGA</t>
        </is>
      </c>
      <c r="I5102" t="n">
        <v>24.7</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S 1070-2022</t>
        </is>
      </c>
      <c r="B5103" t="inlineStr">
        <is>
          <t>samrådsanmälan</t>
        </is>
      </c>
      <c r="C5103" t="inlineStr">
        <is>
          <t>Askåterföring</t>
        </is>
      </c>
      <c r="D5103" s="1" t="n">
        <v>44613</v>
      </c>
      <c r="E5103" s="1" t="n">
        <v>46312</v>
      </c>
      <c r="F5103" t="inlineStr">
        <is>
          <t>SKÅNE LÄN</t>
        </is>
      </c>
      <c r="G5103" t="inlineStr">
        <is>
          <t>ÖRKELLJUNGA</t>
        </is>
      </c>
      <c r="I5103" t="n">
        <v>46</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S 847-2024</t>
        </is>
      </c>
      <c r="B5104" t="inlineStr">
        <is>
          <t>samrådsanmälan</t>
        </is>
      </c>
      <c r="C5104" t="inlineStr">
        <is>
          <t>Askåterföring</t>
        </is>
      </c>
      <c r="D5104" s="1" t="n">
        <v>45373</v>
      </c>
      <c r="E5104" s="1" t="n">
        <v>46312</v>
      </c>
      <c r="F5104" t="inlineStr">
        <is>
          <t>SKÅNE LÄN</t>
        </is>
      </c>
      <c r="G5104" t="inlineStr">
        <is>
          <t>OSBY</t>
        </is>
      </c>
      <c r="I5104" t="n">
        <v>11.9</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S 4974-2024</t>
        </is>
      </c>
      <c r="B5105" t="inlineStr">
        <is>
          <t>samrådsanmälan</t>
        </is>
      </c>
      <c r="C5105" t="inlineStr">
        <is>
          <t>Annan skogsbruksåtgärd</t>
        </is>
      </c>
      <c r="D5105" s="1" t="n">
        <v>45629</v>
      </c>
      <c r="E5105" s="1" t="n">
        <v>46312</v>
      </c>
      <c r="F5105" t="inlineStr">
        <is>
          <t>SKÅNE LÄN</t>
        </is>
      </c>
      <c r="G5105" t="inlineStr">
        <is>
          <t>HÄSSLEHOLM</t>
        </is>
      </c>
      <c r="I5105" t="n">
        <v>0</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S 8937-2021</t>
        </is>
      </c>
      <c r="B5106" t="inlineStr">
        <is>
          <t>samrådsanmälan</t>
        </is>
      </c>
      <c r="C5106" t="inlineStr">
        <is>
          <t>Askåterföring</t>
        </is>
      </c>
      <c r="D5106" s="1" t="n">
        <v>44509</v>
      </c>
      <c r="E5106" s="1" t="n">
        <v>46312</v>
      </c>
      <c r="F5106" t="inlineStr">
        <is>
          <t>SKÅNE LÄN</t>
        </is>
      </c>
      <c r="G5106" t="inlineStr">
        <is>
          <t>HÖÖR</t>
        </is>
      </c>
      <c r="I5106" t="n">
        <v>35.9</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S 2862-2023</t>
        </is>
      </c>
      <c r="B5107" t="inlineStr">
        <is>
          <t>samrådsanmälan</t>
        </is>
      </c>
      <c r="C5107" t="inlineStr">
        <is>
          <t>Askåterföring</t>
        </is>
      </c>
      <c r="D5107" s="1" t="n">
        <v>45168</v>
      </c>
      <c r="E5107" s="1" t="n">
        <v>46312</v>
      </c>
      <c r="F5107" t="inlineStr">
        <is>
          <t>SKÅNE LÄN</t>
        </is>
      </c>
      <c r="G5107" t="inlineStr">
        <is>
          <t>ÄNGELHOLM</t>
        </is>
      </c>
      <c r="I5107" t="n">
        <v>13.7</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S 1704-2024</t>
        </is>
      </c>
      <c r="B5108" t="inlineStr">
        <is>
          <t>samrådsanmälan</t>
        </is>
      </c>
      <c r="C5108" t="inlineStr">
        <is>
          <t>Askåterföring</t>
        </is>
      </c>
      <c r="D5108" s="1" t="n">
        <v>45434</v>
      </c>
      <c r="E5108" s="1" t="n">
        <v>46312</v>
      </c>
      <c r="F5108" t="inlineStr">
        <is>
          <t>SKÅNE LÄN</t>
        </is>
      </c>
      <c r="G5108" t="inlineStr">
        <is>
          <t>PERSTORP</t>
        </is>
      </c>
      <c r="H5108" t="inlineStr">
        <is>
          <t>Övriga Aktiebolag</t>
        </is>
      </c>
      <c r="I5108" t="n">
        <v>9.800000000000001</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S 823-2023</t>
        </is>
      </c>
      <c r="B5109" t="inlineStr">
        <is>
          <t>samrådsanmälan</t>
        </is>
      </c>
      <c r="C5109" t="inlineStr">
        <is>
          <t>Askåterföring</t>
        </is>
      </c>
      <c r="D5109" s="1" t="n">
        <v>44988</v>
      </c>
      <c r="E5109" s="1" t="n">
        <v>46312</v>
      </c>
      <c r="F5109" t="inlineStr">
        <is>
          <t>SKÅNE LÄN</t>
        </is>
      </c>
      <c r="G5109" t="inlineStr">
        <is>
          <t>PERSTORP</t>
        </is>
      </c>
      <c r="I5109" t="n">
        <v>7</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S 110-2023</t>
        </is>
      </c>
      <c r="B5110" t="inlineStr">
        <is>
          <t>samrådsanmälan</t>
        </is>
      </c>
      <c r="C5110" t="inlineStr">
        <is>
          <t>Askåterföring</t>
        </is>
      </c>
      <c r="D5110" s="1" t="n">
        <v>44936</v>
      </c>
      <c r="E5110" s="1" t="n">
        <v>46312</v>
      </c>
      <c r="F5110" t="inlineStr">
        <is>
          <t>SKÅNE LÄN</t>
        </is>
      </c>
      <c r="G5110" t="inlineStr">
        <is>
          <t>KLIPPAN</t>
        </is>
      </c>
      <c r="I5110" t="n">
        <v>26.9</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S 2602-2022</t>
        </is>
      </c>
      <c r="B5111" t="inlineStr">
        <is>
          <t>samrådsanmälan</t>
        </is>
      </c>
      <c r="C5111" t="inlineStr">
        <is>
          <t>Askåterföring</t>
        </is>
      </c>
      <c r="D5111" s="1" t="n">
        <v>44698</v>
      </c>
      <c r="E5111" s="1" t="n">
        <v>46312</v>
      </c>
      <c r="F5111" t="inlineStr">
        <is>
          <t>SKÅNE LÄN</t>
        </is>
      </c>
      <c r="G5111" t="inlineStr">
        <is>
          <t>ÖSTRA GÖINGE</t>
        </is>
      </c>
      <c r="I5111" t="n">
        <v>18</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S 4247-2024</t>
        </is>
      </c>
      <c r="B5112" t="inlineStr">
        <is>
          <t>samrådsanmälan</t>
        </is>
      </c>
      <c r="C5112" t="inlineStr">
        <is>
          <t>Askåterföring</t>
        </is>
      </c>
      <c r="D5112" s="1" t="n">
        <v>45582</v>
      </c>
      <c r="E5112" s="1" t="n">
        <v>46312</v>
      </c>
      <c r="F5112" t="inlineStr">
        <is>
          <t>SKÅNE LÄN</t>
        </is>
      </c>
      <c r="G5112" t="inlineStr">
        <is>
          <t>HÄSSLEHOLM</t>
        </is>
      </c>
      <c r="I5112" t="n">
        <v>11.4</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S 4768-2022</t>
        </is>
      </c>
      <c r="B5113" t="inlineStr">
        <is>
          <t>samrådsanmälan</t>
        </is>
      </c>
      <c r="C5113" t="inlineStr">
        <is>
          <t>Askåterföring</t>
        </is>
      </c>
      <c r="D5113" s="1" t="n">
        <v>44802</v>
      </c>
      <c r="E5113" s="1" t="n">
        <v>46312</v>
      </c>
      <c r="F5113" t="inlineStr">
        <is>
          <t>SKÅNE LÄN</t>
        </is>
      </c>
      <c r="G5113" t="inlineStr">
        <is>
          <t>OSBY</t>
        </is>
      </c>
      <c r="I5113" t="n">
        <v>15</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S 1702-2024</t>
        </is>
      </c>
      <c r="B5114" t="inlineStr">
        <is>
          <t>samrådsanmälan</t>
        </is>
      </c>
      <c r="C5114" t="inlineStr">
        <is>
          <t>Askåterföring</t>
        </is>
      </c>
      <c r="D5114" s="1" t="n">
        <v>45434</v>
      </c>
      <c r="E5114" s="1" t="n">
        <v>46312</v>
      </c>
      <c r="F5114" t="inlineStr">
        <is>
          <t>SKÅNE LÄN</t>
        </is>
      </c>
      <c r="G5114" t="inlineStr">
        <is>
          <t>HÄSSLEHOLM</t>
        </is>
      </c>
      <c r="H5114" t="inlineStr">
        <is>
          <t>Övriga Aktiebolag</t>
        </is>
      </c>
      <c r="I5114" t="n">
        <v>13.4</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S 5662-2022</t>
        </is>
      </c>
      <c r="B5115" t="inlineStr">
        <is>
          <t>samrådsanmälan</t>
        </is>
      </c>
      <c r="C5115" t="inlineStr">
        <is>
          <t>Askåterföring</t>
        </is>
      </c>
      <c r="D5115" s="1" t="n">
        <v>44841</v>
      </c>
      <c r="E5115" s="1" t="n">
        <v>46312</v>
      </c>
      <c r="F5115" t="inlineStr">
        <is>
          <t>SKÅNE LÄN</t>
        </is>
      </c>
      <c r="G5115" t="inlineStr">
        <is>
          <t>ÖSTRA GÖINGE</t>
        </is>
      </c>
      <c r="I5115" t="n">
        <v>10.3</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S 3693-2023</t>
        </is>
      </c>
      <c r="B5116" t="inlineStr">
        <is>
          <t>samrådsanmälan</t>
        </is>
      </c>
      <c r="C5116" t="inlineStr">
        <is>
          <t>Askåterföring</t>
        </is>
      </c>
      <c r="D5116" s="1" t="n">
        <v>45218</v>
      </c>
      <c r="E5116" s="1" t="n">
        <v>46312</v>
      </c>
      <c r="F5116" t="inlineStr">
        <is>
          <t>SKÅNE LÄN</t>
        </is>
      </c>
      <c r="G5116" t="inlineStr">
        <is>
          <t>HÖÖR</t>
        </is>
      </c>
      <c r="I5116" t="n">
        <v>35.7</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S 1439-2022</t>
        </is>
      </c>
      <c r="B5117" t="inlineStr">
        <is>
          <t>samrådsanmälan</t>
        </is>
      </c>
      <c r="C5117" t="inlineStr">
        <is>
          <t>Skogsbilväg</t>
        </is>
      </c>
      <c r="D5117" s="1" t="n">
        <v>44635</v>
      </c>
      <c r="E5117" s="1" t="n">
        <v>46312</v>
      </c>
      <c r="F5117" t="inlineStr">
        <is>
          <t>SKÅNE LÄN</t>
        </is>
      </c>
      <c r="G5117" t="inlineStr">
        <is>
          <t>OSBY</t>
        </is>
      </c>
      <c r="I5117" t="n">
        <v>0.6</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S 1-2024</t>
        </is>
      </c>
      <c r="B5118" t="inlineStr">
        <is>
          <t>samrådsanmälan</t>
        </is>
      </c>
      <c r="C5118" t="inlineStr">
        <is>
          <t>Askåterföring</t>
        </is>
      </c>
      <c r="D5118" s="1" t="n">
        <v>45289</v>
      </c>
      <c r="E5118" s="1" t="n">
        <v>46312</v>
      </c>
      <c r="F5118" t="inlineStr">
        <is>
          <t>SKÅNE LÄN</t>
        </is>
      </c>
      <c r="G5118" t="inlineStr">
        <is>
          <t>HÄSSLEHOLM</t>
        </is>
      </c>
      <c r="I5118" t="n">
        <v>32.3</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S 3566-2023</t>
        </is>
      </c>
      <c r="B5119" t="inlineStr">
        <is>
          <t>samrådsanmälan</t>
        </is>
      </c>
      <c r="C5119" t="inlineStr">
        <is>
          <t>Askåterföring</t>
        </is>
      </c>
      <c r="D5119" s="1" t="n">
        <v>45202</v>
      </c>
      <c r="E5119" s="1" t="n">
        <v>46312</v>
      </c>
      <c r="F5119" t="inlineStr">
        <is>
          <t>SKÅNE LÄN</t>
        </is>
      </c>
      <c r="G5119" t="inlineStr">
        <is>
          <t>ÖSTRA GÖINGE</t>
        </is>
      </c>
      <c r="I5119" t="n">
        <v>24.5</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S 1711-2024</t>
        </is>
      </c>
      <c r="B5120" t="inlineStr">
        <is>
          <t>samrådsanmälan</t>
        </is>
      </c>
      <c r="C5120" t="inlineStr">
        <is>
          <t>Askåterföring</t>
        </is>
      </c>
      <c r="D5120" s="1" t="n">
        <v>45434</v>
      </c>
      <c r="E5120" s="1" t="n">
        <v>46312</v>
      </c>
      <c r="F5120" t="inlineStr">
        <is>
          <t>SKÅNE LÄN</t>
        </is>
      </c>
      <c r="G5120" t="inlineStr">
        <is>
          <t>HÄSSLEHOLM</t>
        </is>
      </c>
      <c r="H5120" t="inlineStr">
        <is>
          <t>Övriga Aktiebolag</t>
        </is>
      </c>
      <c r="I5120" t="n">
        <v>16.6</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S 5137-2024</t>
        </is>
      </c>
      <c r="B5121" t="inlineStr">
        <is>
          <t>samrådsanmälan</t>
        </is>
      </c>
      <c r="C5121" t="inlineStr">
        <is>
          <t>Askåterföring</t>
        </is>
      </c>
      <c r="D5121" s="1" t="n">
        <v>45645</v>
      </c>
      <c r="E5121" s="1" t="n">
        <v>46312</v>
      </c>
      <c r="F5121" t="inlineStr">
        <is>
          <t>SKÅNE LÄN</t>
        </is>
      </c>
      <c r="G5121" t="inlineStr">
        <is>
          <t>ÖSTRA GÖINGE</t>
        </is>
      </c>
      <c r="I5121" t="n">
        <v>48.8</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S 5013-2024</t>
        </is>
      </c>
      <c r="B5122" t="inlineStr">
        <is>
          <t>samrådsanmälan</t>
        </is>
      </c>
      <c r="C5122" t="inlineStr">
        <is>
          <t>Askåterföring</t>
        </is>
      </c>
      <c r="D5122" s="1" t="n">
        <v>45632</v>
      </c>
      <c r="E5122" s="1" t="n">
        <v>46312</v>
      </c>
      <c r="F5122" t="inlineStr">
        <is>
          <t>SKÅNE LÄN</t>
        </is>
      </c>
      <c r="G5122" t="inlineStr">
        <is>
          <t>HÄSSLEHOLM</t>
        </is>
      </c>
      <c r="I5122" t="n">
        <v>10.5</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S 2143-2022</t>
        </is>
      </c>
      <c r="B5123" t="inlineStr">
        <is>
          <t>samrådsanmälan</t>
        </is>
      </c>
      <c r="C5123" t="inlineStr">
        <is>
          <t>Askåterföring</t>
        </is>
      </c>
      <c r="D5123" s="1" t="n">
        <v>44676</v>
      </c>
      <c r="E5123" s="1" t="n">
        <v>46312</v>
      </c>
      <c r="F5123" t="inlineStr">
        <is>
          <t>SKÅNE LÄN</t>
        </is>
      </c>
      <c r="G5123" t="inlineStr">
        <is>
          <t>ÖSTRA GÖINGE</t>
        </is>
      </c>
      <c r="I5123" t="n">
        <v>9.699999999999999</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S 221-2025</t>
        </is>
      </c>
      <c r="B5124" t="inlineStr">
        <is>
          <t>samrådsanmälan</t>
        </is>
      </c>
      <c r="C5124" t="inlineStr">
        <is>
          <t>Askåterföring</t>
        </is>
      </c>
      <c r="D5124" s="1" t="n">
        <v>45680</v>
      </c>
      <c r="E5124" s="1" t="n">
        <v>46312</v>
      </c>
      <c r="F5124" t="inlineStr">
        <is>
          <t>SKÅNE LÄN</t>
        </is>
      </c>
      <c r="G5124" t="inlineStr">
        <is>
          <t>HÖÖR</t>
        </is>
      </c>
      <c r="I5124" t="n">
        <v>13.8</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S 976-2023</t>
        </is>
      </c>
      <c r="B5125" t="inlineStr">
        <is>
          <t>samrådsanmälan</t>
        </is>
      </c>
      <c r="C5125" t="inlineStr">
        <is>
          <t>Askåterföring</t>
        </is>
      </c>
      <c r="D5125" s="1" t="n">
        <v>45005</v>
      </c>
      <c r="E5125" s="1" t="n">
        <v>46312</v>
      </c>
      <c r="F5125" t="inlineStr">
        <is>
          <t>SKÅNE LÄN</t>
        </is>
      </c>
      <c r="G5125" t="inlineStr">
        <is>
          <t>OSBY</t>
        </is>
      </c>
      <c r="I5125" t="n">
        <v>42.6</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S 9665-2021</t>
        </is>
      </c>
      <c r="B5126" t="inlineStr">
        <is>
          <t>samrådsanmälan</t>
        </is>
      </c>
      <c r="C5126" t="inlineStr">
        <is>
          <t>Askåterföring</t>
        </is>
      </c>
      <c r="D5126" s="1" t="n">
        <v>44526</v>
      </c>
      <c r="E5126" s="1" t="n">
        <v>46312</v>
      </c>
      <c r="F5126" t="inlineStr">
        <is>
          <t>SKÅNE LÄN</t>
        </is>
      </c>
      <c r="G5126" t="inlineStr">
        <is>
          <t>HÄSSLEHOLM</t>
        </is>
      </c>
      <c r="I5126" t="n">
        <v>11.8</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S 4252-2024</t>
        </is>
      </c>
      <c r="B5127" t="inlineStr">
        <is>
          <t>samrådsanmälan</t>
        </is>
      </c>
      <c r="C5127" t="inlineStr">
        <is>
          <t>Askåterföring</t>
        </is>
      </c>
      <c r="D5127" s="1" t="n">
        <v>45582</v>
      </c>
      <c r="E5127" s="1" t="n">
        <v>46312</v>
      </c>
      <c r="F5127" t="inlineStr">
        <is>
          <t>SKÅNE LÄN</t>
        </is>
      </c>
      <c r="G5127" t="inlineStr">
        <is>
          <t>PERSTORP</t>
        </is>
      </c>
      <c r="I5127" t="n">
        <v>13.8</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S 3083-2022</t>
        </is>
      </c>
      <c r="B5128" t="inlineStr">
        <is>
          <t>samrådsanmälan</t>
        </is>
      </c>
      <c r="C5128" t="inlineStr">
        <is>
          <t>Åtgärd i nyckelbiotop</t>
        </is>
      </c>
      <c r="D5128" s="1" t="n">
        <v>44719</v>
      </c>
      <c r="E5128" s="1" t="n">
        <v>46312</v>
      </c>
      <c r="F5128" t="inlineStr">
        <is>
          <t>SKÅNE LÄN</t>
        </is>
      </c>
      <c r="G5128" t="inlineStr">
        <is>
          <t>OSBY</t>
        </is>
      </c>
      <c r="I5128" t="n">
        <v>0.8</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S 129-2023</t>
        </is>
      </c>
      <c r="B5129" t="inlineStr">
        <is>
          <t>samrådsanmälan</t>
        </is>
      </c>
      <c r="C5129" t="inlineStr">
        <is>
          <t>Askåterföring</t>
        </is>
      </c>
      <c r="D5129" s="1" t="n">
        <v>44938</v>
      </c>
      <c r="E5129" s="1" t="n">
        <v>46312</v>
      </c>
      <c r="F5129" t="inlineStr">
        <is>
          <t>SKÅNE LÄN</t>
        </is>
      </c>
      <c r="G5129" t="inlineStr">
        <is>
          <t>OSBY</t>
        </is>
      </c>
      <c r="I5129" t="n">
        <v>29.6</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S 5015-2024</t>
        </is>
      </c>
      <c r="B5130" t="inlineStr">
        <is>
          <t>samrådsanmälan</t>
        </is>
      </c>
      <c r="C5130" t="inlineStr">
        <is>
          <t>Askåterföring</t>
        </is>
      </c>
      <c r="D5130" s="1" t="n">
        <v>45632</v>
      </c>
      <c r="E5130" s="1" t="n">
        <v>46312</v>
      </c>
      <c r="F5130" t="inlineStr">
        <is>
          <t>SKÅNE LÄN</t>
        </is>
      </c>
      <c r="G5130" t="inlineStr">
        <is>
          <t>HÄSSLEHOLM</t>
        </is>
      </c>
      <c r="I5130" t="n">
        <v>7.1</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S 444-2022</t>
        </is>
      </c>
      <c r="B5131" t="inlineStr">
        <is>
          <t>samrådsanmälan</t>
        </is>
      </c>
      <c r="C5131" t="inlineStr">
        <is>
          <t>Åtgärd i nyckelbiotop</t>
        </is>
      </c>
      <c r="D5131" s="1" t="n">
        <v>44586</v>
      </c>
      <c r="E5131" s="1" t="n">
        <v>46312</v>
      </c>
      <c r="F5131" t="inlineStr">
        <is>
          <t>SKÅNE LÄN</t>
        </is>
      </c>
      <c r="G5131" t="inlineStr">
        <is>
          <t>ÖSTRA GÖINGE</t>
        </is>
      </c>
      <c r="I5131" t="n">
        <v>2.3</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S 353-2023</t>
        </is>
      </c>
      <c r="B5132" t="inlineStr">
        <is>
          <t>samrådsanmälan</t>
        </is>
      </c>
      <c r="C5132" t="inlineStr">
        <is>
          <t>Askåterföring</t>
        </is>
      </c>
      <c r="D5132" s="1" t="n">
        <v>44956</v>
      </c>
      <c r="E5132" s="1" t="n">
        <v>46312</v>
      </c>
      <c r="F5132" t="inlineStr">
        <is>
          <t>SKÅNE LÄN</t>
        </is>
      </c>
      <c r="G5132" t="inlineStr">
        <is>
          <t>HÄSSLEHOLM</t>
        </is>
      </c>
      <c r="I5132" t="n">
        <v>3.2</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S 205-2024</t>
        </is>
      </c>
      <c r="B5133" t="inlineStr">
        <is>
          <t>samrådsanmälan</t>
        </is>
      </c>
      <c r="C5133" t="inlineStr">
        <is>
          <t>Askåterföring</t>
        </is>
      </c>
      <c r="D5133" s="1" t="n">
        <v>45315</v>
      </c>
      <c r="E5133" s="1" t="n">
        <v>46312</v>
      </c>
      <c r="F5133" t="inlineStr">
        <is>
          <t>SKÅNE LÄN</t>
        </is>
      </c>
      <c r="G5133" t="inlineStr">
        <is>
          <t>BROMÖLLA</t>
        </is>
      </c>
      <c r="I5133" t="n">
        <v>4</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S 4784-2024</t>
        </is>
      </c>
      <c r="B5134" t="inlineStr">
        <is>
          <t>samrådsanmälan</t>
        </is>
      </c>
      <c r="C5134" t="inlineStr">
        <is>
          <t>Askåterföring</t>
        </is>
      </c>
      <c r="D5134" s="1" t="n">
        <v>45611</v>
      </c>
      <c r="E5134" s="1" t="n">
        <v>46312</v>
      </c>
      <c r="F5134" t="inlineStr">
        <is>
          <t>SKÅNE LÄN</t>
        </is>
      </c>
      <c r="G5134" t="inlineStr">
        <is>
          <t>HÄSSLEHOLM</t>
        </is>
      </c>
      <c r="I5134" t="n">
        <v>20.8</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S 2756-2024</t>
        </is>
      </c>
      <c r="B5135" t="inlineStr">
        <is>
          <t>samrådsanmälan</t>
        </is>
      </c>
      <c r="C5135" t="inlineStr">
        <is>
          <t>Dikesrensning</t>
        </is>
      </c>
      <c r="D5135" s="1" t="n">
        <v>45484</v>
      </c>
      <c r="E5135" s="1" t="n">
        <v>46312</v>
      </c>
      <c r="F5135" t="inlineStr">
        <is>
          <t>SKÅNE LÄN</t>
        </is>
      </c>
      <c r="G5135" t="inlineStr">
        <is>
          <t>ÖRKELLJUNGA</t>
        </is>
      </c>
      <c r="I5135" t="n">
        <v>2.9</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S 2344-2023</t>
        </is>
      </c>
      <c r="B5136" t="inlineStr">
        <is>
          <t>samrådsanmälan</t>
        </is>
      </c>
      <c r="C5136" t="inlineStr">
        <is>
          <t>Askåterföring</t>
        </is>
      </c>
      <c r="D5136" s="1" t="n">
        <v>45106</v>
      </c>
      <c r="E5136" s="1" t="n">
        <v>46312</v>
      </c>
      <c r="F5136" t="inlineStr">
        <is>
          <t>SKÅNE LÄN</t>
        </is>
      </c>
      <c r="G5136" t="inlineStr">
        <is>
          <t>BROMÖLLA</t>
        </is>
      </c>
      <c r="I5136" t="n">
        <v>29.9</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S 3792-2024</t>
        </is>
      </c>
      <c r="B5137" t="inlineStr">
        <is>
          <t>samrådsanmälan</t>
        </is>
      </c>
      <c r="C5137" t="inlineStr">
        <is>
          <t>Annan skogsbruksåtgärd</t>
        </is>
      </c>
      <c r="D5137" s="1" t="n">
        <v>45558</v>
      </c>
      <c r="E5137" s="1" t="n">
        <v>46312</v>
      </c>
      <c r="F5137" t="inlineStr">
        <is>
          <t>SKÅNE LÄN</t>
        </is>
      </c>
      <c r="G5137" t="inlineStr">
        <is>
          <t>KLIPPAN</t>
        </is>
      </c>
      <c r="H5137" t="inlineStr">
        <is>
          <t>Sveaskog</t>
        </is>
      </c>
      <c r="I5137" t="n">
        <v>0.8</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S 111-2023</t>
        </is>
      </c>
      <c r="B5138" t="inlineStr">
        <is>
          <t>samrådsanmälan</t>
        </is>
      </c>
      <c r="C5138" t="inlineStr">
        <is>
          <t>Askåterföring</t>
        </is>
      </c>
      <c r="D5138" s="1" t="n">
        <v>44936</v>
      </c>
      <c r="E5138" s="1" t="n">
        <v>46312</v>
      </c>
      <c r="F5138" t="inlineStr">
        <is>
          <t>SKÅNE LÄN</t>
        </is>
      </c>
      <c r="G5138" t="inlineStr">
        <is>
          <t>PERSTORP</t>
        </is>
      </c>
      <c r="I5138" t="n">
        <v>40.1</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S 4721-2024</t>
        </is>
      </c>
      <c r="B5139" t="inlineStr">
        <is>
          <t>samrådsanmälan</t>
        </is>
      </c>
      <c r="C5139" t="inlineStr">
        <is>
          <t>Askåterföring</t>
        </is>
      </c>
      <c r="D5139" s="1" t="n">
        <v>45607</v>
      </c>
      <c r="E5139" s="1" t="n">
        <v>46312</v>
      </c>
      <c r="F5139" t="inlineStr">
        <is>
          <t>SKÅNE LÄN</t>
        </is>
      </c>
      <c r="G5139" t="inlineStr">
        <is>
          <t>PERSTORP</t>
        </is>
      </c>
      <c r="I5139" t="n">
        <v>4</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S 3280-2023</t>
        </is>
      </c>
      <c r="B5140" t="inlineStr">
        <is>
          <t>samrådsanmälan</t>
        </is>
      </c>
      <c r="C5140" t="inlineStr">
        <is>
          <t>Askåterföring</t>
        </is>
      </c>
      <c r="D5140" s="1" t="n">
        <v>45194</v>
      </c>
      <c r="E5140" s="1" t="n">
        <v>46312</v>
      </c>
      <c r="F5140" t="inlineStr">
        <is>
          <t>SKÅNE LÄN</t>
        </is>
      </c>
      <c r="G5140" t="inlineStr">
        <is>
          <t>OSBY</t>
        </is>
      </c>
      <c r="I5140" t="n">
        <v>14.8</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S 2906-2024</t>
        </is>
      </c>
      <c r="B5141" t="inlineStr">
        <is>
          <t>samrådsanmälan</t>
        </is>
      </c>
      <c r="C5141" t="inlineStr">
        <is>
          <t>Askåterföring</t>
        </is>
      </c>
      <c r="D5141" s="1" t="n">
        <v>45503</v>
      </c>
      <c r="E5141" s="1" t="n">
        <v>46312</v>
      </c>
      <c r="F5141" t="inlineStr">
        <is>
          <t>SKÅNE LÄN</t>
        </is>
      </c>
      <c r="G5141" t="inlineStr">
        <is>
          <t>KRISTIANSTAD</t>
        </is>
      </c>
      <c r="I5141" t="n">
        <v>16.5</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S 29-2025</t>
        </is>
      </c>
      <c r="B5142" t="inlineStr">
        <is>
          <t>samrådsanmälan</t>
        </is>
      </c>
      <c r="C5142" t="inlineStr">
        <is>
          <t>Askåterföring</t>
        </is>
      </c>
      <c r="D5142" s="1" t="n">
        <v>45659</v>
      </c>
      <c r="E5142" s="1" t="n">
        <v>46312</v>
      </c>
      <c r="F5142" t="inlineStr">
        <is>
          <t>SKÅNE LÄN</t>
        </is>
      </c>
      <c r="G5142" t="inlineStr">
        <is>
          <t>KRISTIANSTAD</t>
        </is>
      </c>
      <c r="I5142" t="n">
        <v>8.800000000000001</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S 1706-2024</t>
        </is>
      </c>
      <c r="B5143" t="inlineStr">
        <is>
          <t>samrådsanmälan</t>
        </is>
      </c>
      <c r="C5143" t="inlineStr">
        <is>
          <t>Askåterföring</t>
        </is>
      </c>
      <c r="D5143" s="1" t="n">
        <v>45434</v>
      </c>
      <c r="E5143" s="1" t="n">
        <v>46312</v>
      </c>
      <c r="F5143" t="inlineStr">
        <is>
          <t>SKÅNE LÄN</t>
        </is>
      </c>
      <c r="G5143" t="inlineStr">
        <is>
          <t>HÄSSLEHOLM</t>
        </is>
      </c>
      <c r="H5143" t="inlineStr">
        <is>
          <t>Övriga Aktiebolag</t>
        </is>
      </c>
      <c r="I5143" t="n">
        <v>15.9</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S 4499-2024</t>
        </is>
      </c>
      <c r="B5144" t="inlineStr">
        <is>
          <t>samrådsanmälan</t>
        </is>
      </c>
      <c r="C5144" t="inlineStr">
        <is>
          <t>Askåterföring</t>
        </is>
      </c>
      <c r="D5144" s="1" t="n">
        <v>45595</v>
      </c>
      <c r="E5144" s="1" t="n">
        <v>46312</v>
      </c>
      <c r="F5144" t="inlineStr">
        <is>
          <t>SKÅNE LÄN</t>
        </is>
      </c>
      <c r="G5144" t="inlineStr">
        <is>
          <t>HÄSSLEHOLM</t>
        </is>
      </c>
      <c r="I5144" t="n">
        <v>14.3</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S 856-2023</t>
        </is>
      </c>
      <c r="B5145" t="inlineStr">
        <is>
          <t>samrådsanmälan</t>
        </is>
      </c>
      <c r="C5145" t="inlineStr">
        <is>
          <t>Askåterföring</t>
        </is>
      </c>
      <c r="D5145" s="1" t="n">
        <v>44993</v>
      </c>
      <c r="E5145" s="1" t="n">
        <v>46312</v>
      </c>
      <c r="F5145" t="inlineStr">
        <is>
          <t>SKÅNE LÄN</t>
        </is>
      </c>
      <c r="G5145" t="inlineStr">
        <is>
          <t>ÖRKELLJUNGA</t>
        </is>
      </c>
      <c r="I5145" t="n">
        <v>20.8</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S 4403-2022</t>
        </is>
      </c>
      <c r="B5146" t="inlineStr">
        <is>
          <t>samrådsanmälan</t>
        </is>
      </c>
      <c r="C5146" t="inlineStr">
        <is>
          <t>Annan skogsbruksåtgärd</t>
        </is>
      </c>
      <c r="D5146" s="1" t="n">
        <v>44784</v>
      </c>
      <c r="E5146" s="1" t="n">
        <v>46312</v>
      </c>
      <c r="F5146" t="inlineStr">
        <is>
          <t>SKÅNE LÄN</t>
        </is>
      </c>
      <c r="G5146" t="inlineStr">
        <is>
          <t>KRISTIANSTAD</t>
        </is>
      </c>
      <c r="I5146" t="n">
        <v>2.6</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S 109-2023</t>
        </is>
      </c>
      <c r="B5147" t="inlineStr">
        <is>
          <t>samrådsanmälan</t>
        </is>
      </c>
      <c r="C5147" t="inlineStr">
        <is>
          <t>Askåterföring</t>
        </is>
      </c>
      <c r="D5147" s="1" t="n">
        <v>44936</v>
      </c>
      <c r="E5147" s="1" t="n">
        <v>46312</v>
      </c>
      <c r="F5147" t="inlineStr">
        <is>
          <t>SKÅNE LÄN</t>
        </is>
      </c>
      <c r="G5147" t="inlineStr">
        <is>
          <t>PERSTORP</t>
        </is>
      </c>
      <c r="I5147" t="n">
        <v>55.2</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S 1701-2024</t>
        </is>
      </c>
      <c r="B5148" t="inlineStr">
        <is>
          <t>samrådsanmälan</t>
        </is>
      </c>
      <c r="C5148" t="inlineStr">
        <is>
          <t>Askåterföring</t>
        </is>
      </c>
      <c r="D5148" s="1" t="n">
        <v>45434</v>
      </c>
      <c r="E5148" s="1" t="n">
        <v>46312</v>
      </c>
      <c r="F5148" t="inlineStr">
        <is>
          <t>SKÅNE LÄN</t>
        </is>
      </c>
      <c r="G5148" t="inlineStr">
        <is>
          <t>HÄSSLEHOLM</t>
        </is>
      </c>
      <c r="H5148" t="inlineStr">
        <is>
          <t>Övriga Aktiebolag</t>
        </is>
      </c>
      <c r="I5148" t="n">
        <v>6.5</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S 6022-2022</t>
        </is>
      </c>
      <c r="B5149" t="inlineStr">
        <is>
          <t>samrådsanmälan</t>
        </is>
      </c>
      <c r="C5149" t="inlineStr">
        <is>
          <t>Askåterföring</t>
        </is>
      </c>
      <c r="D5149" s="1" t="n">
        <v>44861</v>
      </c>
      <c r="E5149" s="1" t="n">
        <v>46312</v>
      </c>
      <c r="F5149" t="inlineStr">
        <is>
          <t>SKÅNE LÄN</t>
        </is>
      </c>
      <c r="G5149" t="inlineStr">
        <is>
          <t>ÄNGELHOLM</t>
        </is>
      </c>
      <c r="I5149" t="n">
        <v>21.4</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S 2345-2023</t>
        </is>
      </c>
      <c r="B5150" t="inlineStr">
        <is>
          <t>samrådsanmälan</t>
        </is>
      </c>
      <c r="C5150" t="inlineStr">
        <is>
          <t>Askåterföring</t>
        </is>
      </c>
      <c r="D5150" s="1" t="n">
        <v>45106</v>
      </c>
      <c r="E5150" s="1" t="n">
        <v>46312</v>
      </c>
      <c r="F5150" t="inlineStr">
        <is>
          <t>SKÅNE LÄN</t>
        </is>
      </c>
      <c r="G5150" t="inlineStr">
        <is>
          <t>BROMÖLLA</t>
        </is>
      </c>
      <c r="I5150" t="n">
        <v>31.6</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S 5665-2022</t>
        </is>
      </c>
      <c r="B5151" t="inlineStr">
        <is>
          <t>samrådsanmälan</t>
        </is>
      </c>
      <c r="C5151" t="inlineStr">
        <is>
          <t>Skogsbilväg</t>
        </is>
      </c>
      <c r="D5151" s="1" t="n">
        <v>44841</v>
      </c>
      <c r="E5151" s="1" t="n">
        <v>46312</v>
      </c>
      <c r="F5151" t="inlineStr">
        <is>
          <t>SKÅNE LÄN</t>
        </is>
      </c>
      <c r="G5151" t="inlineStr">
        <is>
          <t>KRISTIANSTAD</t>
        </is>
      </c>
      <c r="I5151" t="n">
        <v>1.4</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S 3104-2023</t>
        </is>
      </c>
      <c r="B5152" t="inlineStr">
        <is>
          <t>samrådsanmälan</t>
        </is>
      </c>
      <c r="C5152" t="inlineStr">
        <is>
          <t>Askåterföring</t>
        </is>
      </c>
      <c r="D5152" s="1" t="n">
        <v>45182</v>
      </c>
      <c r="E5152" s="1" t="n">
        <v>46312</v>
      </c>
      <c r="F5152" t="inlineStr">
        <is>
          <t>SKÅNE LÄN</t>
        </is>
      </c>
      <c r="G5152" t="inlineStr">
        <is>
          <t>HÄSSLEHOLM</t>
        </is>
      </c>
      <c r="I5152" t="n">
        <v>12.4</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S 2690-2022</t>
        </is>
      </c>
      <c r="B5153" t="inlineStr">
        <is>
          <t>samrådsanmälan</t>
        </is>
      </c>
      <c r="C5153" t="inlineStr">
        <is>
          <t>Askåterföring</t>
        </is>
      </c>
      <c r="D5153" s="1" t="n">
        <v>44701</v>
      </c>
      <c r="E5153" s="1" t="n">
        <v>46312</v>
      </c>
      <c r="F5153" t="inlineStr">
        <is>
          <t>SKÅNE LÄN</t>
        </is>
      </c>
      <c r="G5153" t="inlineStr">
        <is>
          <t>KLIPPAN</t>
        </is>
      </c>
      <c r="I5153" t="n">
        <v>16.3</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S 3468-2024</t>
        </is>
      </c>
      <c r="B5154" t="inlineStr">
        <is>
          <t>samrådsanmälan</t>
        </is>
      </c>
      <c r="C5154" t="inlineStr">
        <is>
          <t>Askåterföring</t>
        </is>
      </c>
      <c r="D5154" s="1" t="n">
        <v>45539</v>
      </c>
      <c r="E5154" s="1" t="n">
        <v>46312</v>
      </c>
      <c r="F5154" t="inlineStr">
        <is>
          <t>SKÅNE LÄN</t>
        </is>
      </c>
      <c r="G5154" t="inlineStr">
        <is>
          <t>HÖÖR</t>
        </is>
      </c>
      <c r="I5154" t="n">
        <v>10.2</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S 5531-2022</t>
        </is>
      </c>
      <c r="B5155" t="inlineStr">
        <is>
          <t>samrådsanmälan</t>
        </is>
      </c>
      <c r="C5155" t="inlineStr">
        <is>
          <t>Askåterföring</t>
        </is>
      </c>
      <c r="D5155" s="1" t="n">
        <v>44837</v>
      </c>
      <c r="E5155" s="1" t="n">
        <v>46312</v>
      </c>
      <c r="F5155" t="inlineStr">
        <is>
          <t>SKÅNE LÄN</t>
        </is>
      </c>
      <c r="G5155" t="inlineStr">
        <is>
          <t>BROMÖLLA</t>
        </is>
      </c>
      <c r="I5155" t="n">
        <v>5.3</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S 1076-2023</t>
        </is>
      </c>
      <c r="B5156" t="inlineStr">
        <is>
          <t>samrådsanmälan</t>
        </is>
      </c>
      <c r="C5156" t="inlineStr">
        <is>
          <t>Annan skogsbruksåtgärd</t>
        </is>
      </c>
      <c r="D5156" s="1" t="n">
        <v>45012</v>
      </c>
      <c r="E5156" s="1" t="n">
        <v>46312</v>
      </c>
      <c r="F5156" t="inlineStr">
        <is>
          <t>SKÅNE LÄN</t>
        </is>
      </c>
      <c r="G5156" t="inlineStr">
        <is>
          <t>KRISTIANSTAD</t>
        </is>
      </c>
      <c r="I5156" t="n">
        <v>0.8</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S 4254-2024</t>
        </is>
      </c>
      <c r="B5157" t="inlineStr">
        <is>
          <t>samrådsanmälan</t>
        </is>
      </c>
      <c r="C5157" t="inlineStr">
        <is>
          <t>Askåterföring</t>
        </is>
      </c>
      <c r="D5157" s="1" t="n">
        <v>45582</v>
      </c>
      <c r="E5157" s="1" t="n">
        <v>46312</v>
      </c>
      <c r="F5157" t="inlineStr">
        <is>
          <t>SKÅNE LÄN</t>
        </is>
      </c>
      <c r="G5157" t="inlineStr">
        <is>
          <t>ÄNGELHOLM</t>
        </is>
      </c>
      <c r="I5157" t="n">
        <v>9.699999999999999</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S 2146-2022</t>
        </is>
      </c>
      <c r="B5158" t="inlineStr">
        <is>
          <t>samrådsanmälan</t>
        </is>
      </c>
      <c r="C5158" t="inlineStr">
        <is>
          <t>Skogsbilväg</t>
        </is>
      </c>
      <c r="D5158" s="1" t="n">
        <v>44676</v>
      </c>
      <c r="E5158" s="1" t="n">
        <v>46312</v>
      </c>
      <c r="F5158" t="inlineStr">
        <is>
          <t>SKÅNE LÄN</t>
        </is>
      </c>
      <c r="G5158" t="inlineStr">
        <is>
          <t>KRISTIANSTAD</t>
        </is>
      </c>
      <c r="I5158" t="n">
        <v>0.2</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S 1426-2022</t>
        </is>
      </c>
      <c r="B5159" t="inlineStr">
        <is>
          <t>samrådsanmälan</t>
        </is>
      </c>
      <c r="C5159" t="inlineStr">
        <is>
          <t>Askåterföring</t>
        </is>
      </c>
      <c r="D5159" s="1" t="n">
        <v>44634</v>
      </c>
      <c r="E5159" s="1" t="n">
        <v>46312</v>
      </c>
      <c r="F5159" t="inlineStr">
        <is>
          <t>SKÅNE LÄN</t>
        </is>
      </c>
      <c r="G5159" t="inlineStr">
        <is>
          <t>HÄSSLEHOLM</t>
        </is>
      </c>
      <c r="I5159" t="n">
        <v>43.2</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S 3108-2023</t>
        </is>
      </c>
      <c r="B5160" t="inlineStr">
        <is>
          <t>samrådsanmälan</t>
        </is>
      </c>
      <c r="C5160" t="inlineStr">
        <is>
          <t>Askåterföring</t>
        </is>
      </c>
      <c r="D5160" s="1" t="n">
        <v>45182</v>
      </c>
      <c r="E5160" s="1" t="n">
        <v>46312</v>
      </c>
      <c r="F5160" t="inlineStr">
        <is>
          <t>SKÅNE LÄN</t>
        </is>
      </c>
      <c r="G5160" t="inlineStr">
        <is>
          <t>HÄSSLEHOLM</t>
        </is>
      </c>
      <c r="I5160" t="n">
        <v>14.1</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S 5026-2024</t>
        </is>
      </c>
      <c r="B5161" t="inlineStr">
        <is>
          <t>samrådsanmälan</t>
        </is>
      </c>
      <c r="C5161" t="inlineStr">
        <is>
          <t>Annan skogsbruksåtgärd</t>
        </is>
      </c>
      <c r="D5161" s="1" t="n">
        <v>45635</v>
      </c>
      <c r="E5161" s="1" t="n">
        <v>46312</v>
      </c>
      <c r="F5161" t="inlineStr">
        <is>
          <t>SKÅNE LÄN</t>
        </is>
      </c>
      <c r="G5161" t="inlineStr">
        <is>
          <t>ÖSTRA GÖINGE</t>
        </is>
      </c>
      <c r="I5161" t="n">
        <v>0.2</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S 2548-2023</t>
        </is>
      </c>
      <c r="B5162" t="inlineStr">
        <is>
          <t>samrådsanmälan</t>
        </is>
      </c>
      <c r="C5162" t="inlineStr">
        <is>
          <t>Askåterföring</t>
        </is>
      </c>
      <c r="D5162" s="1" t="n">
        <v>45134</v>
      </c>
      <c r="E5162" s="1" t="n">
        <v>46312</v>
      </c>
      <c r="F5162" t="inlineStr">
        <is>
          <t>SKÅNE LÄN</t>
        </is>
      </c>
      <c r="G5162" t="inlineStr">
        <is>
          <t>HÄSSLEHOLM</t>
        </is>
      </c>
      <c r="I5162" t="n">
        <v>22.7</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S 1123-2024</t>
        </is>
      </c>
      <c r="B5163" t="inlineStr">
        <is>
          <t>samrådsanmälan</t>
        </is>
      </c>
      <c r="C5163" t="inlineStr">
        <is>
          <t>Askåterföring</t>
        </is>
      </c>
      <c r="D5163" s="1" t="n">
        <v>45393</v>
      </c>
      <c r="E5163" s="1" t="n">
        <v>46312</v>
      </c>
      <c r="F5163" t="inlineStr">
        <is>
          <t>SKÅNE LÄN</t>
        </is>
      </c>
      <c r="G5163" t="inlineStr">
        <is>
          <t>PERSTORP</t>
        </is>
      </c>
      <c r="I5163" t="n">
        <v>13.1</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S 938-2023</t>
        </is>
      </c>
      <c r="B5164" t="inlineStr">
        <is>
          <t>samrådsanmälan</t>
        </is>
      </c>
      <c r="C5164" t="inlineStr">
        <is>
          <t>Askåterföring</t>
        </is>
      </c>
      <c r="D5164" s="1" t="n">
        <v>45002</v>
      </c>
      <c r="E5164" s="1" t="n">
        <v>46312</v>
      </c>
      <c r="F5164" t="inlineStr">
        <is>
          <t>SKÅNE LÄN</t>
        </is>
      </c>
      <c r="G5164" t="inlineStr">
        <is>
          <t>PERSTORP</t>
        </is>
      </c>
      <c r="I5164" t="n">
        <v>12.7</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S 4864-2022</t>
        </is>
      </c>
      <c r="B5165" t="inlineStr">
        <is>
          <t>samrådsanmälan</t>
        </is>
      </c>
      <c r="C5165" t="inlineStr">
        <is>
          <t>Askåterföring</t>
        </is>
      </c>
      <c r="D5165" s="1" t="n">
        <v>44805</v>
      </c>
      <c r="E5165" s="1" t="n">
        <v>46312</v>
      </c>
      <c r="F5165" t="inlineStr">
        <is>
          <t>SKÅNE LÄN</t>
        </is>
      </c>
      <c r="G5165" t="inlineStr">
        <is>
          <t>OSBY</t>
        </is>
      </c>
      <c r="I5165" t="n">
        <v>22.1</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S 5543-2022</t>
        </is>
      </c>
      <c r="B5166" t="inlineStr">
        <is>
          <t>samrådsanmälan</t>
        </is>
      </c>
      <c r="C5166" t="inlineStr">
        <is>
          <t>Askåterföring</t>
        </is>
      </c>
      <c r="D5166" s="1" t="n">
        <v>44837</v>
      </c>
      <c r="E5166" s="1" t="n">
        <v>46312</v>
      </c>
      <c r="F5166" t="inlineStr">
        <is>
          <t>SKÅNE LÄN</t>
        </is>
      </c>
      <c r="G5166" t="inlineStr">
        <is>
          <t>HÄSSLEHOLM</t>
        </is>
      </c>
      <c r="I5166" t="n">
        <v>21.7</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S 8051-2021</t>
        </is>
      </c>
      <c r="B5167" t="inlineStr">
        <is>
          <t>samrådsanmälan</t>
        </is>
      </c>
      <c r="C5167" t="inlineStr">
        <is>
          <t>Askåterföring</t>
        </is>
      </c>
      <c r="D5167" s="1" t="n">
        <v>44489</v>
      </c>
      <c r="E5167" s="1" t="n">
        <v>46312</v>
      </c>
      <c r="F5167" t="inlineStr">
        <is>
          <t>SKÅNE LÄN</t>
        </is>
      </c>
      <c r="G5167" t="inlineStr">
        <is>
          <t>HÄSSLEHOLM</t>
        </is>
      </c>
      <c r="I5167" t="n">
        <v>33.7</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S 307-2023</t>
        </is>
      </c>
      <c r="B5168" t="inlineStr">
        <is>
          <t>samrådsanmälan</t>
        </is>
      </c>
      <c r="C5168" t="inlineStr">
        <is>
          <t>Askåterföring</t>
        </is>
      </c>
      <c r="D5168" s="1" t="n">
        <v>44956</v>
      </c>
      <c r="E5168" s="1" t="n">
        <v>46312</v>
      </c>
      <c r="F5168" t="inlineStr">
        <is>
          <t>SKÅNE LÄN</t>
        </is>
      </c>
      <c r="G5168" t="inlineStr">
        <is>
          <t>KRISTIANSTAD</t>
        </is>
      </c>
      <c r="I5168" t="n">
        <v>11.9</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S 2225-2023</t>
        </is>
      </c>
      <c r="B5169" t="inlineStr">
        <is>
          <t>samrådsanmälan</t>
        </is>
      </c>
      <c r="C5169" t="inlineStr">
        <is>
          <t>Annan skogsbruksåtgärd</t>
        </is>
      </c>
      <c r="D5169" s="1" t="n">
        <v>45109</v>
      </c>
      <c r="E5169" s="1" t="n">
        <v>46312</v>
      </c>
      <c r="F5169" t="inlineStr">
        <is>
          <t>SKÅNE LÄN</t>
        </is>
      </c>
      <c r="G5169" t="inlineStr">
        <is>
          <t>KLIPPAN</t>
        </is>
      </c>
      <c r="I5169" t="n">
        <v>15.2</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S 2350-2023</t>
        </is>
      </c>
      <c r="B5170" t="inlineStr">
        <is>
          <t>samrådsanmälan</t>
        </is>
      </c>
      <c r="C5170" t="inlineStr">
        <is>
          <t>Askåterföring</t>
        </is>
      </c>
      <c r="D5170" s="1" t="n">
        <v>45106</v>
      </c>
      <c r="E5170" s="1" t="n">
        <v>46312</v>
      </c>
      <c r="F5170" t="inlineStr">
        <is>
          <t>SKÅNE LÄN</t>
        </is>
      </c>
      <c r="G5170" t="inlineStr">
        <is>
          <t>BROMÖLLA</t>
        </is>
      </c>
      <c r="I5170" t="n">
        <v>22.7</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S 5892-2022</t>
        </is>
      </c>
      <c r="B5171" t="inlineStr">
        <is>
          <t>samrådsanmälan</t>
        </is>
      </c>
      <c r="C5171" t="inlineStr">
        <is>
          <t>Askåterföring</t>
        </is>
      </c>
      <c r="D5171" s="1" t="n">
        <v>44853</v>
      </c>
      <c r="E5171" s="1" t="n">
        <v>46312</v>
      </c>
      <c r="F5171" t="inlineStr">
        <is>
          <t>SKÅNE LÄN</t>
        </is>
      </c>
      <c r="G5171" t="inlineStr">
        <is>
          <t>KLIPPAN</t>
        </is>
      </c>
      <c r="I5171" t="n">
        <v>24.6</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S 5986-2022</t>
        </is>
      </c>
      <c r="B5172" t="inlineStr">
        <is>
          <t>samrådsanmälan</t>
        </is>
      </c>
      <c r="C5172" t="inlineStr">
        <is>
          <t>Askåterföring</t>
        </is>
      </c>
      <c r="D5172" s="1" t="n">
        <v>44859</v>
      </c>
      <c r="E5172" s="1" t="n">
        <v>46312</v>
      </c>
      <c r="F5172" t="inlineStr">
        <is>
          <t>SKÅNE LÄN</t>
        </is>
      </c>
      <c r="G5172" t="inlineStr">
        <is>
          <t>KLIPPAN</t>
        </is>
      </c>
      <c r="I5172" t="n">
        <v>19.6</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S 3886-2023</t>
        </is>
      </c>
      <c r="B5173" t="inlineStr">
        <is>
          <t>samrådsanmälan</t>
        </is>
      </c>
      <c r="C5173" t="inlineStr">
        <is>
          <t>Askåterföring</t>
        </is>
      </c>
      <c r="D5173" s="1" t="n">
        <v>45230</v>
      </c>
      <c r="E5173" s="1" t="n">
        <v>46312</v>
      </c>
      <c r="F5173" t="inlineStr">
        <is>
          <t>SKÅNE LÄN</t>
        </is>
      </c>
      <c r="G5173" t="inlineStr">
        <is>
          <t>BROMÖLLA</t>
        </is>
      </c>
      <c r="I5173" t="n">
        <v>4.9</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S 2441-2023</t>
        </is>
      </c>
      <c r="B5174" t="inlineStr">
        <is>
          <t>samrådsanmälan</t>
        </is>
      </c>
      <c r="C5174" t="inlineStr">
        <is>
          <t>Askåterföring</t>
        </is>
      </c>
      <c r="D5174" s="1" t="n">
        <v>45114</v>
      </c>
      <c r="E5174" s="1" t="n">
        <v>46312</v>
      </c>
      <c r="F5174" t="inlineStr">
        <is>
          <t>SKÅNE LÄN</t>
        </is>
      </c>
      <c r="G5174" t="inlineStr">
        <is>
          <t>HÖÖR</t>
        </is>
      </c>
      <c r="I5174" t="n">
        <v>12</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S 4803-2024</t>
        </is>
      </c>
      <c r="B5175" t="inlineStr">
        <is>
          <t>samrådsanmälan</t>
        </is>
      </c>
      <c r="C5175" t="inlineStr">
        <is>
          <t>Askåterföring</t>
        </is>
      </c>
      <c r="D5175" s="1" t="n">
        <v>45614</v>
      </c>
      <c r="E5175" s="1" t="n">
        <v>46312</v>
      </c>
      <c r="F5175" t="inlineStr">
        <is>
          <t>SKÅNE LÄN</t>
        </is>
      </c>
      <c r="G5175" t="inlineStr">
        <is>
          <t>HÄSSLEHOLM</t>
        </is>
      </c>
      <c r="I5175" t="n">
        <v>27</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S 9900-2021</t>
        </is>
      </c>
      <c r="B5176" t="inlineStr">
        <is>
          <t>samrådsanmälan</t>
        </is>
      </c>
      <c r="C5176" t="inlineStr">
        <is>
          <t>Askåterföring</t>
        </is>
      </c>
      <c r="D5176" s="1" t="n">
        <v>44533</v>
      </c>
      <c r="E5176" s="1" t="n">
        <v>46312</v>
      </c>
      <c r="F5176" t="inlineStr">
        <is>
          <t>SKÅNE LÄN</t>
        </is>
      </c>
      <c r="G5176" t="inlineStr">
        <is>
          <t>SJÖBO</t>
        </is>
      </c>
      <c r="I5176" t="n">
        <v>28.1</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S 3115-2023</t>
        </is>
      </c>
      <c r="B5177" t="inlineStr">
        <is>
          <t>samrådsanmälan</t>
        </is>
      </c>
      <c r="C5177" t="inlineStr">
        <is>
          <t>Askåterföring</t>
        </is>
      </c>
      <c r="D5177" s="1" t="n">
        <v>45182</v>
      </c>
      <c r="E5177" s="1" t="n">
        <v>46312</v>
      </c>
      <c r="F5177" t="inlineStr">
        <is>
          <t>SKÅNE LÄN</t>
        </is>
      </c>
      <c r="G5177" t="inlineStr">
        <is>
          <t>HÄSSLEHOLM</t>
        </is>
      </c>
      <c r="I5177" t="n">
        <v>19.2</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S 3109-2023</t>
        </is>
      </c>
      <c r="B5178" t="inlineStr">
        <is>
          <t>samrådsanmälan</t>
        </is>
      </c>
      <c r="C5178" t="inlineStr">
        <is>
          <t>Askåterföring</t>
        </is>
      </c>
      <c r="D5178" s="1" t="n">
        <v>45182</v>
      </c>
      <c r="E5178" s="1" t="n">
        <v>46312</v>
      </c>
      <c r="F5178" t="inlineStr">
        <is>
          <t>SKÅNE LÄN</t>
        </is>
      </c>
      <c r="G5178" t="inlineStr">
        <is>
          <t>HÄSSLEHOLM</t>
        </is>
      </c>
      <c r="I5178" t="n">
        <v>1.2</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S 3730-2022</t>
        </is>
      </c>
      <c r="B5179" t="inlineStr">
        <is>
          <t>samrådsanmälan</t>
        </is>
      </c>
      <c r="C5179" t="inlineStr">
        <is>
          <t>Skogsbilväg</t>
        </is>
      </c>
      <c r="D5179" s="1" t="n">
        <v>44742</v>
      </c>
      <c r="E5179" s="1" t="n">
        <v>46312</v>
      </c>
      <c r="F5179" t="inlineStr">
        <is>
          <t>SKÅNE LÄN</t>
        </is>
      </c>
      <c r="G5179" t="inlineStr">
        <is>
          <t>ÖSTRA GÖINGE</t>
        </is>
      </c>
      <c r="I5179" t="n">
        <v>1.1</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S 3620-2023</t>
        </is>
      </c>
      <c r="B5180" t="inlineStr">
        <is>
          <t>samrådsanmälan</t>
        </is>
      </c>
      <c r="C5180" t="inlineStr">
        <is>
          <t>Askåterföring</t>
        </is>
      </c>
      <c r="D5180" s="1" t="n">
        <v>45215</v>
      </c>
      <c r="E5180" s="1" t="n">
        <v>46312</v>
      </c>
      <c r="F5180" t="inlineStr">
        <is>
          <t>SKÅNE LÄN</t>
        </is>
      </c>
      <c r="G5180" t="inlineStr">
        <is>
          <t>HÄSSLEHOLM</t>
        </is>
      </c>
      <c r="I5180" t="n">
        <v>14.3</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S 6862-2022</t>
        </is>
      </c>
      <c r="B5181" t="inlineStr">
        <is>
          <t>samrådsanmälan</t>
        </is>
      </c>
      <c r="C5181" t="inlineStr">
        <is>
          <t>Askåterföring</t>
        </is>
      </c>
      <c r="D5181" s="1" t="n">
        <v>44896</v>
      </c>
      <c r="E5181" s="1" t="n">
        <v>46312</v>
      </c>
      <c r="F5181" t="inlineStr">
        <is>
          <t>SKÅNE LÄN</t>
        </is>
      </c>
      <c r="G5181" t="inlineStr">
        <is>
          <t>OSBY</t>
        </is>
      </c>
      <c r="I5181" t="n">
        <v>4.6</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S 4186-2024</t>
        </is>
      </c>
      <c r="B5182" t="inlineStr">
        <is>
          <t>samrådsanmälan</t>
        </is>
      </c>
      <c r="C5182" t="inlineStr">
        <is>
          <t>Askåterföring</t>
        </is>
      </c>
      <c r="D5182" s="1" t="n">
        <v>45579</v>
      </c>
      <c r="E5182" s="1" t="n">
        <v>46312</v>
      </c>
      <c r="F5182" t="inlineStr">
        <is>
          <t>SKÅNE LÄN</t>
        </is>
      </c>
      <c r="G5182" t="inlineStr">
        <is>
          <t>KLIPPAN</t>
        </is>
      </c>
      <c r="I5182" t="n">
        <v>6.2</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S 3794-2024</t>
        </is>
      </c>
      <c r="B5183" t="inlineStr">
        <is>
          <t>samrådsanmälan</t>
        </is>
      </c>
      <c r="C5183" t="inlineStr">
        <is>
          <t>Annan skogsbruksåtgärd</t>
        </is>
      </c>
      <c r="D5183" s="1" t="n">
        <v>45558</v>
      </c>
      <c r="E5183" s="1" t="n">
        <v>46312</v>
      </c>
      <c r="F5183" t="inlineStr">
        <is>
          <t>SKÅNE LÄN</t>
        </is>
      </c>
      <c r="G5183" t="inlineStr">
        <is>
          <t>HÖÖR</t>
        </is>
      </c>
      <c r="H5183" t="inlineStr">
        <is>
          <t>Sveaskog</t>
        </is>
      </c>
      <c r="I5183" t="n">
        <v>3.2</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S 1209-2022</t>
        </is>
      </c>
      <c r="B5184" t="inlineStr">
        <is>
          <t>samrådsanmälan</t>
        </is>
      </c>
      <c r="C5184" t="inlineStr">
        <is>
          <t>Askåterföring</t>
        </is>
      </c>
      <c r="D5184" s="1" t="n">
        <v>44622</v>
      </c>
      <c r="E5184" s="1" t="n">
        <v>46312</v>
      </c>
      <c r="F5184" t="inlineStr">
        <is>
          <t>SKÅNE LÄN</t>
        </is>
      </c>
      <c r="G5184" t="inlineStr">
        <is>
          <t>OSBY</t>
        </is>
      </c>
      <c r="I5184" t="n">
        <v>18.1</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S 3806-2024</t>
        </is>
      </c>
      <c r="B5185" t="inlineStr">
        <is>
          <t>samrådsanmälan</t>
        </is>
      </c>
      <c r="C5185" t="inlineStr">
        <is>
          <t>Annan skogsbruksåtgärd</t>
        </is>
      </c>
      <c r="D5185" s="1" t="n">
        <v>45558</v>
      </c>
      <c r="E5185" s="1" t="n">
        <v>46312</v>
      </c>
      <c r="F5185" t="inlineStr">
        <is>
          <t>SKÅNE LÄN</t>
        </is>
      </c>
      <c r="G5185" t="inlineStr">
        <is>
          <t>KLIPPAN</t>
        </is>
      </c>
      <c r="H5185" t="inlineStr">
        <is>
          <t>Sveaskog</t>
        </is>
      </c>
      <c r="I5185" t="n">
        <v>0.1</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S 4691-2022</t>
        </is>
      </c>
      <c r="B5186" t="inlineStr">
        <is>
          <t>samrådsanmälan</t>
        </is>
      </c>
      <c r="C5186" t="inlineStr">
        <is>
          <t>Askåterföring</t>
        </is>
      </c>
      <c r="D5186" s="1" t="n">
        <v>44796</v>
      </c>
      <c r="E5186" s="1" t="n">
        <v>46312</v>
      </c>
      <c r="F5186" t="inlineStr">
        <is>
          <t>SKÅNE LÄN</t>
        </is>
      </c>
      <c r="G5186" t="inlineStr">
        <is>
          <t>HÖRBY</t>
        </is>
      </c>
      <c r="I5186" t="n">
        <v>39</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S 3354-2024</t>
        </is>
      </c>
      <c r="B5187" t="inlineStr">
        <is>
          <t>samrådsanmälan</t>
        </is>
      </c>
      <c r="C5187" t="inlineStr">
        <is>
          <t>Annan skogsbruksåtgärd</t>
        </is>
      </c>
      <c r="D5187" s="1" t="n">
        <v>45531</v>
      </c>
      <c r="E5187" s="1" t="n">
        <v>46312</v>
      </c>
      <c r="F5187" t="inlineStr">
        <is>
          <t>SKÅNE LÄN</t>
        </is>
      </c>
      <c r="G5187" t="inlineStr">
        <is>
          <t>HÄSSLEHOLM</t>
        </is>
      </c>
      <c r="I5187" t="n">
        <v>0.1</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S 2633-2023</t>
        </is>
      </c>
      <c r="B5188" t="inlineStr">
        <is>
          <t>samrådsanmälan</t>
        </is>
      </c>
      <c r="C5188" t="inlineStr">
        <is>
          <t>Askåterföring</t>
        </is>
      </c>
      <c r="D5188" s="1" t="n">
        <v>45148</v>
      </c>
      <c r="E5188" s="1" t="n">
        <v>46312</v>
      </c>
      <c r="F5188" t="inlineStr">
        <is>
          <t>SKÅNE LÄN</t>
        </is>
      </c>
      <c r="G5188" t="inlineStr">
        <is>
          <t>ÖRKELLJUNGA</t>
        </is>
      </c>
      <c r="I5188" t="n">
        <v>9</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S 3484-2023</t>
        </is>
      </c>
      <c r="B5189" t="inlineStr">
        <is>
          <t>samrådsanmälan</t>
        </is>
      </c>
      <c r="C5189" t="inlineStr">
        <is>
          <t>Askåterföring</t>
        </is>
      </c>
      <c r="D5189" s="1" t="n">
        <v>45205</v>
      </c>
      <c r="E5189" s="1" t="n">
        <v>46312</v>
      </c>
      <c r="F5189" t="inlineStr">
        <is>
          <t>SKÅNE LÄN</t>
        </is>
      </c>
      <c r="G5189" t="inlineStr">
        <is>
          <t>ÖSTRA GÖINGE</t>
        </is>
      </c>
      <c r="I5189" t="n">
        <v>15.7</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S 1061-2022</t>
        </is>
      </c>
      <c r="B5190" t="inlineStr">
        <is>
          <t>samrådsanmälan</t>
        </is>
      </c>
      <c r="C5190" t="inlineStr">
        <is>
          <t>Askåterföring</t>
        </is>
      </c>
      <c r="D5190" s="1" t="n">
        <v>44613</v>
      </c>
      <c r="E5190" s="1" t="n">
        <v>46312</v>
      </c>
      <c r="F5190" t="inlineStr">
        <is>
          <t>SKÅNE LÄN</t>
        </is>
      </c>
      <c r="G5190" t="inlineStr">
        <is>
          <t>HÄSSLEHOLM</t>
        </is>
      </c>
      <c r="I5190" t="n">
        <v>13</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S 4731-2024</t>
        </is>
      </c>
      <c r="B5191" t="inlineStr">
        <is>
          <t>samrådsanmälan</t>
        </is>
      </c>
      <c r="C5191" t="inlineStr">
        <is>
          <t>Askåterföring</t>
        </is>
      </c>
      <c r="D5191" s="1" t="n">
        <v>45608</v>
      </c>
      <c r="E5191" s="1" t="n">
        <v>46312</v>
      </c>
      <c r="F5191" t="inlineStr">
        <is>
          <t>SKÅNE LÄN</t>
        </is>
      </c>
      <c r="G5191" t="inlineStr">
        <is>
          <t>PERSTORP</t>
        </is>
      </c>
      <c r="I5191" t="n">
        <v>11.6</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S 1731-2023</t>
        </is>
      </c>
      <c r="B5192" t="inlineStr">
        <is>
          <t>samrådsanmälan</t>
        </is>
      </c>
      <c r="C5192" t="inlineStr">
        <is>
          <t>Askåterföring</t>
        </is>
      </c>
      <c r="D5192" s="1" t="n">
        <v>45069</v>
      </c>
      <c r="E5192" s="1" t="n">
        <v>46312</v>
      </c>
      <c r="F5192" t="inlineStr">
        <is>
          <t>SKÅNE LÄN</t>
        </is>
      </c>
      <c r="G5192" t="inlineStr">
        <is>
          <t>KRISTIANSTAD</t>
        </is>
      </c>
      <c r="I5192" t="n">
        <v>10.2</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S 5175-2024</t>
        </is>
      </c>
      <c r="B5193" t="inlineStr">
        <is>
          <t>samrådsanmälan</t>
        </is>
      </c>
      <c r="C5193" t="inlineStr">
        <is>
          <t>Annan skogsbruksåtgärd</t>
        </is>
      </c>
      <c r="D5193" s="1" t="n">
        <v>45652</v>
      </c>
      <c r="E5193" s="1" t="n">
        <v>46312</v>
      </c>
      <c r="F5193" t="inlineStr">
        <is>
          <t>SKÅNE LÄN</t>
        </is>
      </c>
      <c r="G5193" t="inlineStr">
        <is>
          <t>OSBY</t>
        </is>
      </c>
      <c r="I5193" t="n">
        <v>4.4</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S 2492-2023</t>
        </is>
      </c>
      <c r="B5194" t="inlineStr">
        <is>
          <t>samrådsanmälan</t>
        </is>
      </c>
      <c r="C5194" t="inlineStr">
        <is>
          <t>Askåterföring</t>
        </is>
      </c>
      <c r="D5194" s="1" t="n">
        <v>45120</v>
      </c>
      <c r="E5194" s="1" t="n">
        <v>46312</v>
      </c>
      <c r="F5194" t="inlineStr">
        <is>
          <t>SKÅNE LÄN</t>
        </is>
      </c>
      <c r="G5194" t="inlineStr">
        <is>
          <t>KRISTIANSTAD</t>
        </is>
      </c>
      <c r="I5194" t="n">
        <v>9.4</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S 450-2022</t>
        </is>
      </c>
      <c r="B5195" t="inlineStr">
        <is>
          <t>samrådsanmälan</t>
        </is>
      </c>
      <c r="C5195" t="inlineStr">
        <is>
          <t>Åtgärd i nyckelbiotop</t>
        </is>
      </c>
      <c r="D5195" s="1" t="n">
        <v>44586</v>
      </c>
      <c r="E5195" s="1" t="n">
        <v>46312</v>
      </c>
      <c r="F5195" t="inlineStr">
        <is>
          <t>SKÅNE LÄN</t>
        </is>
      </c>
      <c r="G5195" t="inlineStr">
        <is>
          <t>ÖSTRA GÖINGE</t>
        </is>
      </c>
      <c r="I5195" t="n">
        <v>0.9</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S 1223-2025</t>
        </is>
      </c>
      <c r="B5196" t="inlineStr">
        <is>
          <t>samrådsanmälan</t>
        </is>
      </c>
      <c r="C5196" t="inlineStr">
        <is>
          <t>Annan skogsbruksåtgärd</t>
        </is>
      </c>
      <c r="D5196" s="1" t="n">
        <v>45761</v>
      </c>
      <c r="E5196" s="1" t="n">
        <v>46312</v>
      </c>
      <c r="F5196" t="inlineStr">
        <is>
          <t>SKÅNE LÄN</t>
        </is>
      </c>
      <c r="G5196" t="inlineStr">
        <is>
          <t>ÖSTRA GÖINGE</t>
        </is>
      </c>
      <c r="I5196" t="n">
        <v>0.5</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S 1305-2025</t>
        </is>
      </c>
      <c r="B5197" t="inlineStr">
        <is>
          <t>samrådsanmälan</t>
        </is>
      </c>
      <c r="C5197" t="inlineStr">
        <is>
          <t>Askåterföring</t>
        </is>
      </c>
      <c r="D5197" s="1" t="n">
        <v>45770</v>
      </c>
      <c r="E5197" s="1" t="n">
        <v>46312</v>
      </c>
      <c r="F5197" t="inlineStr">
        <is>
          <t>SKÅNE LÄN</t>
        </is>
      </c>
      <c r="G5197" t="inlineStr">
        <is>
          <t>ÖSTRA GÖINGE</t>
        </is>
      </c>
      <c r="I5197" t="n">
        <v>2.2</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S 1330-2025</t>
        </is>
      </c>
      <c r="B5198" t="inlineStr">
        <is>
          <t>samrådsanmälan</t>
        </is>
      </c>
      <c r="C5198" t="inlineStr">
        <is>
          <t>Askåterföring</t>
        </is>
      </c>
      <c r="D5198" s="1" t="n">
        <v>45770</v>
      </c>
      <c r="E5198" s="1" t="n">
        <v>46312</v>
      </c>
      <c r="F5198" t="inlineStr">
        <is>
          <t>SKÅNE LÄN</t>
        </is>
      </c>
      <c r="G5198" t="inlineStr">
        <is>
          <t>BROMÖLLA</t>
        </is>
      </c>
      <c r="I5198" t="n">
        <v>12.7</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S 401-2025</t>
        </is>
      </c>
      <c r="B5199" t="inlineStr">
        <is>
          <t>samrådsanmälan</t>
        </is>
      </c>
      <c r="C5199" t="inlineStr">
        <is>
          <t>Askåterföring</t>
        </is>
      </c>
      <c r="D5199" s="1" t="n">
        <v>45699</v>
      </c>
      <c r="E5199" s="1" t="n">
        <v>46312</v>
      </c>
      <c r="F5199" t="inlineStr">
        <is>
          <t>SKÅNE LÄN</t>
        </is>
      </c>
      <c r="G5199" t="inlineStr">
        <is>
          <t>HÄSSLEHOLM</t>
        </is>
      </c>
      <c r="I5199" t="n">
        <v>42.2</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S 775-2025</t>
        </is>
      </c>
      <c r="B5200" t="inlineStr">
        <is>
          <t>samrådsanmälan</t>
        </is>
      </c>
      <c r="C5200" t="inlineStr">
        <is>
          <t>Askåterföring</t>
        </is>
      </c>
      <c r="D5200" s="1" t="n">
        <v>45728</v>
      </c>
      <c r="E5200" s="1" t="n">
        <v>46312</v>
      </c>
      <c r="F5200" t="inlineStr">
        <is>
          <t>SKÅNE LÄN</t>
        </is>
      </c>
      <c r="G5200" t="inlineStr">
        <is>
          <t>KRISTIANSTAD</t>
        </is>
      </c>
      <c r="I5200" t="n">
        <v>9.199999999999999</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S 476-2025</t>
        </is>
      </c>
      <c r="B5201" t="inlineStr">
        <is>
          <t>samrådsanmälan</t>
        </is>
      </c>
      <c r="C5201" t="inlineStr">
        <is>
          <t>Askåterföring</t>
        </is>
      </c>
      <c r="D5201" s="1" t="n">
        <v>45702</v>
      </c>
      <c r="E5201" s="1" t="n">
        <v>46312</v>
      </c>
      <c r="F5201" t="inlineStr">
        <is>
          <t>SKÅNE LÄN</t>
        </is>
      </c>
      <c r="G5201" t="inlineStr">
        <is>
          <t>KRISTIANSTAD</t>
        </is>
      </c>
      <c r="I5201" t="n">
        <v>58.6</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S 884-2025</t>
        </is>
      </c>
      <c r="B5202" t="inlineStr">
        <is>
          <t>samrådsanmälan</t>
        </is>
      </c>
      <c r="C5202" t="inlineStr">
        <is>
          <t>Askåterföring</t>
        </is>
      </c>
      <c r="D5202" s="1" t="n">
        <v>45735</v>
      </c>
      <c r="E5202" s="1" t="n">
        <v>46312</v>
      </c>
      <c r="F5202" t="inlineStr">
        <is>
          <t>SKÅNE LÄN</t>
        </is>
      </c>
      <c r="G5202" t="inlineStr">
        <is>
          <t>OSBY</t>
        </is>
      </c>
      <c r="I5202" t="n">
        <v>12.6</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S 792-2025</t>
        </is>
      </c>
      <c r="B5203" t="inlineStr">
        <is>
          <t>samrådsanmälan</t>
        </is>
      </c>
      <c r="C5203" t="inlineStr">
        <is>
          <t>Askåterföring</t>
        </is>
      </c>
      <c r="D5203" s="1" t="n">
        <v>45729</v>
      </c>
      <c r="E5203" s="1" t="n">
        <v>46312</v>
      </c>
      <c r="F5203" t="inlineStr">
        <is>
          <t>SKÅNE LÄN</t>
        </is>
      </c>
      <c r="G5203" t="inlineStr">
        <is>
          <t>HÖÖR</t>
        </is>
      </c>
      <c r="I5203" t="n">
        <v>12.9</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S 625-2025</t>
        </is>
      </c>
      <c r="B5204" t="inlineStr">
        <is>
          <t>samrådsanmälan</t>
        </is>
      </c>
      <c r="C5204" t="inlineStr">
        <is>
          <t>Askåterföring</t>
        </is>
      </c>
      <c r="D5204" s="1" t="n">
        <v>45714</v>
      </c>
      <c r="E5204" s="1" t="n">
        <v>46312</v>
      </c>
      <c r="F5204" t="inlineStr">
        <is>
          <t>SKÅNE LÄN</t>
        </is>
      </c>
      <c r="G5204" t="inlineStr">
        <is>
          <t>ÖSTRA GÖINGE</t>
        </is>
      </c>
      <c r="I5204" t="n">
        <v>93.59999999999999</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S 649-2025</t>
        </is>
      </c>
      <c r="B5205" t="inlineStr">
        <is>
          <t>samrådsanmälan</t>
        </is>
      </c>
      <c r="C5205" t="inlineStr">
        <is>
          <t>Askåterföring</t>
        </is>
      </c>
      <c r="D5205" s="1" t="n">
        <v>45715</v>
      </c>
      <c r="E5205" s="1" t="n">
        <v>46312</v>
      </c>
      <c r="F5205" t="inlineStr">
        <is>
          <t>SKÅNE LÄN</t>
        </is>
      </c>
      <c r="G5205" t="inlineStr">
        <is>
          <t>ÖSTRA GÖINGE</t>
        </is>
      </c>
      <c r="I5205" t="n">
        <v>7.4</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S 734-2025</t>
        </is>
      </c>
      <c r="B5206" t="inlineStr">
        <is>
          <t>samrådsanmälan</t>
        </is>
      </c>
      <c r="C5206" t="inlineStr">
        <is>
          <t>Askåterföring</t>
        </is>
      </c>
      <c r="D5206" s="1" t="n">
        <v>45722</v>
      </c>
      <c r="E5206" s="1" t="n">
        <v>46312</v>
      </c>
      <c r="F5206" t="inlineStr">
        <is>
          <t>SKÅNE LÄN</t>
        </is>
      </c>
      <c r="G5206" t="inlineStr">
        <is>
          <t>HÖRBY</t>
        </is>
      </c>
      <c r="I5206" t="n">
        <v>27.4</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S 451-2025</t>
        </is>
      </c>
      <c r="B5207" t="inlineStr">
        <is>
          <t>samrådsanmälan</t>
        </is>
      </c>
      <c r="C5207" t="inlineStr">
        <is>
          <t>Askåterföring</t>
        </is>
      </c>
      <c r="D5207" s="1" t="n">
        <v>45701</v>
      </c>
      <c r="E5207" s="1" t="n">
        <v>46312</v>
      </c>
      <c r="F5207" t="inlineStr">
        <is>
          <t>SKÅNE LÄN</t>
        </is>
      </c>
      <c r="G5207" t="inlineStr">
        <is>
          <t>ÖSTRA GÖINGE</t>
        </is>
      </c>
      <c r="I5207" t="n">
        <v>17.7</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S 334-2025</t>
        </is>
      </c>
      <c r="B5208" t="inlineStr">
        <is>
          <t>samrådsanmälan</t>
        </is>
      </c>
      <c r="C5208" t="inlineStr">
        <is>
          <t>Annan skogsbruksåtgärd</t>
        </is>
      </c>
      <c r="D5208" s="1" t="n">
        <v>45692</v>
      </c>
      <c r="E5208" s="1" t="n">
        <v>46312</v>
      </c>
      <c r="F5208" t="inlineStr">
        <is>
          <t>SKÅNE LÄN</t>
        </is>
      </c>
      <c r="G5208" t="inlineStr">
        <is>
          <t>HÄSSLEHOLM</t>
        </is>
      </c>
      <c r="I5208" t="n">
        <v>0.8</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S 557-2025</t>
        </is>
      </c>
      <c r="B5209" t="inlineStr">
        <is>
          <t>samrådsanmälan</t>
        </is>
      </c>
      <c r="C5209" t="inlineStr">
        <is>
          <t>Askåterföring</t>
        </is>
      </c>
      <c r="D5209" s="1" t="n">
        <v>45709</v>
      </c>
      <c r="E5209" s="1" t="n">
        <v>46312</v>
      </c>
      <c r="F5209" t="inlineStr">
        <is>
          <t>SKÅNE LÄN</t>
        </is>
      </c>
      <c r="G5209" t="inlineStr">
        <is>
          <t>PERSTORP</t>
        </is>
      </c>
      <c r="I5209" t="n">
        <v>31.1</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S 252-2025</t>
        </is>
      </c>
      <c r="B5210" t="inlineStr">
        <is>
          <t>samrådsanmälan</t>
        </is>
      </c>
      <c r="C5210" t="inlineStr">
        <is>
          <t>Askåterföring</t>
        </is>
      </c>
      <c r="D5210" s="1" t="n">
        <v>45684</v>
      </c>
      <c r="E5210" s="1" t="n">
        <v>46312</v>
      </c>
      <c r="F5210" t="inlineStr">
        <is>
          <t>SKÅNE LÄN</t>
        </is>
      </c>
      <c r="G5210" t="inlineStr">
        <is>
          <t>ÖSTRA GÖINGE</t>
        </is>
      </c>
      <c r="I5210" t="n">
        <v>20</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S 307-2025</t>
        </is>
      </c>
      <c r="B5211" t="inlineStr">
        <is>
          <t>samrådsanmälan</t>
        </is>
      </c>
      <c r="C5211" t="inlineStr">
        <is>
          <t>Askåterföring</t>
        </is>
      </c>
      <c r="D5211" s="1" t="n">
        <v>45688</v>
      </c>
      <c r="E5211" s="1" t="n">
        <v>46312</v>
      </c>
      <c r="F5211" t="inlineStr">
        <is>
          <t>SKÅNE LÄN</t>
        </is>
      </c>
      <c r="G5211" t="inlineStr">
        <is>
          <t>HÄSSLEHOLM</t>
        </is>
      </c>
      <c r="I5211" t="n">
        <v>3.7</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S 910-2025</t>
        </is>
      </c>
      <c r="B5212" t="inlineStr">
        <is>
          <t>samrådsanmälan</t>
        </is>
      </c>
      <c r="C5212" t="inlineStr">
        <is>
          <t>Annan skogsbruksåtgärd</t>
        </is>
      </c>
      <c r="D5212" s="1" t="n">
        <v>45737</v>
      </c>
      <c r="E5212" s="1" t="n">
        <v>46312</v>
      </c>
      <c r="F5212" t="inlineStr">
        <is>
          <t>SKÅNE LÄN</t>
        </is>
      </c>
      <c r="G5212" t="inlineStr">
        <is>
          <t>OSBY</t>
        </is>
      </c>
      <c r="I5212" t="n">
        <v>5.6</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S 475-2025</t>
        </is>
      </c>
      <c r="B5213" t="inlineStr">
        <is>
          <t>samrådsanmälan</t>
        </is>
      </c>
      <c r="C5213" t="inlineStr">
        <is>
          <t>Askåterföring</t>
        </is>
      </c>
      <c r="D5213" s="1" t="n">
        <v>45702</v>
      </c>
      <c r="E5213" s="1" t="n">
        <v>46312</v>
      </c>
      <c r="F5213" t="inlineStr">
        <is>
          <t>SKÅNE LÄN</t>
        </is>
      </c>
      <c r="G5213" t="inlineStr">
        <is>
          <t>KRISTIANSTAD</t>
        </is>
      </c>
      <c r="I5213" t="n">
        <v>67.7</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S 760-2025</t>
        </is>
      </c>
      <c r="B5214" t="inlineStr">
        <is>
          <t>samrådsanmälan</t>
        </is>
      </c>
      <c r="C5214" t="inlineStr">
        <is>
          <t>Askåterföring</t>
        </is>
      </c>
      <c r="D5214" s="1" t="n">
        <v>45726</v>
      </c>
      <c r="E5214" s="1" t="n">
        <v>46312</v>
      </c>
      <c r="F5214" t="inlineStr">
        <is>
          <t>SKÅNE LÄN</t>
        </is>
      </c>
      <c r="G5214" t="inlineStr">
        <is>
          <t>KRISTIANSTAD</t>
        </is>
      </c>
      <c r="I5214" t="n">
        <v>7.4</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S 310-2025</t>
        </is>
      </c>
      <c r="B5215" t="inlineStr">
        <is>
          <t>samrådsanmälan</t>
        </is>
      </c>
      <c r="C5215" t="inlineStr">
        <is>
          <t>Askåterföring</t>
        </is>
      </c>
      <c r="D5215" s="1" t="n">
        <v>45688</v>
      </c>
      <c r="E5215" s="1" t="n">
        <v>46312</v>
      </c>
      <c r="F5215" t="inlineStr">
        <is>
          <t>SKÅNE LÄN</t>
        </is>
      </c>
      <c r="G5215" t="inlineStr">
        <is>
          <t>HÖÖR</t>
        </is>
      </c>
      <c r="I5215" t="n">
        <v>16</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S 808-2025</t>
        </is>
      </c>
      <c r="B5216" t="inlineStr">
        <is>
          <t>samrådsanmälan</t>
        </is>
      </c>
      <c r="C5216" t="inlineStr">
        <is>
          <t>Askåterföring</t>
        </is>
      </c>
      <c r="D5216" s="1" t="n">
        <v>45730</v>
      </c>
      <c r="E5216" s="1" t="n">
        <v>46312</v>
      </c>
      <c r="F5216" t="inlineStr">
        <is>
          <t>SKÅNE LÄN</t>
        </is>
      </c>
      <c r="G5216" t="inlineStr">
        <is>
          <t>HÄSSLEHOLM</t>
        </is>
      </c>
      <c r="I5216" t="n">
        <v>51.7</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S 887-2025</t>
        </is>
      </c>
      <c r="B5217" t="inlineStr">
        <is>
          <t>samrådsanmälan</t>
        </is>
      </c>
      <c r="C5217" t="inlineStr">
        <is>
          <t>Askåterföring</t>
        </is>
      </c>
      <c r="D5217" s="1" t="n">
        <v>45735</v>
      </c>
      <c r="E5217" s="1" t="n">
        <v>46312</v>
      </c>
      <c r="F5217" t="inlineStr">
        <is>
          <t>SKÅNE LÄN</t>
        </is>
      </c>
      <c r="G5217" t="inlineStr">
        <is>
          <t>HÄSSLEHOLM</t>
        </is>
      </c>
      <c r="I5217" t="n">
        <v>15.4</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S 885-2025</t>
        </is>
      </c>
      <c r="B5218" t="inlineStr">
        <is>
          <t>samrådsanmälan</t>
        </is>
      </c>
      <c r="C5218" t="inlineStr">
        <is>
          <t>Askåterföring</t>
        </is>
      </c>
      <c r="D5218" s="1" t="n">
        <v>45735</v>
      </c>
      <c r="E5218" s="1" t="n">
        <v>46312</v>
      </c>
      <c r="F5218" t="inlineStr">
        <is>
          <t>SKÅNE LÄN</t>
        </is>
      </c>
      <c r="G5218" t="inlineStr">
        <is>
          <t>ÖSTRA GÖINGE</t>
        </is>
      </c>
      <c r="I5218" t="n">
        <v>13.6</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S 871-2025</t>
        </is>
      </c>
      <c r="B5219" t="inlineStr">
        <is>
          <t>samrådsanmälan</t>
        </is>
      </c>
      <c r="C5219" t="inlineStr">
        <is>
          <t>Askåterföring</t>
        </is>
      </c>
      <c r="D5219" s="1" t="n">
        <v>45734</v>
      </c>
      <c r="E5219" s="1" t="n">
        <v>46312</v>
      </c>
      <c r="F5219" t="inlineStr">
        <is>
          <t>SKÅNE LÄN</t>
        </is>
      </c>
      <c r="G5219" t="inlineStr">
        <is>
          <t>KRISTIANSTAD</t>
        </is>
      </c>
      <c r="I5219" t="n">
        <v>2.7</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S 1522-2025</t>
        </is>
      </c>
      <c r="B5220" t="inlineStr">
        <is>
          <t>samrådsanmälan</t>
        </is>
      </c>
      <c r="C5220" t="inlineStr">
        <is>
          <t>Askåterföring</t>
        </is>
      </c>
      <c r="D5220" s="1" t="n">
        <v>45791</v>
      </c>
      <c r="E5220" s="1" t="n">
        <v>46312</v>
      </c>
      <c r="F5220" t="inlineStr">
        <is>
          <t>SKÅNE LÄN</t>
        </is>
      </c>
      <c r="G5220" t="inlineStr">
        <is>
          <t>HÖÖR</t>
        </is>
      </c>
      <c r="I5220" t="n">
        <v>30.6</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S 1606-2025</t>
        </is>
      </c>
      <c r="B5221" t="inlineStr">
        <is>
          <t>samrådsanmälan</t>
        </is>
      </c>
      <c r="C5221" t="inlineStr">
        <is>
          <t>Askåterföring</t>
        </is>
      </c>
      <c r="D5221" s="1" t="n">
        <v>45798</v>
      </c>
      <c r="E5221" s="1" t="n">
        <v>46312</v>
      </c>
      <c r="F5221" t="inlineStr">
        <is>
          <t>SKÅNE LÄN</t>
        </is>
      </c>
      <c r="G5221" t="inlineStr">
        <is>
          <t>KLIPPAN</t>
        </is>
      </c>
      <c r="I5221" t="n">
        <v>11.7</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S 1703-2025</t>
        </is>
      </c>
      <c r="B5222" t="inlineStr">
        <is>
          <t>samrådsanmälan</t>
        </is>
      </c>
      <c r="C5222" t="inlineStr">
        <is>
          <t>Askåterföring</t>
        </is>
      </c>
      <c r="D5222" s="1" t="n">
        <v>45805</v>
      </c>
      <c r="E5222" s="1" t="n">
        <v>46312</v>
      </c>
      <c r="F5222" t="inlineStr">
        <is>
          <t>SKÅNE LÄN</t>
        </is>
      </c>
      <c r="G5222" t="inlineStr">
        <is>
          <t>ÖSTRA GÖINGE</t>
        </is>
      </c>
      <c r="I5222" t="n">
        <v>21.2</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S 1747-2025</t>
        </is>
      </c>
      <c r="B5223" t="inlineStr">
        <is>
          <t>samrådsanmälan</t>
        </is>
      </c>
      <c r="C5223" t="inlineStr">
        <is>
          <t>Askåterföring</t>
        </is>
      </c>
      <c r="D5223" s="1" t="n">
        <v>45811</v>
      </c>
      <c r="E5223" s="1" t="n">
        <v>46312</v>
      </c>
      <c r="F5223" t="inlineStr">
        <is>
          <t>SKÅNE LÄN</t>
        </is>
      </c>
      <c r="G5223" t="inlineStr">
        <is>
          <t>KRISTIANSTAD</t>
        </is>
      </c>
      <c r="I5223" t="n">
        <v>11.3</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S 1749-2025</t>
        </is>
      </c>
      <c r="B5224" t="inlineStr">
        <is>
          <t>samrådsanmälan</t>
        </is>
      </c>
      <c r="C5224" t="inlineStr">
        <is>
          <t>Askåterföring</t>
        </is>
      </c>
      <c r="D5224" s="1" t="n">
        <v>45811</v>
      </c>
      <c r="E5224" s="1" t="n">
        <v>46312</v>
      </c>
      <c r="F5224" t="inlineStr">
        <is>
          <t>SKÅNE LÄN</t>
        </is>
      </c>
      <c r="G5224" t="inlineStr">
        <is>
          <t>KRISTIANSTAD</t>
        </is>
      </c>
      <c r="I5224" t="n">
        <v>5.9</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S 1750-2025</t>
        </is>
      </c>
      <c r="B5225" t="inlineStr">
        <is>
          <t>samrådsanmälan</t>
        </is>
      </c>
      <c r="C5225" t="inlineStr">
        <is>
          <t>Askåterföring</t>
        </is>
      </c>
      <c r="D5225" s="1" t="n">
        <v>45811</v>
      </c>
      <c r="E5225" s="1" t="n">
        <v>46312</v>
      </c>
      <c r="F5225" t="inlineStr">
        <is>
          <t>SKÅNE LÄN</t>
        </is>
      </c>
      <c r="G5225" t="inlineStr">
        <is>
          <t>KRISTIANSTAD</t>
        </is>
      </c>
      <c r="I5225" t="n">
        <v>4.2</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S 1927-2025</t>
        </is>
      </c>
      <c r="B5226" t="inlineStr">
        <is>
          <t>samrådsanmälan</t>
        </is>
      </c>
      <c r="C5226" t="inlineStr">
        <is>
          <t>Askåterföring</t>
        </is>
      </c>
      <c r="D5226" s="1" t="n">
        <v>45827</v>
      </c>
      <c r="E5226" s="1" t="n">
        <v>46312</v>
      </c>
      <c r="F5226" t="inlineStr">
        <is>
          <t>SKÅNE LÄN</t>
        </is>
      </c>
      <c r="G5226" t="inlineStr">
        <is>
          <t>HÄSSLEHOLM</t>
        </is>
      </c>
      <c r="I5226" t="n">
        <v>10.2</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S 1928-2025</t>
        </is>
      </c>
      <c r="B5227" t="inlineStr">
        <is>
          <t>samrådsanmälan</t>
        </is>
      </c>
      <c r="C5227" t="inlineStr">
        <is>
          <t>Askåterföring</t>
        </is>
      </c>
      <c r="D5227" s="1" t="n">
        <v>45827</v>
      </c>
      <c r="E5227" s="1" t="n">
        <v>46312</v>
      </c>
      <c r="F5227" t="inlineStr">
        <is>
          <t>SKÅNE LÄN</t>
        </is>
      </c>
      <c r="G5227" t="inlineStr">
        <is>
          <t>HÄSSLEHOLM</t>
        </is>
      </c>
      <c r="I5227" t="n">
        <v>23</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S 2097-2025</t>
        </is>
      </c>
      <c r="B5228" t="inlineStr">
        <is>
          <t>samrådsanmälan</t>
        </is>
      </c>
      <c r="C5228" t="inlineStr">
        <is>
          <t>Askåterföring</t>
        </is>
      </c>
      <c r="D5228" s="1" t="n">
        <v>45842</v>
      </c>
      <c r="E5228" s="1" t="n">
        <v>46312</v>
      </c>
      <c r="F5228" t="inlineStr">
        <is>
          <t>SKÅNE LÄN</t>
        </is>
      </c>
      <c r="G5228" t="inlineStr">
        <is>
          <t>SIMRISHAMN</t>
        </is>
      </c>
      <c r="I5228" t="n">
        <v>9.4</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S 2185-2025</t>
        </is>
      </c>
      <c r="B5229" t="inlineStr">
        <is>
          <t>samrådsanmälan</t>
        </is>
      </c>
      <c r="C5229" t="inlineStr">
        <is>
          <t>Skogsbilväg</t>
        </is>
      </c>
      <c r="D5229" s="1" t="n">
        <v>45854</v>
      </c>
      <c r="E5229" s="1" t="n">
        <v>46312</v>
      </c>
      <c r="F5229" t="inlineStr">
        <is>
          <t>SKÅNE LÄN</t>
        </is>
      </c>
      <c r="G5229" t="inlineStr">
        <is>
          <t>SVALÖV</t>
        </is>
      </c>
      <c r="I5229" t="n">
        <v>0.1</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S 2345-2025</t>
        </is>
      </c>
      <c r="B5230" t="inlineStr">
        <is>
          <t>samrådsanmälan</t>
        </is>
      </c>
      <c r="C5230" t="inlineStr">
        <is>
          <t>Askåterföring</t>
        </is>
      </c>
      <c r="D5230" s="1" t="n">
        <v>45887</v>
      </c>
      <c r="E5230" s="1" t="n">
        <v>46312</v>
      </c>
      <c r="F5230" t="inlineStr">
        <is>
          <t>SKÅNE LÄN</t>
        </is>
      </c>
      <c r="G5230" t="inlineStr">
        <is>
          <t>TRELLEBORG</t>
        </is>
      </c>
      <c r="I5230" t="n">
        <v>6.2</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S 2486-2025</t>
        </is>
      </c>
      <c r="B5231" t="inlineStr">
        <is>
          <t>samrådsanmälan</t>
        </is>
      </c>
      <c r="C5231" t="inlineStr">
        <is>
          <t>Askåterföring</t>
        </is>
      </c>
      <c r="D5231" s="1" t="n">
        <v>45901</v>
      </c>
      <c r="E5231" s="1" t="n">
        <v>46312</v>
      </c>
      <c r="F5231" t="inlineStr">
        <is>
          <t>SKÅNE LÄN</t>
        </is>
      </c>
      <c r="G5231" t="inlineStr">
        <is>
          <t>PERSTORP</t>
        </is>
      </c>
      <c r="I5231" t="n">
        <v>15.1</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S 2468-2025</t>
        </is>
      </c>
      <c r="B5232" t="inlineStr">
        <is>
          <t>samrådsanmälan</t>
        </is>
      </c>
      <c r="C5232" t="inlineStr">
        <is>
          <t>Askåterföring</t>
        </is>
      </c>
      <c r="D5232" s="1" t="n">
        <v>45901</v>
      </c>
      <c r="E5232" s="1" t="n">
        <v>46312</v>
      </c>
      <c r="F5232" t="inlineStr">
        <is>
          <t>SKÅNE LÄN</t>
        </is>
      </c>
      <c r="G5232" t="inlineStr">
        <is>
          <t>KRISTIANSTAD</t>
        </is>
      </c>
      <c r="I5232" t="n">
        <v>3.3</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S 2552-2025</t>
        </is>
      </c>
      <c r="B5233" t="inlineStr">
        <is>
          <t>samrådsanmälan</t>
        </is>
      </c>
      <c r="C5233" t="inlineStr">
        <is>
          <t>Askåterföring</t>
        </is>
      </c>
      <c r="D5233" s="1" t="n">
        <v>45911</v>
      </c>
      <c r="E5233" s="1" t="n">
        <v>46312</v>
      </c>
      <c r="F5233" t="inlineStr">
        <is>
          <t>SKÅNE LÄN</t>
        </is>
      </c>
      <c r="G5233" t="inlineStr">
        <is>
          <t>HÄSSLEHOLM</t>
        </is>
      </c>
      <c r="I5233" t="n">
        <v>8.1</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S 2562-2025</t>
        </is>
      </c>
      <c r="B5234" t="inlineStr">
        <is>
          <t>samrådsanmälan</t>
        </is>
      </c>
      <c r="C5234" t="inlineStr">
        <is>
          <t>Askåterföring</t>
        </is>
      </c>
      <c r="D5234" s="1" t="n">
        <v>45912</v>
      </c>
      <c r="E5234" s="1" t="n">
        <v>46312</v>
      </c>
      <c r="F5234" t="inlineStr">
        <is>
          <t>SKÅNE LÄN</t>
        </is>
      </c>
      <c r="G5234" t="inlineStr">
        <is>
          <t>HÄSSLEHOLM</t>
        </is>
      </c>
      <c r="I5234" t="n">
        <v>19.6</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S 2553-2025</t>
        </is>
      </c>
      <c r="B5235" t="inlineStr">
        <is>
          <t>samrådsanmälan</t>
        </is>
      </c>
      <c r="C5235" t="inlineStr">
        <is>
          <t>Askåterföring</t>
        </is>
      </c>
      <c r="D5235" s="1" t="n">
        <v>45911</v>
      </c>
      <c r="E5235" s="1" t="n">
        <v>46312</v>
      </c>
      <c r="F5235" t="inlineStr">
        <is>
          <t>SKÅNE LÄN</t>
        </is>
      </c>
      <c r="G5235" t="inlineStr">
        <is>
          <t>HÄSSLEHOLM</t>
        </is>
      </c>
      <c r="I5235" t="n">
        <v>4.4</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S 2712-2025</t>
        </is>
      </c>
      <c r="B5236" t="inlineStr">
        <is>
          <t>samrådsanmälan</t>
        </is>
      </c>
      <c r="C5236" t="inlineStr">
        <is>
          <t>Annan skogsbruksåtgärd</t>
        </is>
      </c>
      <c r="D5236" s="1" t="n">
        <v>45930</v>
      </c>
      <c r="E5236" s="1" t="n">
        <v>46312</v>
      </c>
      <c r="F5236" t="inlineStr">
        <is>
          <t>SKÅNE LÄN</t>
        </is>
      </c>
      <c r="G5236" t="inlineStr">
        <is>
          <t>ÖSTRA GÖINGE</t>
        </is>
      </c>
      <c r="I5236" t="n">
        <v>0.5</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S 2711-2025</t>
        </is>
      </c>
      <c r="B5237" t="inlineStr">
        <is>
          <t>samrådsanmälan</t>
        </is>
      </c>
      <c r="C5237" t="inlineStr">
        <is>
          <t>Annan skogsbruksåtgärd</t>
        </is>
      </c>
      <c r="D5237" s="1" t="n">
        <v>45930</v>
      </c>
      <c r="E5237" s="1" t="n">
        <v>46312</v>
      </c>
      <c r="F5237" t="inlineStr">
        <is>
          <t>SKÅNE LÄN</t>
        </is>
      </c>
      <c r="G5237" t="inlineStr">
        <is>
          <t>ÖSTRA GÖINGE</t>
        </is>
      </c>
      <c r="I5237" t="n">
        <v>0.4</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S 2812-2025</t>
        </is>
      </c>
      <c r="B5238" t="inlineStr">
        <is>
          <t>samrådsanmälan</t>
        </is>
      </c>
      <c r="C5238" t="inlineStr">
        <is>
          <t>Askåterföring</t>
        </is>
      </c>
      <c r="D5238" s="1" t="n">
        <v>45939</v>
      </c>
      <c r="E5238" s="1" t="n">
        <v>46312</v>
      </c>
      <c r="F5238" t="inlineStr">
        <is>
          <t>SKÅNE LÄN</t>
        </is>
      </c>
      <c r="G5238" t="inlineStr">
        <is>
          <t>OSBY</t>
        </is>
      </c>
      <c r="I5238" t="n">
        <v>10</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S 2813-2025</t>
        </is>
      </c>
      <c r="B5239" t="inlineStr">
        <is>
          <t>samrådsanmälan</t>
        </is>
      </c>
      <c r="C5239" t="inlineStr">
        <is>
          <t>Askåterföring</t>
        </is>
      </c>
      <c r="D5239" s="1" t="n">
        <v>45939</v>
      </c>
      <c r="E5239" s="1" t="n">
        <v>46312</v>
      </c>
      <c r="F5239" t="inlineStr">
        <is>
          <t>SKÅNE LÄN</t>
        </is>
      </c>
      <c r="G5239" t="inlineStr">
        <is>
          <t>OSBY</t>
        </is>
      </c>
      <c r="I5239" t="n">
        <v>10.9</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S 2811-2025</t>
        </is>
      </c>
      <c r="B5240" t="inlineStr">
        <is>
          <t>samrådsanmälan</t>
        </is>
      </c>
      <c r="C5240" t="inlineStr">
        <is>
          <t>Askåterföring</t>
        </is>
      </c>
      <c r="D5240" s="1" t="n">
        <v>45939</v>
      </c>
      <c r="E5240" s="1" t="n">
        <v>46312</v>
      </c>
      <c r="F5240" t="inlineStr">
        <is>
          <t>SKÅNE LÄN</t>
        </is>
      </c>
      <c r="G5240" t="inlineStr">
        <is>
          <t>HÄSSLEHOLM</t>
        </is>
      </c>
      <c r="I5240" t="n">
        <v>14.7</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S 2841-2025</t>
        </is>
      </c>
      <c r="B5241" t="inlineStr">
        <is>
          <t>samrådsanmälan</t>
        </is>
      </c>
      <c r="C5241" t="inlineStr">
        <is>
          <t>Askåterföring</t>
        </is>
      </c>
      <c r="D5241" s="1" t="n">
        <v>45940</v>
      </c>
      <c r="E5241" s="1" t="n">
        <v>46312</v>
      </c>
      <c r="F5241" t="inlineStr">
        <is>
          <t>SKÅNE LÄN</t>
        </is>
      </c>
      <c r="G5241" t="inlineStr">
        <is>
          <t>HÄSSLEHOLM</t>
        </is>
      </c>
      <c r="I5241" t="n">
        <v>5.7</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S 2875-2025</t>
        </is>
      </c>
      <c r="B5242" t="inlineStr">
        <is>
          <t>samrådsanmälan</t>
        </is>
      </c>
      <c r="C5242" t="inlineStr">
        <is>
          <t>Askåterföring</t>
        </is>
      </c>
      <c r="D5242" s="1" t="n">
        <v>45945</v>
      </c>
      <c r="E5242" s="1" t="n">
        <v>46312</v>
      </c>
      <c r="F5242" t="inlineStr">
        <is>
          <t>SKÅNE LÄN</t>
        </is>
      </c>
      <c r="G5242" t="inlineStr">
        <is>
          <t>KRISTIANSTAD</t>
        </is>
      </c>
      <c r="I5242" t="n">
        <v>3.4</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S 2907-2025</t>
        </is>
      </c>
      <c r="B5243" t="inlineStr">
        <is>
          <t>samrådsanmälan</t>
        </is>
      </c>
      <c r="C5243" t="inlineStr">
        <is>
          <t>Askåterföring</t>
        </is>
      </c>
      <c r="D5243" s="1" t="n">
        <v>45947</v>
      </c>
      <c r="E5243" s="1" t="n">
        <v>46312</v>
      </c>
      <c r="F5243" t="inlineStr">
        <is>
          <t>SKÅNE LÄN</t>
        </is>
      </c>
      <c r="G5243" t="inlineStr">
        <is>
          <t>KLIPPAN</t>
        </is>
      </c>
      <c r="I5243" t="n">
        <v>48.2</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S 2889-2025</t>
        </is>
      </c>
      <c r="B5244" t="inlineStr">
        <is>
          <t>samrådsanmälan</t>
        </is>
      </c>
      <c r="C5244" t="inlineStr">
        <is>
          <t>Askåterföring</t>
        </is>
      </c>
      <c r="D5244" s="1" t="n">
        <v>45946</v>
      </c>
      <c r="E5244" s="1" t="n">
        <v>46312</v>
      </c>
      <c r="F5244" t="inlineStr">
        <is>
          <t>SKÅNE LÄN</t>
        </is>
      </c>
      <c r="G5244" t="inlineStr">
        <is>
          <t>KRISTIANSTAD</t>
        </is>
      </c>
      <c r="I5244" t="n">
        <v>43.6</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S 3028-2025</t>
        </is>
      </c>
      <c r="B5245" t="inlineStr">
        <is>
          <t>samrådsanmälan</t>
        </is>
      </c>
      <c r="C5245" t="inlineStr">
        <is>
          <t>Askåterföring</t>
        </is>
      </c>
      <c r="D5245" s="1" t="n">
        <v>45960</v>
      </c>
      <c r="E5245" s="1" t="n">
        <v>46312</v>
      </c>
      <c r="F5245" t="inlineStr">
        <is>
          <t>SKÅNE LÄN</t>
        </is>
      </c>
      <c r="G5245" t="inlineStr">
        <is>
          <t>HÄSSLEHOLM</t>
        </is>
      </c>
      <c r="I5245" t="n">
        <v>16.7</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S 3098-2025</t>
        </is>
      </c>
      <c r="B5246" t="inlineStr">
        <is>
          <t>samrådsanmälan</t>
        </is>
      </c>
      <c r="C5246" t="inlineStr">
        <is>
          <t>Askåterföring</t>
        </is>
      </c>
      <c r="D5246" s="1" t="n">
        <v>45966</v>
      </c>
      <c r="E5246" s="1" t="n">
        <v>46312</v>
      </c>
      <c r="F5246" t="inlineStr">
        <is>
          <t>SKÅNE LÄN</t>
        </is>
      </c>
      <c r="G5246" t="inlineStr">
        <is>
          <t>HÄSSLEHOLM</t>
        </is>
      </c>
      <c r="I5246" t="n">
        <v>12.9</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S 3097-2025</t>
        </is>
      </c>
      <c r="B5247" t="inlineStr">
        <is>
          <t>samrådsanmälan</t>
        </is>
      </c>
      <c r="C5247" t="inlineStr">
        <is>
          <t>Askåterföring</t>
        </is>
      </c>
      <c r="D5247" s="1" t="n">
        <v>45966</v>
      </c>
      <c r="E5247" s="1" t="n">
        <v>46312</v>
      </c>
      <c r="F5247" t="inlineStr">
        <is>
          <t>SKÅNE LÄN</t>
        </is>
      </c>
      <c r="G5247" t="inlineStr">
        <is>
          <t>HÄSSLEHOLM</t>
        </is>
      </c>
      <c r="I5247" t="n">
        <v>16.6</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S 3154-2025</t>
        </is>
      </c>
      <c r="B5248" t="inlineStr">
        <is>
          <t>samrådsanmälan</t>
        </is>
      </c>
      <c r="C5248" t="inlineStr">
        <is>
          <t>Annan skogsbruksåtgärd</t>
        </is>
      </c>
      <c r="D5248" s="1" t="n">
        <v>45973</v>
      </c>
      <c r="E5248" s="1" t="n">
        <v>46312</v>
      </c>
      <c r="F5248" t="inlineStr">
        <is>
          <t>SKÅNE LÄN</t>
        </is>
      </c>
      <c r="G5248" t="inlineStr">
        <is>
          <t>ÖSTRA GÖINGE</t>
        </is>
      </c>
      <c r="H5248" t="inlineStr">
        <is>
          <t>Sveaskog</t>
        </is>
      </c>
      <c r="I5248" t="n">
        <v>4</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S 3150-2025</t>
        </is>
      </c>
      <c r="B5249" t="inlineStr">
        <is>
          <t>samrådsanmälan</t>
        </is>
      </c>
      <c r="C5249" t="inlineStr">
        <is>
          <t>Askåterföring</t>
        </is>
      </c>
      <c r="D5249" s="1" t="n">
        <v>45973</v>
      </c>
      <c r="E5249" s="1" t="n">
        <v>46312</v>
      </c>
      <c r="F5249" t="inlineStr">
        <is>
          <t>SKÅNE LÄN</t>
        </is>
      </c>
      <c r="G5249" t="inlineStr">
        <is>
          <t>HÄSSLEHOLM</t>
        </is>
      </c>
      <c r="I5249" t="n">
        <v>16.9</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S 3153-2025</t>
        </is>
      </c>
      <c r="B5250" t="inlineStr">
        <is>
          <t>samrådsanmälan</t>
        </is>
      </c>
      <c r="C5250" t="inlineStr">
        <is>
          <t>Annan skogsbruksåtgärd</t>
        </is>
      </c>
      <c r="D5250" s="1" t="n">
        <v>45973</v>
      </c>
      <c r="E5250" s="1" t="n">
        <v>46312</v>
      </c>
      <c r="F5250" t="inlineStr">
        <is>
          <t>SKÅNE LÄN</t>
        </is>
      </c>
      <c r="G5250" t="inlineStr">
        <is>
          <t>ÖSTRA GÖINGE</t>
        </is>
      </c>
      <c r="H5250" t="inlineStr">
        <is>
          <t>Sveaskog</t>
        </is>
      </c>
      <c r="I5250" t="n">
        <v>1.5</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S 3221-2025</t>
        </is>
      </c>
      <c r="B5251" t="inlineStr">
        <is>
          <t>samrådsanmälan</t>
        </is>
      </c>
      <c r="C5251" t="inlineStr">
        <is>
          <t>Askåterföring</t>
        </is>
      </c>
      <c r="D5251" s="1" t="n">
        <v>45980</v>
      </c>
      <c r="E5251" s="1" t="n">
        <v>46312</v>
      </c>
      <c r="F5251" t="inlineStr">
        <is>
          <t>SKÅNE LÄN</t>
        </is>
      </c>
      <c r="G5251" t="inlineStr">
        <is>
          <t>OSBY</t>
        </is>
      </c>
      <c r="I5251" t="n">
        <v>4.1</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S 3440-2025</t>
        </is>
      </c>
      <c r="B5252" t="inlineStr">
        <is>
          <t>samrådsanmälan</t>
        </is>
      </c>
      <c r="C5252" t="inlineStr">
        <is>
          <t>Askåterföring</t>
        </is>
      </c>
      <c r="D5252" s="1" t="n">
        <v>45999</v>
      </c>
      <c r="E5252" s="1" t="n">
        <v>46312</v>
      </c>
      <c r="F5252" t="inlineStr">
        <is>
          <t>SKÅNE LÄN</t>
        </is>
      </c>
      <c r="G5252" t="inlineStr">
        <is>
          <t>HÄSSLEHOLM</t>
        </is>
      </c>
      <c r="I5252" t="n">
        <v>8.800000000000001</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S 3504-2025</t>
        </is>
      </c>
      <c r="B5253" t="inlineStr">
        <is>
          <t>samrådsanmälan</t>
        </is>
      </c>
      <c r="C5253" t="inlineStr">
        <is>
          <t>Annan skogsbruksåtgärd</t>
        </is>
      </c>
      <c r="D5253" s="1" t="n">
        <v>46003</v>
      </c>
      <c r="E5253" s="1" t="n">
        <v>46312</v>
      </c>
      <c r="F5253" t="inlineStr">
        <is>
          <t>SKÅNE LÄN</t>
        </is>
      </c>
      <c r="G5253" t="inlineStr">
        <is>
          <t>SJÖBO</t>
        </is>
      </c>
      <c r="I5253" t="n">
        <v>0.2</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S 46-2026</t>
        </is>
      </c>
      <c r="B5254" t="inlineStr">
        <is>
          <t>samrådsanmälan</t>
        </is>
      </c>
      <c r="C5254" t="inlineStr">
        <is>
          <t>Askåterföring</t>
        </is>
      </c>
      <c r="D5254" s="1" t="n">
        <v>46030</v>
      </c>
      <c r="E5254" s="1" t="n">
        <v>46312</v>
      </c>
      <c r="F5254" t="inlineStr">
        <is>
          <t>SKÅNE LÄN</t>
        </is>
      </c>
      <c r="G5254" t="inlineStr">
        <is>
          <t>PERSTORP</t>
        </is>
      </c>
      <c r="I5254" t="n">
        <v>5.3</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S 25-2026</t>
        </is>
      </c>
      <c r="B5255" t="inlineStr">
        <is>
          <t>samrådsanmälan</t>
        </is>
      </c>
      <c r="C5255" t="inlineStr">
        <is>
          <t>Askåterföring</t>
        </is>
      </c>
      <c r="D5255" s="1" t="n">
        <v>46030</v>
      </c>
      <c r="E5255" s="1" t="n">
        <v>46312</v>
      </c>
      <c r="F5255" t="inlineStr">
        <is>
          <t>SKÅNE LÄN</t>
        </is>
      </c>
      <c r="G5255" t="inlineStr">
        <is>
          <t>OSBY</t>
        </is>
      </c>
      <c r="I5255" t="n">
        <v>11.5</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S 31-2026</t>
        </is>
      </c>
      <c r="B5256" t="inlineStr">
        <is>
          <t>samrådsanmälan</t>
        </is>
      </c>
      <c r="C5256" t="inlineStr">
        <is>
          <t>Askåterföring</t>
        </is>
      </c>
      <c r="D5256" s="1" t="n">
        <v>46030</v>
      </c>
      <c r="E5256" s="1" t="n">
        <v>46312</v>
      </c>
      <c r="F5256" t="inlineStr">
        <is>
          <t>SKÅNE LÄN</t>
        </is>
      </c>
      <c r="G5256" t="inlineStr">
        <is>
          <t>ÖSTRA GÖINGE</t>
        </is>
      </c>
      <c r="I5256" t="n">
        <v>14.3</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S 30-2026</t>
        </is>
      </c>
      <c r="B5257" t="inlineStr">
        <is>
          <t>samrådsanmälan</t>
        </is>
      </c>
      <c r="C5257" t="inlineStr">
        <is>
          <t>Askåterföring</t>
        </is>
      </c>
      <c r="D5257" s="1" t="n">
        <v>46030</v>
      </c>
      <c r="E5257" s="1" t="n">
        <v>46312</v>
      </c>
      <c r="F5257" t="inlineStr">
        <is>
          <t>SKÅNE LÄN</t>
        </is>
      </c>
      <c r="G5257" t="inlineStr">
        <is>
          <t>ÖSTRA GÖINGE</t>
        </is>
      </c>
      <c r="I5257" t="n">
        <v>16.4</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S 83-2026</t>
        </is>
      </c>
      <c r="B5258" t="inlineStr">
        <is>
          <t>samrådsanmälan</t>
        </is>
      </c>
      <c r="C5258" t="inlineStr">
        <is>
          <t>Askåterföring</t>
        </is>
      </c>
      <c r="D5258" s="1" t="n">
        <v>46034</v>
      </c>
      <c r="E5258" s="1" t="n">
        <v>46312</v>
      </c>
      <c r="F5258" t="inlineStr">
        <is>
          <t>SKÅNE LÄN</t>
        </is>
      </c>
      <c r="G5258" t="inlineStr">
        <is>
          <t>KLIPPAN</t>
        </is>
      </c>
      <c r="I5258" t="n">
        <v>8.9</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S 154-2026</t>
        </is>
      </c>
      <c r="B5259" t="inlineStr">
        <is>
          <t>samrådsanmälan</t>
        </is>
      </c>
      <c r="C5259" t="inlineStr">
        <is>
          <t>Askåterföring</t>
        </is>
      </c>
      <c r="D5259" s="1" t="n">
        <v>46043</v>
      </c>
      <c r="E5259" s="1" t="n">
        <v>46312</v>
      </c>
      <c r="F5259" t="inlineStr">
        <is>
          <t>SKÅNE LÄN</t>
        </is>
      </c>
      <c r="G5259" t="inlineStr">
        <is>
          <t>HÄSSLEHOLM</t>
        </is>
      </c>
      <c r="H5259" t="inlineStr">
        <is>
          <t>Övriga Aktiebolag</t>
        </is>
      </c>
      <c r="I5259" t="n">
        <v>5.9</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S 155-2026</t>
        </is>
      </c>
      <c r="B5260" t="inlineStr">
        <is>
          <t>samrådsanmälan</t>
        </is>
      </c>
      <c r="C5260" t="inlineStr">
        <is>
          <t>Askåterföring</t>
        </is>
      </c>
      <c r="D5260" s="1" t="n">
        <v>46043</v>
      </c>
      <c r="E5260" s="1" t="n">
        <v>46312</v>
      </c>
      <c r="F5260" t="inlineStr">
        <is>
          <t>SKÅNE LÄN</t>
        </is>
      </c>
      <c r="G5260" t="inlineStr">
        <is>
          <t>PERSTORP</t>
        </is>
      </c>
      <c r="H5260" t="inlineStr">
        <is>
          <t>Övriga Aktiebolag</t>
        </is>
      </c>
      <c r="I5260" t="n">
        <v>20</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S 144-2026</t>
        </is>
      </c>
      <c r="B5261" t="inlineStr">
        <is>
          <t>samrådsanmälan</t>
        </is>
      </c>
      <c r="C5261" t="inlineStr">
        <is>
          <t>Askåterföring</t>
        </is>
      </c>
      <c r="D5261" s="1" t="n">
        <v>46042</v>
      </c>
      <c r="E5261" s="1" t="n">
        <v>46312</v>
      </c>
      <c r="F5261" t="inlineStr">
        <is>
          <t>SKÅNE LÄN</t>
        </is>
      </c>
      <c r="G5261" t="inlineStr">
        <is>
          <t>HÖRBY</t>
        </is>
      </c>
      <c r="I5261" t="n">
        <v>18.3</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S 153-2026</t>
        </is>
      </c>
      <c r="B5262" t="inlineStr">
        <is>
          <t>samrådsanmälan</t>
        </is>
      </c>
      <c r="C5262" t="inlineStr">
        <is>
          <t>Askåterföring</t>
        </is>
      </c>
      <c r="D5262" s="1" t="n">
        <v>46043</v>
      </c>
      <c r="E5262" s="1" t="n">
        <v>46312</v>
      </c>
      <c r="F5262" t="inlineStr">
        <is>
          <t>SKÅNE LÄN</t>
        </is>
      </c>
      <c r="G5262" t="inlineStr">
        <is>
          <t>HÄSSLEHOLM</t>
        </is>
      </c>
      <c r="H5262" t="inlineStr">
        <is>
          <t>Övriga Aktiebolag</t>
        </is>
      </c>
      <c r="I5262" t="n">
        <v>14.4</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S 166-2026</t>
        </is>
      </c>
      <c r="B5263" t="inlineStr">
        <is>
          <t>samrådsanmälan</t>
        </is>
      </c>
      <c r="C5263" t="inlineStr">
        <is>
          <t>Askåterföring</t>
        </is>
      </c>
      <c r="D5263" s="1" t="n">
        <v>46044</v>
      </c>
      <c r="E5263" s="1" t="n">
        <v>46312</v>
      </c>
      <c r="F5263" t="inlineStr">
        <is>
          <t>SKÅNE LÄN</t>
        </is>
      </c>
      <c r="G5263" t="inlineStr">
        <is>
          <t>KLIPPAN</t>
        </is>
      </c>
      <c r="H5263" t="inlineStr">
        <is>
          <t>Övriga Aktiebolag</t>
        </is>
      </c>
      <c r="I5263" t="n">
        <v>4.2</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S 165-2026</t>
        </is>
      </c>
      <c r="B5264" t="inlineStr">
        <is>
          <t>samrådsanmälan</t>
        </is>
      </c>
      <c r="C5264" t="inlineStr">
        <is>
          <t>Askåterföring</t>
        </is>
      </c>
      <c r="D5264" s="1" t="n">
        <v>46044</v>
      </c>
      <c r="E5264" s="1" t="n">
        <v>46312</v>
      </c>
      <c r="F5264" t="inlineStr">
        <is>
          <t>SKÅNE LÄN</t>
        </is>
      </c>
      <c r="G5264" t="inlineStr">
        <is>
          <t>HÄSSLEHOLM</t>
        </is>
      </c>
      <c r="H5264" t="inlineStr">
        <is>
          <t>Övriga Aktiebolag</t>
        </is>
      </c>
      <c r="I5264" t="n">
        <v>14.4</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S 172-2026</t>
        </is>
      </c>
      <c r="B5265" t="inlineStr">
        <is>
          <t>samrådsanmälan</t>
        </is>
      </c>
      <c r="C5265" t="inlineStr">
        <is>
          <t>Askåterföring</t>
        </is>
      </c>
      <c r="D5265" s="1" t="n">
        <v>46044</v>
      </c>
      <c r="E5265" s="1" t="n">
        <v>46312</v>
      </c>
      <c r="F5265" t="inlineStr">
        <is>
          <t>SKÅNE LÄN</t>
        </is>
      </c>
      <c r="G5265" t="inlineStr">
        <is>
          <t>PERSTORP</t>
        </is>
      </c>
      <c r="H5265" t="inlineStr">
        <is>
          <t>Övriga Aktiebolag</t>
        </is>
      </c>
      <c r="I5265" t="n">
        <v>21.6</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S 164-2026</t>
        </is>
      </c>
      <c r="B5266" t="inlineStr">
        <is>
          <t>samrådsanmälan</t>
        </is>
      </c>
      <c r="C5266" t="inlineStr">
        <is>
          <t>Askåterföring</t>
        </is>
      </c>
      <c r="D5266" s="1" t="n">
        <v>46044</v>
      </c>
      <c r="E5266" s="1" t="n">
        <v>46312</v>
      </c>
      <c r="F5266" t="inlineStr">
        <is>
          <t>SKÅNE LÄN</t>
        </is>
      </c>
      <c r="G5266" t="inlineStr">
        <is>
          <t>PERSTORP</t>
        </is>
      </c>
      <c r="H5266" t="inlineStr">
        <is>
          <t>Övriga Aktiebolag</t>
        </is>
      </c>
      <c r="I5266" t="n">
        <v>19.8</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S 168-2026</t>
        </is>
      </c>
      <c r="B5267" t="inlineStr">
        <is>
          <t>samrådsanmälan</t>
        </is>
      </c>
      <c r="C5267" t="inlineStr">
        <is>
          <t>Askåterföring</t>
        </is>
      </c>
      <c r="D5267" s="1" t="n">
        <v>46044</v>
      </c>
      <c r="E5267" s="1" t="n">
        <v>46312</v>
      </c>
      <c r="F5267" t="inlineStr">
        <is>
          <t>SKÅNE LÄN</t>
        </is>
      </c>
      <c r="G5267" t="inlineStr">
        <is>
          <t>PERSTORP</t>
        </is>
      </c>
      <c r="H5267" t="inlineStr">
        <is>
          <t>Övriga Aktiebolag</t>
        </is>
      </c>
      <c r="I5267" t="n">
        <v>5.4</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S 169-2026</t>
        </is>
      </c>
      <c r="B5268" t="inlineStr">
        <is>
          <t>samrådsanmälan</t>
        </is>
      </c>
      <c r="C5268" t="inlineStr">
        <is>
          <t>Askåterföring</t>
        </is>
      </c>
      <c r="D5268" s="1" t="n">
        <v>46044</v>
      </c>
      <c r="E5268" s="1" t="n">
        <v>46312</v>
      </c>
      <c r="F5268" t="inlineStr">
        <is>
          <t>SKÅNE LÄN</t>
        </is>
      </c>
      <c r="G5268" t="inlineStr">
        <is>
          <t>PERSTORP</t>
        </is>
      </c>
      <c r="H5268" t="inlineStr">
        <is>
          <t>Övriga Aktiebolag</t>
        </is>
      </c>
      <c r="I5268" t="n">
        <v>8.199999999999999</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S 167-2026</t>
        </is>
      </c>
      <c r="B5269" t="inlineStr">
        <is>
          <t>samrådsanmälan</t>
        </is>
      </c>
      <c r="C5269" t="inlineStr">
        <is>
          <t>Askåterföring</t>
        </is>
      </c>
      <c r="D5269" s="1" t="n">
        <v>46044</v>
      </c>
      <c r="E5269" s="1" t="n">
        <v>46312</v>
      </c>
      <c r="F5269" t="inlineStr">
        <is>
          <t>SKÅNE LÄN</t>
        </is>
      </c>
      <c r="G5269" t="inlineStr">
        <is>
          <t>HÄSSLEHOLM</t>
        </is>
      </c>
      <c r="H5269" t="inlineStr">
        <is>
          <t>Övriga Aktiebolag</t>
        </is>
      </c>
      <c r="I5269" t="n">
        <v>36.1</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S 222-2026</t>
        </is>
      </c>
      <c r="B5270" t="inlineStr">
        <is>
          <t>samrådsanmälan</t>
        </is>
      </c>
      <c r="C5270" t="inlineStr">
        <is>
          <t>Askåterföring</t>
        </is>
      </c>
      <c r="D5270" s="1" t="n">
        <v>46049</v>
      </c>
      <c r="E5270" s="1" t="n">
        <v>46312</v>
      </c>
      <c r="F5270" t="inlineStr">
        <is>
          <t>SKÅNE LÄN</t>
        </is>
      </c>
      <c r="G5270" t="inlineStr">
        <is>
          <t>OSBY</t>
        </is>
      </c>
      <c r="I5270" t="n">
        <v>26.8</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S 232-2026</t>
        </is>
      </c>
      <c r="B5271" t="inlineStr">
        <is>
          <t>samrådsanmälan</t>
        </is>
      </c>
      <c r="C5271" t="inlineStr">
        <is>
          <t>Askåterföring</t>
        </is>
      </c>
      <c r="D5271" s="1" t="n">
        <v>46051</v>
      </c>
      <c r="E5271" s="1" t="n">
        <v>46312</v>
      </c>
      <c r="F5271" t="inlineStr">
        <is>
          <t>SKÅNE LÄN</t>
        </is>
      </c>
      <c r="G5271" t="inlineStr">
        <is>
          <t>HÄSSLEHOLM</t>
        </is>
      </c>
      <c r="I5271" t="n">
        <v>14.2</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S 293-2026</t>
        </is>
      </c>
      <c r="B5272" t="inlineStr">
        <is>
          <t>samrådsanmälan</t>
        </is>
      </c>
      <c r="C5272" t="inlineStr">
        <is>
          <t>Askåterföring</t>
        </is>
      </c>
      <c r="D5272" s="1" t="n">
        <v>46057</v>
      </c>
      <c r="E5272" s="1" t="n">
        <v>46312</v>
      </c>
      <c r="F5272" t="inlineStr">
        <is>
          <t>SKÅNE LÄN</t>
        </is>
      </c>
      <c r="G5272" t="inlineStr">
        <is>
          <t>ÖRKELLJUNGA</t>
        </is>
      </c>
      <c r="I5272" t="n">
        <v>40.7</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S 307-2026</t>
        </is>
      </c>
      <c r="B5273" t="inlineStr">
        <is>
          <t>samrådsanmälan</t>
        </is>
      </c>
      <c r="C5273" t="inlineStr">
        <is>
          <t>Annan skogsbruksåtgärd</t>
        </is>
      </c>
      <c r="D5273" s="1" t="n">
        <v>46059</v>
      </c>
      <c r="E5273" s="1" t="n">
        <v>46312</v>
      </c>
      <c r="F5273" t="inlineStr">
        <is>
          <t>SKÅNE LÄN</t>
        </is>
      </c>
      <c r="G5273" t="inlineStr">
        <is>
          <t>SJÖBO</t>
        </is>
      </c>
      <c r="H5273" t="inlineStr">
        <is>
          <t>Sveaskog</t>
        </is>
      </c>
      <c r="I5273" t="n">
        <v>0.9</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S 306-2026</t>
        </is>
      </c>
      <c r="B5274" t="inlineStr">
        <is>
          <t>samrådsanmälan</t>
        </is>
      </c>
      <c r="C5274" t="inlineStr">
        <is>
          <t>Askåterföring</t>
        </is>
      </c>
      <c r="D5274" s="1" t="n">
        <v>46058</v>
      </c>
      <c r="E5274" s="1" t="n">
        <v>46312</v>
      </c>
      <c r="F5274" t="inlineStr">
        <is>
          <t>SKÅNE LÄN</t>
        </is>
      </c>
      <c r="G5274" t="inlineStr">
        <is>
          <t>PERSTORP</t>
        </is>
      </c>
      <c r="I5274" t="n">
        <v>27.6</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S 368-2026</t>
        </is>
      </c>
      <c r="B5275" t="inlineStr">
        <is>
          <t>samrådsanmälan</t>
        </is>
      </c>
      <c r="C5275" t="inlineStr">
        <is>
          <t>Askåterföring</t>
        </is>
      </c>
      <c r="D5275" s="1" t="n">
        <v>46064</v>
      </c>
      <c r="E5275" s="1" t="n">
        <v>46312</v>
      </c>
      <c r="F5275" t="inlineStr">
        <is>
          <t>SKÅNE LÄN</t>
        </is>
      </c>
      <c r="G5275" t="inlineStr">
        <is>
          <t>HÄSSLEHOLM</t>
        </is>
      </c>
      <c r="I5275" t="n">
        <v>33.4</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S 458-2026</t>
        </is>
      </c>
      <c r="B5276" t="inlineStr">
        <is>
          <t>samrådsanmälan</t>
        </is>
      </c>
      <c r="C5276" t="inlineStr">
        <is>
          <t>Askåterföring</t>
        </is>
      </c>
      <c r="D5276" s="1" t="n">
        <v>46073</v>
      </c>
      <c r="E5276" s="1" t="n">
        <v>46312</v>
      </c>
      <c r="F5276" t="inlineStr">
        <is>
          <t>SKÅNE LÄN</t>
        </is>
      </c>
      <c r="G5276" t="inlineStr">
        <is>
          <t>SIMRISHAMN</t>
        </is>
      </c>
      <c r="I5276" t="n">
        <v>11.5</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S 461-2026</t>
        </is>
      </c>
      <c r="B5277" t="inlineStr">
        <is>
          <t>samrådsanmälan</t>
        </is>
      </c>
      <c r="C5277" t="inlineStr">
        <is>
          <t>Askåterföring</t>
        </is>
      </c>
      <c r="D5277" s="1" t="n">
        <v>46073</v>
      </c>
      <c r="E5277" s="1" t="n">
        <v>46312</v>
      </c>
      <c r="F5277" t="inlineStr">
        <is>
          <t>SKÅNE LÄN</t>
        </is>
      </c>
      <c r="G5277" t="inlineStr">
        <is>
          <t>HÄSSLEHOLM</t>
        </is>
      </c>
      <c r="I5277" t="n">
        <v>5.6</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S 462-2026</t>
        </is>
      </c>
      <c r="B5278" t="inlineStr">
        <is>
          <t>samrådsanmälan</t>
        </is>
      </c>
      <c r="C5278" t="inlineStr">
        <is>
          <t>Askåterföring</t>
        </is>
      </c>
      <c r="D5278" s="1" t="n">
        <v>46073</v>
      </c>
      <c r="E5278" s="1" t="n">
        <v>46312</v>
      </c>
      <c r="F5278" t="inlineStr">
        <is>
          <t>SKÅNE LÄN</t>
        </is>
      </c>
      <c r="G5278" t="inlineStr">
        <is>
          <t>HÄSSLEHOLM</t>
        </is>
      </c>
      <c r="I5278" t="n">
        <v>6.5</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S 509-2026</t>
        </is>
      </c>
      <c r="B5279" t="inlineStr">
        <is>
          <t>samrådsanmälan</t>
        </is>
      </c>
      <c r="C5279" t="inlineStr">
        <is>
          <t>Askåterföring</t>
        </is>
      </c>
      <c r="D5279" s="1" t="n">
        <v>46077</v>
      </c>
      <c r="E5279" s="1" t="n">
        <v>46312</v>
      </c>
      <c r="F5279" t="inlineStr">
        <is>
          <t>SKÅNE LÄN</t>
        </is>
      </c>
      <c r="G5279" t="inlineStr">
        <is>
          <t>ÖSTRA GÖINGE</t>
        </is>
      </c>
      <c r="I5279" t="n">
        <v>10</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S 533-2026</t>
        </is>
      </c>
      <c r="B5280" t="inlineStr">
        <is>
          <t>samrådsanmälan</t>
        </is>
      </c>
      <c r="C5280" t="inlineStr">
        <is>
          <t>Askåterföring</t>
        </is>
      </c>
      <c r="D5280" s="1" t="n">
        <v>46079</v>
      </c>
      <c r="E5280" s="1" t="n">
        <v>46312</v>
      </c>
      <c r="F5280" t="inlineStr">
        <is>
          <t>SKÅNE LÄN</t>
        </is>
      </c>
      <c r="G5280" t="inlineStr">
        <is>
          <t>HÄSSLEHOLM</t>
        </is>
      </c>
      <c r="I5280" t="n">
        <v>14.6</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S 534-2026</t>
        </is>
      </c>
      <c r="B5281" t="inlineStr">
        <is>
          <t>samrådsanmälan</t>
        </is>
      </c>
      <c r="C5281" t="inlineStr">
        <is>
          <t>Askåterföring</t>
        </is>
      </c>
      <c r="D5281" s="1" t="n">
        <v>46079</v>
      </c>
      <c r="E5281" s="1" t="n">
        <v>46312</v>
      </c>
      <c r="F5281" t="inlineStr">
        <is>
          <t>SKÅNE LÄN</t>
        </is>
      </c>
      <c r="G5281" t="inlineStr">
        <is>
          <t>HÄSSLEHOLM</t>
        </is>
      </c>
      <c r="I5281" t="n">
        <v>10.2</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S 671-2026</t>
        </is>
      </c>
      <c r="B5282" t="inlineStr">
        <is>
          <t>samrådsanmälan</t>
        </is>
      </c>
      <c r="C5282" t="inlineStr">
        <is>
          <t>Askåterföring</t>
        </is>
      </c>
      <c r="D5282" s="1" t="n">
        <v>46091</v>
      </c>
      <c r="E5282" s="1" t="n">
        <v>46312</v>
      </c>
      <c r="F5282" t="inlineStr">
        <is>
          <t>SKÅNE LÄN</t>
        </is>
      </c>
      <c r="G5282" t="inlineStr">
        <is>
          <t>HÄSSLEHOLM</t>
        </is>
      </c>
      <c r="I5282" t="n">
        <v>42.8</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S 718-2026</t>
        </is>
      </c>
      <c r="B5283" t="inlineStr">
        <is>
          <t>samrådsanmälan</t>
        </is>
      </c>
      <c r="C5283" t="inlineStr">
        <is>
          <t>Askåterföring</t>
        </is>
      </c>
      <c r="D5283" s="1" t="n">
        <v>46093</v>
      </c>
      <c r="E5283" s="1" t="n">
        <v>46312</v>
      </c>
      <c r="F5283" t="inlineStr">
        <is>
          <t>SKÅNE LÄN</t>
        </is>
      </c>
      <c r="G5283" t="inlineStr">
        <is>
          <t>ÖRKELLJUNGA</t>
        </is>
      </c>
      <c r="I5283" t="n">
        <v>8.699999999999999</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S 716-2026</t>
        </is>
      </c>
      <c r="B5284" t="inlineStr">
        <is>
          <t>samrådsanmälan</t>
        </is>
      </c>
      <c r="C5284" t="inlineStr">
        <is>
          <t>Askåterföring</t>
        </is>
      </c>
      <c r="D5284" s="1" t="n">
        <v>46093</v>
      </c>
      <c r="E5284" s="1" t="n">
        <v>46312</v>
      </c>
      <c r="F5284" t="inlineStr">
        <is>
          <t>SKÅNE LÄN</t>
        </is>
      </c>
      <c r="G5284" t="inlineStr">
        <is>
          <t>HÄSSLEHOLM</t>
        </is>
      </c>
      <c r="I5284" t="n">
        <v>5.5</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S 717-2026</t>
        </is>
      </c>
      <c r="B5285" t="inlineStr">
        <is>
          <t>samrådsanmälan</t>
        </is>
      </c>
      <c r="C5285" t="inlineStr">
        <is>
          <t>Askåterföring</t>
        </is>
      </c>
      <c r="D5285" s="1" t="n">
        <v>46093</v>
      </c>
      <c r="E5285" s="1" t="n">
        <v>46312</v>
      </c>
      <c r="F5285" t="inlineStr">
        <is>
          <t>SKÅNE LÄN</t>
        </is>
      </c>
      <c r="G5285" t="inlineStr">
        <is>
          <t>HÄSSLEHOLM</t>
        </is>
      </c>
      <c r="I5285" t="n">
        <v>1.7</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S 755-2026</t>
        </is>
      </c>
      <c r="B5286" t="inlineStr">
        <is>
          <t>samrådsanmälan</t>
        </is>
      </c>
      <c r="C5286" t="inlineStr">
        <is>
          <t>Askåterföring</t>
        </is>
      </c>
      <c r="D5286" s="1" t="n">
        <v>46097</v>
      </c>
      <c r="E5286" s="1" t="n">
        <v>46312</v>
      </c>
      <c r="F5286" t="inlineStr">
        <is>
          <t>SKÅNE LÄN</t>
        </is>
      </c>
      <c r="G5286" t="inlineStr">
        <is>
          <t>ÖRKELLJUNGA</t>
        </is>
      </c>
      <c r="I5286" t="n">
        <v>14.3</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S 797-2026</t>
        </is>
      </c>
      <c r="B5287" t="inlineStr">
        <is>
          <t>samrådsanmälan</t>
        </is>
      </c>
      <c r="C5287" t="inlineStr">
        <is>
          <t>Askåterföring</t>
        </is>
      </c>
      <c r="D5287" s="1" t="n">
        <v>46100</v>
      </c>
      <c r="E5287" s="1" t="n">
        <v>46312</v>
      </c>
      <c r="F5287" t="inlineStr">
        <is>
          <t>SKÅNE LÄN</t>
        </is>
      </c>
      <c r="G5287" t="inlineStr">
        <is>
          <t>HÄSSLEHOLM</t>
        </is>
      </c>
      <c r="I5287" t="n">
        <v>37.5</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S 792-2026</t>
        </is>
      </c>
      <c r="B5288" t="inlineStr">
        <is>
          <t>samrådsanmälan</t>
        </is>
      </c>
      <c r="C5288" t="inlineStr">
        <is>
          <t>Askåterföring</t>
        </is>
      </c>
      <c r="D5288" s="1" t="n">
        <v>46099</v>
      </c>
      <c r="E5288" s="1" t="n">
        <v>46312</v>
      </c>
      <c r="F5288" t="inlineStr">
        <is>
          <t>SKÅNE LÄN</t>
        </is>
      </c>
      <c r="G5288" t="inlineStr">
        <is>
          <t>HÄSSLEHOLM</t>
        </is>
      </c>
      <c r="I5288" t="n">
        <v>24.8</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S 798-2026</t>
        </is>
      </c>
      <c r="B5289" t="inlineStr">
        <is>
          <t>samrådsanmälan</t>
        </is>
      </c>
      <c r="C5289" t="inlineStr">
        <is>
          <t>Askåterföring</t>
        </is>
      </c>
      <c r="D5289" s="1" t="n">
        <v>46100</v>
      </c>
      <c r="E5289" s="1" t="n">
        <v>46312</v>
      </c>
      <c r="F5289" t="inlineStr">
        <is>
          <t>SKÅNE LÄN</t>
        </is>
      </c>
      <c r="G5289" t="inlineStr">
        <is>
          <t>HÄSSLEHOLM</t>
        </is>
      </c>
      <c r="I5289" t="n">
        <v>14.2</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S 816-2026</t>
        </is>
      </c>
      <c r="B5290" t="inlineStr">
        <is>
          <t>samrådsanmälan</t>
        </is>
      </c>
      <c r="C5290" t="inlineStr">
        <is>
          <t>Askåterföring</t>
        </is>
      </c>
      <c r="D5290" s="1" t="n">
        <v>46104</v>
      </c>
      <c r="E5290" s="1" t="n">
        <v>46312</v>
      </c>
      <c r="F5290" t="inlineStr">
        <is>
          <t>SKÅNE LÄN</t>
        </is>
      </c>
      <c r="G5290" t="inlineStr">
        <is>
          <t>ÖSTRA GÖINGE</t>
        </is>
      </c>
      <c r="I5290" t="n">
        <v>5.3</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S 815-2026</t>
        </is>
      </c>
      <c r="B5291" t="inlineStr">
        <is>
          <t>samrådsanmälan</t>
        </is>
      </c>
      <c r="C5291" t="inlineStr">
        <is>
          <t>Askåterföring</t>
        </is>
      </c>
      <c r="D5291" s="1" t="n">
        <v>46104</v>
      </c>
      <c r="E5291" s="1" t="n">
        <v>46312</v>
      </c>
      <c r="F5291" t="inlineStr">
        <is>
          <t>SKÅNE LÄN</t>
        </is>
      </c>
      <c r="G5291" t="inlineStr">
        <is>
          <t>OSBY</t>
        </is>
      </c>
      <c r="I5291" t="n">
        <v>6.6</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S 1065-2026</t>
        </is>
      </c>
      <c r="B5292" t="inlineStr">
        <is>
          <t>samrådsanmälan</t>
        </is>
      </c>
      <c r="C5292" t="inlineStr">
        <is>
          <t>Askåterföring</t>
        </is>
      </c>
      <c r="D5292" s="1" t="n">
        <v>46127</v>
      </c>
      <c r="E5292" s="1" t="n">
        <v>46312</v>
      </c>
      <c r="F5292" t="inlineStr">
        <is>
          <t>SKÅNE LÄN</t>
        </is>
      </c>
      <c r="G5292" t="inlineStr">
        <is>
          <t>BROMÖLLA</t>
        </is>
      </c>
      <c r="I5292" t="n">
        <v>4.2</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S 1064-2026</t>
        </is>
      </c>
      <c r="B5293" t="inlineStr">
        <is>
          <t>samrådsanmälan</t>
        </is>
      </c>
      <c r="C5293" t="inlineStr">
        <is>
          <t>Askåterföring</t>
        </is>
      </c>
      <c r="D5293" s="1" t="n">
        <v>46127</v>
      </c>
      <c r="E5293" s="1" t="n">
        <v>46312</v>
      </c>
      <c r="F5293" t="inlineStr">
        <is>
          <t>SKÅNE LÄN</t>
        </is>
      </c>
      <c r="G5293" t="inlineStr">
        <is>
          <t>KRISTIANSTAD</t>
        </is>
      </c>
      <c r="I5293" t="n">
        <v>69.8</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S 1079-2026</t>
        </is>
      </c>
      <c r="B5294" t="inlineStr">
        <is>
          <t>samrådsanmälan</t>
        </is>
      </c>
      <c r="C5294" t="inlineStr">
        <is>
          <t>Askåterföring</t>
        </is>
      </c>
      <c r="D5294" s="1" t="n">
        <v>46129</v>
      </c>
      <c r="E5294" s="1" t="n">
        <v>46312</v>
      </c>
      <c r="F5294" t="inlineStr">
        <is>
          <t>SKÅNE LÄN</t>
        </is>
      </c>
      <c r="G5294" t="inlineStr">
        <is>
          <t>ÖRKELLJUNGA</t>
        </is>
      </c>
      <c r="I5294" t="n">
        <v>11</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S 1063-2026</t>
        </is>
      </c>
      <c r="B5295" t="inlineStr">
        <is>
          <t>samrådsanmälan</t>
        </is>
      </c>
      <c r="C5295" t="inlineStr">
        <is>
          <t>Askåterföring</t>
        </is>
      </c>
      <c r="D5295" s="1" t="n">
        <v>46127</v>
      </c>
      <c r="E5295" s="1" t="n">
        <v>46312</v>
      </c>
      <c r="F5295" t="inlineStr">
        <is>
          <t>SKÅNE LÄN</t>
        </is>
      </c>
      <c r="G5295" t="inlineStr">
        <is>
          <t>HÖÖR</t>
        </is>
      </c>
      <c r="I5295" t="n">
        <v>23.5</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S 1124-2026</t>
        </is>
      </c>
      <c r="B5296" t="inlineStr">
        <is>
          <t>samrådsanmälan</t>
        </is>
      </c>
      <c r="C5296" t="inlineStr">
        <is>
          <t>Askåterföring</t>
        </is>
      </c>
      <c r="D5296" s="1" t="n">
        <v>46134</v>
      </c>
      <c r="E5296" s="1" t="n">
        <v>46312</v>
      </c>
      <c r="F5296" t="inlineStr">
        <is>
          <t>SKÅNE LÄN</t>
        </is>
      </c>
      <c r="G5296" t="inlineStr">
        <is>
          <t>ÖRKELLJUNGA</t>
        </is>
      </c>
      <c r="I5296" t="n">
        <v>30</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S 1131-2026</t>
        </is>
      </c>
      <c r="B5297" t="inlineStr">
        <is>
          <t>samrådsanmälan</t>
        </is>
      </c>
      <c r="C5297" t="inlineStr">
        <is>
          <t>Askåterföring</t>
        </is>
      </c>
      <c r="D5297" s="1" t="n">
        <v>46134</v>
      </c>
      <c r="E5297" s="1" t="n">
        <v>46312</v>
      </c>
      <c r="F5297" t="inlineStr">
        <is>
          <t>SKÅNE LÄN</t>
        </is>
      </c>
      <c r="G5297" t="inlineStr">
        <is>
          <t>OSBY</t>
        </is>
      </c>
      <c r="I5297" t="n">
        <v>11.5</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S 1126-2026</t>
        </is>
      </c>
      <c r="B5298" t="inlineStr">
        <is>
          <t>samrådsanmälan</t>
        </is>
      </c>
      <c r="C5298" t="inlineStr">
        <is>
          <t>Askåterföring</t>
        </is>
      </c>
      <c r="D5298" s="1" t="n">
        <v>46134</v>
      </c>
      <c r="E5298" s="1" t="n">
        <v>46312</v>
      </c>
      <c r="F5298" t="inlineStr">
        <is>
          <t>SKÅNE LÄN</t>
        </is>
      </c>
      <c r="G5298" t="inlineStr">
        <is>
          <t>OSBY</t>
        </is>
      </c>
      <c r="I5298" t="n">
        <v>11.6</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S 1178-2026</t>
        </is>
      </c>
      <c r="B5299" t="inlineStr">
        <is>
          <t>samrådsanmälan</t>
        </is>
      </c>
      <c r="C5299" t="inlineStr">
        <is>
          <t>Askåterföring</t>
        </is>
      </c>
      <c r="D5299" s="1" t="n">
        <v>46136</v>
      </c>
      <c r="E5299" s="1" t="n">
        <v>46312</v>
      </c>
      <c r="F5299" t="inlineStr">
        <is>
          <t>SKÅNE LÄN</t>
        </is>
      </c>
      <c r="G5299" t="inlineStr">
        <is>
          <t>PERSTORP</t>
        </is>
      </c>
      <c r="I5299" t="n">
        <v>8.1</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S 1210-2026</t>
        </is>
      </c>
      <c r="B5300" t="inlineStr">
        <is>
          <t>samrådsanmälan</t>
        </is>
      </c>
      <c r="C5300" t="inlineStr">
        <is>
          <t>Annan skogsbruksåtgärd</t>
        </is>
      </c>
      <c r="D5300" s="1" t="n">
        <v>46141</v>
      </c>
      <c r="E5300" s="1" t="n">
        <v>46312</v>
      </c>
      <c r="F5300" t="inlineStr">
        <is>
          <t>SKÅNE LÄN</t>
        </is>
      </c>
      <c r="G5300" t="inlineStr">
        <is>
          <t>KRISTIANSTAD</t>
        </is>
      </c>
      <c r="H5300" t="inlineStr">
        <is>
          <t>Sveaskog</t>
        </is>
      </c>
      <c r="I5300" t="n">
        <v>2.1</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S 1336-2026</t>
        </is>
      </c>
      <c r="B5301" t="inlineStr">
        <is>
          <t>samrådsanmälan</t>
        </is>
      </c>
      <c r="C5301" t="inlineStr">
        <is>
          <t>Askåterföring</t>
        </is>
      </c>
      <c r="D5301" s="1" t="n">
        <v>46150</v>
      </c>
      <c r="E5301" s="1" t="n">
        <v>46312</v>
      </c>
      <c r="F5301" t="inlineStr">
        <is>
          <t>SKÅNE LÄN</t>
        </is>
      </c>
      <c r="G5301" t="inlineStr">
        <is>
          <t>ÖRKELLJUNGA</t>
        </is>
      </c>
      <c r="I5301" t="n">
        <v>35.2</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S 1410-2026</t>
        </is>
      </c>
      <c r="B5302" t="inlineStr">
        <is>
          <t>samrådsanmälan</t>
        </is>
      </c>
      <c r="C5302" t="inlineStr">
        <is>
          <t>Askåterföring</t>
        </is>
      </c>
      <c r="D5302" s="1" t="n">
        <v>46155</v>
      </c>
      <c r="E5302" s="1" t="n">
        <v>46312</v>
      </c>
      <c r="F5302" t="inlineStr">
        <is>
          <t>SKÅNE LÄN</t>
        </is>
      </c>
      <c r="G5302" t="inlineStr">
        <is>
          <t>ÖSTRA GÖINGE</t>
        </is>
      </c>
      <c r="I5302" t="n">
        <v>18</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S 1381-2026</t>
        </is>
      </c>
      <c r="B5303" t="inlineStr">
        <is>
          <t>samrådsanmälan</t>
        </is>
      </c>
      <c r="C5303" t="inlineStr">
        <is>
          <t>Askåterföring</t>
        </is>
      </c>
      <c r="D5303" s="1" t="n">
        <v>46147</v>
      </c>
      <c r="E5303" s="1" t="n">
        <v>46312</v>
      </c>
      <c r="F5303" t="inlineStr">
        <is>
          <t>SKÅNE LÄN</t>
        </is>
      </c>
      <c r="G5303" t="inlineStr">
        <is>
          <t>BROMÖLLA</t>
        </is>
      </c>
      <c r="I5303" t="n">
        <v>5.8</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S 1379-2026</t>
        </is>
      </c>
      <c r="B5304" t="inlineStr">
        <is>
          <t>samrådsanmälan</t>
        </is>
      </c>
      <c r="C5304" t="inlineStr">
        <is>
          <t>Askåterföring</t>
        </is>
      </c>
      <c r="D5304" s="1" t="n">
        <v>46147</v>
      </c>
      <c r="E5304" s="1" t="n">
        <v>46312</v>
      </c>
      <c r="F5304" t="inlineStr">
        <is>
          <t>SKÅNE LÄN</t>
        </is>
      </c>
      <c r="G5304" t="inlineStr">
        <is>
          <t>BROMÖLLA</t>
        </is>
      </c>
      <c r="I5304" t="n">
        <v>2</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S 1315-2026</t>
        </is>
      </c>
      <c r="B5305" t="inlineStr">
        <is>
          <t>samrådsanmälan</t>
        </is>
      </c>
      <c r="C5305" t="inlineStr">
        <is>
          <t>Askåterföring</t>
        </is>
      </c>
      <c r="D5305" s="1" t="n">
        <v>46149</v>
      </c>
      <c r="E5305" s="1" t="n">
        <v>46312</v>
      </c>
      <c r="F5305" t="inlineStr">
        <is>
          <t>SKÅNE LÄN</t>
        </is>
      </c>
      <c r="G5305" t="inlineStr">
        <is>
          <t>BROMÖLLA</t>
        </is>
      </c>
      <c r="I5305" t="n">
        <v>2.6</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S 1377-2026</t>
        </is>
      </c>
      <c r="B5306" t="inlineStr">
        <is>
          <t>samrådsanmälan</t>
        </is>
      </c>
      <c r="C5306" t="inlineStr">
        <is>
          <t>Askåterföring</t>
        </is>
      </c>
      <c r="D5306" s="1" t="n">
        <v>46147</v>
      </c>
      <c r="E5306" s="1" t="n">
        <v>46312</v>
      </c>
      <c r="F5306" t="inlineStr">
        <is>
          <t>SKÅNE LÄN</t>
        </is>
      </c>
      <c r="G5306" t="inlineStr">
        <is>
          <t>BROMÖLLA</t>
        </is>
      </c>
      <c r="I5306" t="n">
        <v>7</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S 1492-2026</t>
        </is>
      </c>
      <c r="B5307" t="inlineStr">
        <is>
          <t>samrådsanmälan</t>
        </is>
      </c>
      <c r="C5307" t="inlineStr">
        <is>
          <t>Askåterföring</t>
        </is>
      </c>
      <c r="D5307" s="1" t="n">
        <v>46162</v>
      </c>
      <c r="E5307" s="1" t="n">
        <v>46312</v>
      </c>
      <c r="F5307" t="inlineStr">
        <is>
          <t>SKÅNE LÄN</t>
        </is>
      </c>
      <c r="G5307" t="inlineStr">
        <is>
          <t>HÖÖR</t>
        </is>
      </c>
      <c r="I5307" t="n">
        <v>9.699999999999999</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S 1874-2026</t>
        </is>
      </c>
      <c r="B5308" t="inlineStr">
        <is>
          <t>samrådsanmälan</t>
        </is>
      </c>
      <c r="C5308" t="inlineStr">
        <is>
          <t>Annan skogsbruksåtgärd</t>
        </is>
      </c>
      <c r="D5308" s="1" t="n">
        <v>46202</v>
      </c>
      <c r="E5308" s="1" t="n">
        <v>46312</v>
      </c>
      <c r="F5308" t="inlineStr">
        <is>
          <t>SKÅNE LÄN</t>
        </is>
      </c>
      <c r="G5308" t="inlineStr">
        <is>
          <t>HÖRBY</t>
        </is>
      </c>
      <c r="H5308" t="inlineStr">
        <is>
          <t>Sveaskog</t>
        </is>
      </c>
      <c r="I5308" t="n">
        <v>7.8</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S 1875-2026</t>
        </is>
      </c>
      <c r="B5309" t="inlineStr">
        <is>
          <t>samrådsanmälan</t>
        </is>
      </c>
      <c r="C5309" t="inlineStr">
        <is>
          <t>Annan skogsbruksåtgärd</t>
        </is>
      </c>
      <c r="D5309" s="1" t="n">
        <v>46202</v>
      </c>
      <c r="E5309" s="1" t="n">
        <v>46312</v>
      </c>
      <c r="F5309" t="inlineStr">
        <is>
          <t>SKÅNE LÄN</t>
        </is>
      </c>
      <c r="G5309" t="inlineStr">
        <is>
          <t>HÖRBY</t>
        </is>
      </c>
      <c r="H5309" t="inlineStr">
        <is>
          <t>Sveaskog</t>
        </is>
      </c>
      <c r="I5309" t="n">
        <v>4.2</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S 1873-2026</t>
        </is>
      </c>
      <c r="B5310" t="inlineStr">
        <is>
          <t>samrådsanmälan</t>
        </is>
      </c>
      <c r="C5310" t="inlineStr">
        <is>
          <t>Annan skogsbruksåtgärd</t>
        </is>
      </c>
      <c r="D5310" s="1" t="n">
        <v>46202</v>
      </c>
      <c r="E5310" s="1" t="n">
        <v>46312</v>
      </c>
      <c r="F5310" t="inlineStr">
        <is>
          <t>SKÅNE LÄN</t>
        </is>
      </c>
      <c r="G5310" t="inlineStr">
        <is>
          <t>HÖRBY</t>
        </is>
      </c>
      <c r="H5310" t="inlineStr">
        <is>
          <t>Sveaskog</t>
        </is>
      </c>
      <c r="I5310" t="n">
        <v>4.7</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S 220-2026</t>
        </is>
      </c>
      <c r="B5311" t="inlineStr">
        <is>
          <t>samrådsanmälan</t>
        </is>
      </c>
      <c r="C5311" t="inlineStr">
        <is>
          <t>Annan skogsbruksåtgärd</t>
        </is>
      </c>
      <c r="D5311" s="1" t="n">
        <v>46051</v>
      </c>
      <c r="E5311" s="1" t="n">
        <v>46312</v>
      </c>
      <c r="F5311" t="inlineStr">
        <is>
          <t>SKÅNE LÄN</t>
        </is>
      </c>
      <c r="G5311" t="inlineStr">
        <is>
          <t>HÖRBY</t>
        </is>
      </c>
      <c r="I5311" t="n">
        <v>1.7</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S 2012-2026</t>
        </is>
      </c>
      <c r="B5312" t="inlineStr">
        <is>
          <t>samrådsanmälan</t>
        </is>
      </c>
      <c r="C5312" t="inlineStr">
        <is>
          <t>Askåterföring</t>
        </is>
      </c>
      <c r="D5312" s="1" t="n">
        <v>46210</v>
      </c>
      <c r="E5312" s="1" t="n">
        <v>46312</v>
      </c>
      <c r="F5312" t="inlineStr">
        <is>
          <t>SKÅNE LÄN</t>
        </is>
      </c>
      <c r="G5312" t="inlineStr">
        <is>
          <t>PERSTORP</t>
        </is>
      </c>
      <c r="H5312" t="inlineStr">
        <is>
          <t>Övriga Aktiebolag</t>
        </is>
      </c>
      <c r="I5312" t="n">
        <v>11.1</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S 2022-2026</t>
        </is>
      </c>
      <c r="B5313" t="inlineStr">
        <is>
          <t>samrådsanmälan</t>
        </is>
      </c>
      <c r="C5313" t="inlineStr">
        <is>
          <t>Askåterföring</t>
        </is>
      </c>
      <c r="D5313" s="1" t="n">
        <v>46210</v>
      </c>
      <c r="E5313" s="1" t="n">
        <v>46312</v>
      </c>
      <c r="F5313" t="inlineStr">
        <is>
          <t>SKÅNE LÄN</t>
        </is>
      </c>
      <c r="G5313" t="inlineStr">
        <is>
          <t>KLIPPAN</t>
        </is>
      </c>
      <c r="H5313" t="inlineStr">
        <is>
          <t>Övriga Aktiebolag</t>
        </is>
      </c>
      <c r="I5313" t="n">
        <v>14.3</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S 2013-2026</t>
        </is>
      </c>
      <c r="B5314" t="inlineStr">
        <is>
          <t>samrådsanmälan</t>
        </is>
      </c>
      <c r="C5314" t="inlineStr">
        <is>
          <t>Askåterföring</t>
        </is>
      </c>
      <c r="D5314" s="1" t="n">
        <v>46210</v>
      </c>
      <c r="E5314" s="1" t="n">
        <v>46312</v>
      </c>
      <c r="F5314" t="inlineStr">
        <is>
          <t>SKÅNE LÄN</t>
        </is>
      </c>
      <c r="G5314" t="inlineStr">
        <is>
          <t>PERSTORP</t>
        </is>
      </c>
      <c r="H5314" t="inlineStr">
        <is>
          <t>Övriga Aktiebolag</t>
        </is>
      </c>
      <c r="I5314" t="n">
        <v>17.7</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S 2011-2026</t>
        </is>
      </c>
      <c r="B5315" t="inlineStr">
        <is>
          <t>samrådsanmälan</t>
        </is>
      </c>
      <c r="C5315" t="inlineStr">
        <is>
          <t>Askåterföring</t>
        </is>
      </c>
      <c r="D5315" s="1" t="n">
        <v>46210</v>
      </c>
      <c r="E5315" s="1" t="n">
        <v>46312</v>
      </c>
      <c r="F5315" t="inlineStr">
        <is>
          <t>SKÅNE LÄN</t>
        </is>
      </c>
      <c r="G5315" t="inlineStr">
        <is>
          <t>PERSTORP</t>
        </is>
      </c>
      <c r="H5315" t="inlineStr">
        <is>
          <t>Övriga Aktiebolag</t>
        </is>
      </c>
      <c r="I5315" t="n">
        <v>28.1</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S 2019-2026</t>
        </is>
      </c>
      <c r="B5316" t="inlineStr">
        <is>
          <t>samrådsanmälan</t>
        </is>
      </c>
      <c r="C5316" t="inlineStr">
        <is>
          <t>Askåterföring</t>
        </is>
      </c>
      <c r="D5316" s="1" t="n">
        <v>46210</v>
      </c>
      <c r="E5316" s="1" t="n">
        <v>46312</v>
      </c>
      <c r="F5316" t="inlineStr">
        <is>
          <t>SKÅNE LÄN</t>
        </is>
      </c>
      <c r="G5316" t="inlineStr">
        <is>
          <t>KLIPPAN</t>
        </is>
      </c>
      <c r="H5316" t="inlineStr">
        <is>
          <t>Övriga Aktiebolag</t>
        </is>
      </c>
      <c r="I5316" t="n">
        <v>20</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S 2015-2026</t>
        </is>
      </c>
      <c r="B5317" t="inlineStr">
        <is>
          <t>samrådsanmälan</t>
        </is>
      </c>
      <c r="C5317" t="inlineStr">
        <is>
          <t>Askåterföring</t>
        </is>
      </c>
      <c r="D5317" s="1" t="n">
        <v>46210</v>
      </c>
      <c r="E5317" s="1" t="n">
        <v>46312</v>
      </c>
      <c r="F5317" t="inlineStr">
        <is>
          <t>SKÅNE LÄN</t>
        </is>
      </c>
      <c r="G5317" t="inlineStr">
        <is>
          <t>PERSTORP</t>
        </is>
      </c>
      <c r="H5317" t="inlineStr">
        <is>
          <t>Övriga Aktiebolag</t>
        </is>
      </c>
      <c r="I5317" t="n">
        <v>15.2</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S 2017-2026</t>
        </is>
      </c>
      <c r="B5318" t="inlineStr">
        <is>
          <t>samrådsanmälan</t>
        </is>
      </c>
      <c r="C5318" t="inlineStr">
        <is>
          <t>Askåterföring</t>
        </is>
      </c>
      <c r="D5318" s="1" t="n">
        <v>46210</v>
      </c>
      <c r="E5318" s="1" t="n">
        <v>46312</v>
      </c>
      <c r="F5318" t="inlineStr">
        <is>
          <t>SKÅNE LÄN</t>
        </is>
      </c>
      <c r="G5318" t="inlineStr">
        <is>
          <t>PERSTORP</t>
        </is>
      </c>
      <c r="H5318" t="inlineStr">
        <is>
          <t>Övriga Aktiebolag</t>
        </is>
      </c>
      <c r="I5318" t="n">
        <v>9.199999999999999</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S 2047-2026</t>
        </is>
      </c>
      <c r="B5319" t="inlineStr">
        <is>
          <t>samrådsanmälan</t>
        </is>
      </c>
      <c r="C5319" t="inlineStr">
        <is>
          <t>Askåterföring</t>
        </is>
      </c>
      <c r="D5319" s="1" t="n">
        <v>46213</v>
      </c>
      <c r="E5319" s="1" t="n">
        <v>46312</v>
      </c>
      <c r="F5319" t="inlineStr">
        <is>
          <t>SKÅNE LÄN</t>
        </is>
      </c>
      <c r="G5319" t="inlineStr">
        <is>
          <t>PERSTORP</t>
        </is>
      </c>
      <c r="H5319" t="inlineStr">
        <is>
          <t>Övriga Aktiebolag</t>
        </is>
      </c>
      <c r="I5319" t="n">
        <v>18.5</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S 1997-2026</t>
        </is>
      </c>
      <c r="B5320" t="inlineStr">
        <is>
          <t>samrådsanmälan</t>
        </is>
      </c>
      <c r="C5320" t="inlineStr">
        <is>
          <t>Askåterföring</t>
        </is>
      </c>
      <c r="D5320" s="1" t="n">
        <v>46213</v>
      </c>
      <c r="E5320" s="1" t="n">
        <v>46312</v>
      </c>
      <c r="F5320" t="inlineStr">
        <is>
          <t>SKÅNE LÄN</t>
        </is>
      </c>
      <c r="G5320" t="inlineStr">
        <is>
          <t>SVEDALA</t>
        </is>
      </c>
      <c r="I5320" t="n">
        <v>1.8</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S 1995-2026</t>
        </is>
      </c>
      <c r="B5321" t="inlineStr">
        <is>
          <t>samrådsanmälan</t>
        </is>
      </c>
      <c r="C5321" t="inlineStr">
        <is>
          <t>Askåterföring</t>
        </is>
      </c>
      <c r="D5321" s="1" t="n">
        <v>46213</v>
      </c>
      <c r="E5321" s="1" t="n">
        <v>46312</v>
      </c>
      <c r="F5321" t="inlineStr">
        <is>
          <t>SKÅNE LÄN</t>
        </is>
      </c>
      <c r="G5321" t="inlineStr">
        <is>
          <t>SVEDALA</t>
        </is>
      </c>
      <c r="I5321" t="n">
        <v>1.8</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S 1991-2026</t>
        </is>
      </c>
      <c r="B5322" t="inlineStr">
        <is>
          <t>samrådsanmälan</t>
        </is>
      </c>
      <c r="C5322" t="inlineStr">
        <is>
          <t>Askåterföring</t>
        </is>
      </c>
      <c r="D5322" s="1" t="n">
        <v>46213</v>
      </c>
      <c r="E5322" s="1" t="n">
        <v>46312</v>
      </c>
      <c r="F5322" t="inlineStr">
        <is>
          <t>SKÅNE LÄN</t>
        </is>
      </c>
      <c r="G5322" t="inlineStr">
        <is>
          <t>LUND</t>
        </is>
      </c>
      <c r="I5322" t="n">
        <v>10.2</v>
      </c>
      <c r="J5322" t="n">
        <v>0</v>
      </c>
      <c r="K5322" t="n">
        <v>0</v>
      </c>
      <c r="L5322" t="n">
        <v>0</v>
      </c>
      <c r="M5322" t="n">
        <v>0</v>
      </c>
      <c r="N5322" t="n">
        <v>0</v>
      </c>
      <c r="O5322" t="n">
        <v>0</v>
      </c>
      <c r="P5322" t="n">
        <v>0</v>
      </c>
      <c r="Q5322" t="n">
        <v>0</v>
      </c>
      <c r="R5322" t="n">
        <v>0</v>
      </c>
      <c r="S5322" t="n">
        <v>0</v>
      </c>
      <c r="T5322" t="n">
        <v>0</v>
      </c>
      <c r="U5322" t="n">
        <v>0</v>
      </c>
      <c r="V5322" s="2" t="inlineStr"/>
    </row>
    <row r="5323">
      <c r="A5323" t="inlineStr">
        <is>
          <t>S 2020-2026</t>
        </is>
      </c>
      <c r="B5323" t="inlineStr">
        <is>
          <t>samrådsanmälan</t>
        </is>
      </c>
      <c r="C5323" t="inlineStr">
        <is>
          <t>Askåterföring</t>
        </is>
      </c>
      <c r="D5323" s="1" t="n">
        <v>46210</v>
      </c>
      <c r="E5323" s="1" t="n">
        <v>46312</v>
      </c>
      <c r="F5323" t="inlineStr">
        <is>
          <t>SKÅNE LÄN</t>
        </is>
      </c>
      <c r="G5323" t="inlineStr">
        <is>
          <t>KLIPPAN</t>
        </is>
      </c>
      <c r="H5323" t="inlineStr">
        <is>
          <t>Övriga Aktiebolag</t>
        </is>
      </c>
      <c r="I5323" t="n">
        <v>30.3</v>
      </c>
      <c r="J5323" t="n">
        <v>0</v>
      </c>
      <c r="K5323" t="n">
        <v>0</v>
      </c>
      <c r="L5323" t="n">
        <v>0</v>
      </c>
      <c r="M5323" t="n">
        <v>0</v>
      </c>
      <c r="N5323" t="n">
        <v>0</v>
      </c>
      <c r="O5323" t="n">
        <v>0</v>
      </c>
      <c r="P5323" t="n">
        <v>0</v>
      </c>
      <c r="Q5323" t="n">
        <v>0</v>
      </c>
      <c r="R5323" t="n">
        <v>0</v>
      </c>
      <c r="S5323" t="n">
        <v>0</v>
      </c>
      <c r="T5323" t="n">
        <v>0</v>
      </c>
      <c r="U5323" t="n">
        <v>0</v>
      </c>
      <c r="V532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2026-10-17T02:01:55Z</dcterms:created>
  <dcterms:modified xmlns:dcterms="http://purl.org/dc/terms/" xmlns:xsi="http://www.w3.org/2001/XMLSchema-instance" xsi:type="dcterms:W3CDTF">2026-10-17T02:02:01Z</dcterms:modified>
</cp:coreProperties>
</file>